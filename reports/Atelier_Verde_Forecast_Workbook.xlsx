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21.xml" ContentType="application/vnd.openxmlformats-officedocument.spreadsheetml.comment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8.xml" ContentType="application/vnd.openxmlformats-officedocument.drawing+xml"/>
  <Override PartName="/xl/drawings/_rels/drawing1.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Forecast_13W" sheetId="2" state="visible" r:id="rId4"/>
    <sheet name="Warning" sheetId="3" state="visible" r:id="rId5"/>
    <sheet name="CFO_Actions" sheetId="4" state="visible" r:id="rId6"/>
    <sheet name="Forecast_Lines" sheetId="5" state="visible" r:id="rId7"/>
    <sheet name="Backtest" sheetId="6" state="visible" r:id="rId8"/>
    <sheet name="Assumptions" sheetId="7" state="visible" r:id="rId9"/>
    <sheet name="Data_Sources" sheetId="8" state="visible" r:id="rId10"/>
    <sheet name="Data_Dictionary" sheetId="9" state="visible" r:id="rId11"/>
    <sheet name="Bank_Accounts" sheetId="10" state="visible" r:id="rId12"/>
    <sheet name="Bank_Weekly" sheetId="11" state="visible" r:id="rId13"/>
    <sheet name="Bank_Transactions" sheetId="12" state="visible" r:id="rId14"/>
    <sheet name="Customers" sheetId="13" state="visible" r:id="rId15"/>
    <sheet name="AR_Invoices" sheetId="14" state="visible" r:id="rId16"/>
    <sheet name="Order_Book" sheetId="15" state="visible" r:id="rId17"/>
    <sheet name="Suppliers" sheetId="16" state="visible" r:id="rId18"/>
    <sheet name="AP_Bills" sheetId="17" state="visible" r:id="rId19"/>
    <sheet name="Committed_Purchases" sheetId="18" state="visible" r:id="rId20"/>
    <sheet name="Scheduled_Payments" sheetId="19" state="visible" r:id="rId21"/>
    <sheet name="VAT_Returns" sheetId="20" state="visible" r:id="rId22"/>
    <sheet name="PnL_Monthly" sheetId="21" state="visible" r:id="rId23"/>
  </sheets>
  <definedNames>
    <definedName function="false" hidden="true" localSheetId="16" name="_xlnm._FilterDatabase" vbProcedure="false">AP_Bills!$A$1:$L$221</definedName>
    <definedName function="false" hidden="true" localSheetId="13" name="_xlnm._FilterDatabase" vbProcedure="false">AR_Invoices!$A$1:$O$1158</definedName>
    <definedName function="false" hidden="true" localSheetId="9" name="_xlnm._FilterDatabase" vbProcedure="false">Bank_Accounts!$A$1:$J$3</definedName>
    <definedName function="false" hidden="true" localSheetId="11" name="_xlnm._FilterDatabase" vbProcedure="false">Bank_Transactions!$A$1:$H$1417</definedName>
    <definedName function="false" hidden="true" localSheetId="10" name="_xlnm._FilterDatabase" vbProcedure="false">Bank_Weekly!$A$3:$G$83</definedName>
    <definedName function="false" hidden="true" localSheetId="17" name="_xlnm._FilterDatabase" vbProcedure="false">Committed_Purchases!$A$3:$K$25</definedName>
    <definedName function="false" hidden="true" localSheetId="12" name="_xlnm._FilterDatabase" vbProcedure="false">Customers!$A$1:$K$13</definedName>
    <definedName function="false" hidden="true" localSheetId="8" name="_xlnm._FilterDatabase" vbProcedure="false">Data_Dictionary!$A$1:$C$18</definedName>
    <definedName function="false" hidden="true" localSheetId="4" name="_xlnm._FilterDatabase" vbProcedure="false">Forecast_Lines!$A$3:$V$377</definedName>
    <definedName function="false" hidden="true" localSheetId="14" name="_xlnm._FilterDatabase" vbProcedure="false">Order_Book!$A$3:$L$197</definedName>
    <definedName function="false" hidden="true" localSheetId="20" name="_xlnm._FilterDatabase" vbProcedure="false">PnL_Monthly!$A$3:$O$24</definedName>
    <definedName function="false" hidden="true" localSheetId="18" name="_xlnm._FilterDatabase" vbProcedure="false">Scheduled_Payments!$A$3:$G$43</definedName>
    <definedName function="false" hidden="true" localSheetId="15" name="_xlnm._FilterDatabase" vbProcedure="false">Suppliers!$A$1:$I$7</definedName>
    <definedName function="false" hidden="true" localSheetId="19" name="_xlnm._FilterDatabase" vbProcedure="false">VAT_Returns!$A$1:$E$19</definedName>
  </definedNames>
  <calcPr iterateCount="100" refMode="A1" iterate="false" iterateDelta="0.0001"/>
  <extLst>
    <ext xmlns:loext="http://schemas.libreoffice.org/" uri="{7626C862-2A13-11E5-B345-FEFF819CDC9F}">
      <loext:extCalcPr stringRefSyntax="ExcelA1"/>
    </ext>
  </extLst>
</workbook>
</file>

<file path=xl/comments21.xml><?xml version="1.0" encoding="utf-8"?>
<comments xmlns="http://schemas.openxmlformats.org/spreadsheetml/2006/main" xmlns:xdr="http://schemas.openxmlformats.org/drawingml/2006/spreadsheetDrawing">
  <authors>
    <author>Unknown Author</author>
  </authors>
  <commentList>
    <comment ref="N4" authorId="0">
      <text>
        <r>
          <rPr>
            <sz val="10"/>
            <rFont val="Arial"/>
            <family val="2"/>
          </rPr>
          <t xml:space="preserve">Simplified: 25% French corporate tax rate applied monthly to profit before tax (Assumption, illustrative).</t>
        </r>
      </text>
    </comment>
  </commentList>
</comments>
</file>

<file path=xl/sharedStrings.xml><?xml version="1.0" encoding="utf-8"?>
<sst xmlns="http://schemas.openxmlformats.org/spreadsheetml/2006/main" count="19703" uniqueCount="4354">
  <si>
    <t xml:space="preserve">Atelier Verde SAS — fictional dataset for a 13-week cash forecast</t>
  </si>
  <si>
    <t xml:space="preserve">Best Case Study Competition 2026 · Case 4: Financial Navigator by A352 · Data as at Friday 9 October 2026, 18:00</t>
  </si>
  <si>
    <t xml:space="preserve">⚠ FICTIONAL DATA</t>
  </si>
  <si>
    <t xml:space="preserve">Every company, person, customer, supplier, bank, amount and date in this workbook is invented and simulated for the case study. Any resemblance to real entities is coincidental. Names of real public bodies or tax schemes (URSSAF, DGFiP, Chorus Pro, LCR, CA3) are used only to make the French payment calendar realistic.</t>
  </si>
  <si>
    <t xml:space="preserve">1. Company overview</t>
  </si>
  <si>
    <t xml:space="preserve">Legal form &amp; location</t>
  </si>
  <si>
    <t xml:space="preserve">SAS (simplified joint-stock company), workshop and offices in Villeurbanne, Lyon metropolitan area, France. Founded 2014 by two cabinet-makers; family-owned.</t>
  </si>
  <si>
    <t xml:space="preserve">What it does</t>
  </si>
  <si>
    <t xml:space="preserve">Designs and manufactures eco-designed furniture for workplaces and hotels: solid-oak and FSC birch-plywood desks, meeting tables, storage, acoustic felt panels and booths, and hotel-room furniture. Everything is made to order in its own workshop (CNC machining, sanding, water-based finishing, assembly).</t>
  </si>
  <si>
    <t xml:space="preserve">People</t>
  </si>
  <si>
    <t xml:space="preserve">38 full-time employees: 26 in production, 4 in design/engineering, 3 in installation logistics, 5 in sales and admin. Finance team of two: a CFO (part-time, shared with a sister company) and an accountant.</t>
  </si>
  <si>
    <t xml:space="preserve">Size (fictional)</t>
  </si>
  <si>
    <t xml:space="preserve">Revenue ≈ €6.7M ex VAT forecast for 2026 (growth ≈ 8%). EBITDA ≈ €0.53M (≈ 8%), net profit ≈ €0.19M (≈ 2.8%). Profitable every year, but thin margins and lumpy cash flows. See 'PnL_Monthly'.</t>
  </si>
  <si>
    <t xml:space="preserve">How it makes money</t>
  </si>
  <si>
    <t xml:space="preserve">Make-to-order: a customer orders, Atelier Verde buys materials about 4 weeks ahead, produces, delivers and invoices on delivery. Customers then pay 30–60 days after the invoice — often later. So the company pays for timber and wages ~2–3 months before it gets paid. Growth makes this gap bigger.</t>
  </si>
  <si>
    <t xml:space="preserve">Customer segments (share of 2026 revenue)</t>
  </si>
  <si>
    <t xml:space="preserve">• Office fit-out contractors ≈ 45% — design-and-build firms refurbishing offices; 45–60 day terms; usually pay 10–25 days late (they wait for their own client to pay).
• Furniture distributors ≈ 24% — reliable; one pays by LCR (automatic bill of exchange) exactly on the due date.
• Public sector ≈ 10% — a university (legal limit 30 days) and a public hospital (legal limit 50 days); invoices go through the Chorus Pro portal; in practice the university pays ~10 days late and the hospital ~20 days late.
• Hospitality projects ≈ 10% — hotel groups refurbishing whole hotels; few but very large invoices billed by milestone: 30% at order, 40% on delivery, 30% after installation.
• Export distributor (Belgium) ≈ 7% — intra-EU sale, no French VAT.
• Direct corporate client ≈ 4%.</t>
  </si>
  <si>
    <t xml:space="preserve">Suppliers &amp; costs</t>
  </si>
  <si>
    <t xml:space="preserve">Materials ≈ 44% of revenue. Biggest single supplier: Holzwerk Bayern GmbH (Germany, timber &amp; plywood, 30-day terms, intra-EU so no VAT is paid). Others: steel frames, acoustic felt, hardware, finishes, transport. Staff costs ≈ €2.4M per year (≈ 36%). Rent for the workshop, energy, an equipment lease and a bank loan for a CNC machine.</t>
  </si>
  <si>
    <t xml:space="preserve">Seasonality</t>
  </si>
  <si>
    <t xml:space="preserve">Peak September–November (companies spend year-end budgets on office refits). Slump in August (workshop closed two weeks). Christmas closure 24 Dec – 3 Jan. December payroll includes a 13th-month bonus.</t>
  </si>
  <si>
    <t xml:space="preserve">Cash calendar (who gets paid when)</t>
  </si>
  <si>
    <t xml:space="preserve">Salaries: last business day of the month · Social charges and income tax withheld: 15th of the following month · VAT (monthly CA3 return): ~24th of the following month · Corporate tax instalments: 15 Mar/Jun/Sep/Dec · Rent and insurance: quarterly in advance · Loan: 5th · Equipment lease: 10th · Supplier payment run: every Thursday, on or just before each due date.</t>
  </si>
  <si>
    <t xml:space="preserve">Banking</t>
  </si>
  <si>
    <t xml:space="preserve">Two accounts (main account via EBICS, card account via PSD2) — the kind of multibank set-up Financial Navigator connects to. Overdraft facility €150k on the main account. CFO's minimum cash buffer: €100k (≈ two weeks of payroll and charges).</t>
  </si>
  <si>
    <t xml:space="preserve">2. The situation on 9 October 2026</t>
  </si>
  <si>
    <t xml:space="preserve">Cash</t>
  </si>
  <si>
    <t xml:space="preserve">€381,241 across both accounts. Open customer invoices: €1.41M incl. VAT, of which €167k overdue (DSO ≈ 67 days).</t>
  </si>
  <si>
    <t xml:space="preserve">Profit looks fine</t>
  </si>
  <si>
    <t xml:space="preserve">Q4 2026 is forecast at ≈ €182k net profit (strong October–November deliveries).</t>
  </si>
  <si>
    <t xml:space="preserve">…but cash is under pressure</t>
  </si>
  <si>
    <t xml:space="preserve">• Lumen Hospitality Group owes €230,400 (Hôtel Lumen Annecy delivery milestone), due 13 Nov 2026; a further €172,800 installation invoice will be issued 30 Oct, due 29 Dec.
• A €155,000 Holzwerk Bayern bill (winter timber pre-order + materials for the new Azur Cannes &amp; Antibes hotel project) is due 20 Nov and will be paid on Thu 19 Nov.
• December carries the 13th-month bonus (€72k), a corporate tax instalment and property tax.
• A planned €34,560 deposit on a new edge-banding machine is due 25 Nov (can be deferred).
• Nova Interiors is paying slower and slower (≈ 22 days late in 2025 → ≈ 34 days late in Q3 2026).
• Two invoices are disputed (transport damage claim; a hospital invoice rejected for a missing PO number).</t>
  </si>
  <si>
    <t xml:space="preserve">Why the CFO wants a tool</t>
  </si>
  <si>
    <t xml:space="preserve">From the end of June 2025 cash stayed below the €100k buffer for five weeks, and in the week of 28 July 2025 it slipped into the overdraft (−€38.2k) without anyone seeing it coming: a dividend, payroll, VAT and timber bills went out while summer receipts slowed. The current forecast is a spreadsheet rebuilt by hand once a month.</t>
  </si>
  <si>
    <t xml:space="preserve">3. Sheets in this workbook</t>
  </si>
  <si>
    <t xml:space="preserve">Assumptions</t>
  </si>
  <si>
    <t xml:space="preserve">Assumption register: every parameter used by the forecast, with source, owner, date and confidence. Blue cells are inputs you can change.</t>
  </si>
  <si>
    <t xml:space="preserve">Data_Dictionary</t>
  </si>
  <si>
    <t xml:space="preserve">Meaning of every column.</t>
  </si>
  <si>
    <t xml:space="preserve">Bank_Accounts</t>
  </si>
  <si>
    <t xml:space="preserve">Balances at 9 Oct 2026 — the forecast's starting point.</t>
  </si>
  <si>
    <t xml:space="preserve">Bank_Weekly</t>
  </si>
  <si>
    <t xml:space="preserve">Weekly opening/closing balances, Apr 2025 – 9 Oct 2026 (80 weeks). Used to back-test the forecast.</t>
  </si>
  <si>
    <t xml:space="preserve">Bank_Transactions</t>
  </si>
  <si>
    <t xml:space="preserve">Every bank movement, Apr 2025 – 9 Oct 2026 (bank feed).</t>
  </si>
  <si>
    <t xml:space="preserve">Customers</t>
  </si>
  <si>
    <t xml:space="preserve">Customer master data, plus calculated payment behaviour (average days late, open balance).</t>
  </si>
  <si>
    <t xml:space="preserve">AR_Invoices</t>
  </si>
  <si>
    <t xml:space="preserve">All customer invoices since Jan 2025: paid ones with payment date and days late; open ones with days overdue.</t>
  </si>
  <si>
    <t xml:space="preserve">Order_Book</t>
  </si>
  <si>
    <t xml:space="preserve">Invoices planned during the 13 forecast weeks (confirmed orders, project milestones, and pipeline at 80% probability).</t>
  </si>
  <si>
    <t xml:space="preserve">Suppliers / AP_Bills</t>
  </si>
  <si>
    <t xml:space="preserve">Supplier master and supplier bills since Jan 2025 (paid and open with scheduled payment date).</t>
  </si>
  <si>
    <t xml:space="preserve">Committed_Purchases</t>
  </si>
  <si>
    <t xml:space="preserve">Purchase orders already placed whose bills will be paid within the forecast window — incl. the €155k Holzwerk bill.</t>
  </si>
  <si>
    <t xml:space="preserve">Scheduled_Payments</t>
  </si>
  <si>
    <t xml:space="preserve">Payroll, social charges, VAT, taxes, rent, loan, lease, energy, card spending and planned capex in the window.</t>
  </si>
  <si>
    <t xml:space="preserve">VAT_Returns</t>
  </si>
  <si>
    <t xml:space="preserve">Monthly VAT returns (output VAT − deductible VAT = net payable).</t>
  </si>
  <si>
    <t xml:space="preserve">PnL_Monthly</t>
  </si>
  <si>
    <t xml:space="preserve">Monthly profit &amp; loss (accrual basis), Apr 2025 – Dec 2026; Oct–Dec 2026 are forecast. Compare with cash to see profit ≠ cash.</t>
  </si>
  <si>
    <t xml:space="preserve">▶ Forecast_13W</t>
  </si>
  <si>
    <t xml:space="preserve">THE 13-WEEK CASH FORECAST: base case, scenario S1 (Lumen pays 45 days late), scenario S2 (S1 + fit-out contractors 15 days slower), uncertainty bands, buffer flags, profit vs cash. All formulas — change a blue cell in Assumptions and it updates.</t>
  </si>
  <si>
    <t xml:space="preserve">▶ Forecast_Lines</t>
  </si>
  <si>
    <t xml:space="preserve">Every cash line behind the forecast (one row per invoice, bill or payment), with its source sheet and ID, assumed delay and expected week — the audit trail.</t>
  </si>
  <si>
    <t xml:space="preserve">▶ Warning</t>
  </si>
  <si>
    <t xml:space="preserve">The shortfall warning: when, how big, why, how sure, and how much lead time.</t>
  </si>
  <si>
    <t xml:space="preserve">▶ CFO_Actions</t>
  </si>
  <si>
    <t xml:space="preserve">Options for the CFO with cash effect, cost, confidence and owner. Decision column is for the CFO — nothing is executed automatically.</t>
  </si>
  <si>
    <t xml:space="preserve">▶ Backtest</t>
  </si>
  <si>
    <t xml:space="preserve">How accurate the method was on 66 past forecasts vs. a naive 'everyone pays on the due date' forecast; warning lead time.</t>
  </si>
  <si>
    <t xml:space="preserve">▶ Data_Sources</t>
  </si>
  <si>
    <t xml:space="preserve">What each data attribute is based on: French regulation, Banque de France statistics, or a stated assumption.</t>
  </si>
  <si>
    <t xml:space="preserve">4. Conventions</t>
  </si>
  <si>
    <t xml:space="preserve">Colours</t>
  </si>
  <si>
    <t xml:space="preserve">Blue text = input/assumption you can edit · Black = data or formula · Green = formula linking to another sheet · Yellow fill = key assumption.</t>
  </si>
  <si>
    <t xml:space="preserve">Units</t>
  </si>
  <si>
    <t xml:space="preserve">Euros. 'incl_vat' = amount actually paid/received in cash (VAT included); 'ex_vat' = amount in the P&amp;L.</t>
  </si>
  <si>
    <t xml:space="preserve">Weeks</t>
  </si>
  <si>
    <t xml:space="preserve">Monday–Sunday. Forecast week 1 = Mon 12 Oct 2026; week 13 ends Sun 10 Jan 2027.</t>
  </si>
  <si>
    <t xml:space="preserve">Generated with</t>
  </si>
  <si>
    <t xml:space="preserve">Python (pandas, numpy, openpyxl) simulation with a fixed random seed, by Claude (Anthropic) at the participant's request. Payment delays are drawn from per-customer distributions, so history behaves like a real company's: noisy, seasonal, with occasional long delays.</t>
  </si>
  <si>
    <t xml:space="preserve">Atelier Verde SAS — 13-week cash forecast (as at Fri 9 Oct 2026)</t>
  </si>
  <si>
    <t xml:space="preserve">Fictional data. Cash basis, amounts incl. VAT. Expected values (pipeline orders × probability). Edit blue cells in 'Assumptions' (e.g. S01 Lumen delay) and everything below recalculates.</t>
  </si>
  <si>
    <t xml:space="preserve">Week</t>
  </si>
  <si>
    <t xml:space="preserve">13-week total</t>
  </si>
  <si>
    <t xml:space="preserve">Week starting (Monday)</t>
  </si>
  <si>
    <t xml:space="preserve">Week ending (Sunday)</t>
  </si>
  <si>
    <t xml:space="preserve">BASE CASE — customers pay with their usual delays</t>
  </si>
  <si>
    <t xml:space="preserve">Opening balance</t>
  </si>
  <si>
    <t xml:space="preserve">W1 = Assumptions A03</t>
  </si>
  <si>
    <t xml:space="preserve">Receipts</t>
  </si>
  <si>
    <t xml:space="preserve">  Office fit-out contractor</t>
  </si>
  <si>
    <t xml:space="preserve">SUMIFS on Forecast_Lines</t>
  </si>
  <si>
    <t xml:space="preserve">  Furniture distributor</t>
  </si>
  <si>
    <t xml:space="preserve">  Public sector</t>
  </si>
  <si>
    <t xml:space="preserve">  Public sector (hospital)</t>
  </si>
  <si>
    <t xml:space="preserve">  Hospitality (projects)</t>
  </si>
  <si>
    <t xml:space="preserve">  Export distributor</t>
  </si>
  <si>
    <t xml:space="preserve">  Direct corporate client</t>
  </si>
  <si>
    <t xml:space="preserve">Total receipts</t>
  </si>
  <si>
    <t xml:space="preserve">Payments</t>
  </si>
  <si>
    <t xml:space="preserve">  Supplier payment</t>
  </si>
  <si>
    <t xml:space="preserve">  Payroll</t>
  </si>
  <si>
    <t xml:space="preserve">  VAT payment</t>
  </si>
  <si>
    <t xml:space="preserve">  Social charges &amp; income tax withheld</t>
  </si>
  <si>
    <t xml:space="preserve">  Card &amp; sundry spending</t>
  </si>
  <si>
    <t xml:space="preserve">  Energy</t>
  </si>
  <si>
    <t xml:space="preserve">  Capex (discretionary)</t>
  </si>
  <si>
    <t xml:space="preserve">  Bank loan repayment</t>
  </si>
  <si>
    <t xml:space="preserve">  Corporate income tax instalment</t>
  </si>
  <si>
    <t xml:space="preserve">  Rent</t>
  </si>
  <si>
    <t xml:space="preserve">  Equipment lease</t>
  </si>
  <si>
    <t xml:space="preserve">  IT, telecom &amp; software</t>
  </si>
  <si>
    <t xml:space="preserve">  Insurance</t>
  </si>
  <si>
    <t xml:space="preserve">  Business property tax</t>
  </si>
  <si>
    <t xml:space="preserve">Total payments</t>
  </si>
  <si>
    <t xml:space="preserve">Net cash flow</t>
  </si>
  <si>
    <t xml:space="preserve">CLOSING BALANCE — base</t>
  </si>
  <si>
    <t xml:space="preserve">opening + receipts + payments</t>
  </si>
  <si>
    <t xml:space="preserve">Minimum cash buffer</t>
  </si>
  <si>
    <t xml:space="preserve">Assumptions A04</t>
  </si>
  <si>
    <t xml:space="preserve">Headroom above buffer — base</t>
  </si>
  <si>
    <t xml:space="preserve">Flag — base</t>
  </si>
  <si>
    <t xml:space="preserve">SCENARIO S1 — Lumen Hospitality pays 45 days later than usual (Assumptions S01)</t>
  </si>
  <si>
    <t xml:space="preserve">SUMIFS on Q</t>
  </si>
  <si>
    <t xml:space="preserve">same as base</t>
  </si>
  <si>
    <t xml:space="preserve">CLOSING BALANCE — S1</t>
  </si>
  <si>
    <t xml:space="preserve">Difference vs base</t>
  </si>
  <si>
    <t xml:space="preserve">Flag — S1</t>
  </si>
  <si>
    <t xml:space="preserve">Below buffer? (1 = yes) — S1</t>
  </si>
  <si>
    <t xml:space="preserve">helper for first-breach week</t>
  </si>
  <si>
    <t xml:space="preserve">SCENARIO S2 — S1 + office fit-out contractors pay 15 days slower (Assumptions S02)</t>
  </si>
  <si>
    <t xml:space="preserve">SUMIFS on S</t>
  </si>
  <si>
    <t xml:space="preserve">CLOSING BALANCE — S2</t>
  </si>
  <si>
    <t xml:space="preserve">Flag — S2</t>
  </si>
  <si>
    <t xml:space="preserve">Below buffer? (1 = yes) — S2</t>
  </si>
  <si>
    <t xml:space="preserve">UNCERTAINTY — Monte Carlo, 4,000 simulations (values from the forecast run of 9 Oct 2026)</t>
  </si>
  <si>
    <t xml:space="preserve">Re-sampled: each customer's past delays, pipeline orders (80%), card spending ±15%, VAT estimates ±10%.</t>
  </si>
  <si>
    <t xml:space="preserve">Base closing — P10 (pessimistic)</t>
  </si>
  <si>
    <t xml:space="preserve">simulation output</t>
  </si>
  <si>
    <t xml:space="preserve">Base closing — P50 (median)</t>
  </si>
  <si>
    <t xml:space="preserve">Base closing — P90 (optimistic)</t>
  </si>
  <si>
    <t xml:space="preserve">Base — probability of being below the buffer</t>
  </si>
  <si>
    <t xml:space="preserve">share of simulations</t>
  </si>
  <si>
    <t xml:space="preserve">S1 closing — P10 (pessimistic)</t>
  </si>
  <si>
    <t xml:space="preserve">S1 closing — P50 (median)</t>
  </si>
  <si>
    <t xml:space="preserve">S1 closing — P90 (optimistic)</t>
  </si>
  <si>
    <t xml:space="preserve">S1 — probability of being below the buffer</t>
  </si>
  <si>
    <t xml:space="preserve">CFO ACTION PACKAGES applied to S1 (values from the forecast run — see CFO_Actions)</t>
  </si>
  <si>
    <t xml:space="preserve">S1 + A1–A4 (no-regret package)</t>
  </si>
  <si>
    <t xml:space="preserve">S1 + A1–A4 + A6 (invoice financing)</t>
  </si>
  <si>
    <t xml:space="preserve">PROFIT ≠ CASH — Q4 2026</t>
  </si>
  <si>
    <t xml:space="preserve">Net profit Q4 2026 (accrual, P&amp;L)</t>
  </si>
  <si>
    <t xml:space="preserve">Cash change over 13 weeks — base</t>
  </si>
  <si>
    <t xml:space="preserve">Cash change over 13 weeks — S1</t>
  </si>
  <si>
    <t xml:space="preserve">Lowest weekly balance — base</t>
  </si>
  <si>
    <t xml:space="preserve">Lowest weekly balance — S1</t>
  </si>
  <si>
    <t xml:space="preserve">Lowest weekly balance — S2</t>
  </si>
  <si>
    <t xml:space="preserve">First week below buffer — S1</t>
  </si>
  <si>
    <t xml:space="preserve">Lowest balance vs overdraft limit — S2</t>
  </si>
  <si>
    <t xml:space="preserve">Why they differ: Q4 profit counts sales when invoiced; cash waits 45–110 days for customers to pay, while timber, wages, VAT and taxes are paid on fixed dates.</t>
  </si>
  <si>
    <t xml:space="preserve">⚠ Cash shortfall warning — raised Fri 9 Oct 2026</t>
  </si>
  <si>
    <t xml:space="preserve">Generated from the forecast run (template text filled with forecast numbers; every number links to Forecast_13W / Forecast_Lines). Advisory only — the CFO decides.</t>
  </si>
  <si>
    <t xml:space="preserve">Headline</t>
  </si>
  <si>
    <t xml:space="preserve">If Lumen Hospitality pays its €230,400 delivery invoice 45 days later than usual, cash falls below the €100k buffer in week 8 (week of 30 Nov 2026) and reaches −€66,075 — €166,075 short of the buffer and inside the overdraft.</t>
  </si>
  <si>
    <t xml:space="preserve">Lead time</t>
  </si>
  <si>
    <t xml:space="preserve">7 weeks before the breach — enough time to act without emergency borrowing.</t>
  </si>
  <si>
    <t xml:space="preserve">Main cause</t>
  </si>
  <si>
    <t xml:space="preserve">Timing, not profitability: (1) the €230,400 Lumen receipt (invoice INV-2026-1149) moves from week 7 to after week 13; (2) it coincides with the €155,000 Holzwerk Bayern timber pre-order paid on 19 Nov (week 6); (3) week 8 itself is heavy: Holzwerk Bayern GmbH €122,068, Employees (38 FTE) €106,000, Aciers Rhône-Métal €38,640.</t>
  </si>
  <si>
    <t xml:space="preserve">Profit vs cash</t>
  </si>
  <si>
    <t xml:space="preserve">Q4 2026 still shows a net profit of ≈ €182k in the P&amp;L: the sales are real and invoiced, but the cash has not arrived yet.</t>
  </si>
  <si>
    <t xml:space="preserve">How sure are we?</t>
  </si>
  <si>
    <t xml:space="preserve">In the base case the lowest point is €100,857 in week 3 — just above the buffer, with a 25% chance of dipping below it that week (41% chance of at least one week below the buffer in 13 weeks). If the Lumen delay happens, a breach is near-certain (100% of simulations). If contractors also slow down (S2), the overdraft is used in 100% of simulations and the balance reaches about −€200,127, beyond the €150k facility — so S2 cannot be solved by the overdraft alone.</t>
  </si>
  <si>
    <t xml:space="preserve">Watch-list</t>
  </si>
  <si>
    <t xml:space="preserve">Nova Interiors is paying slower (≈ 22 days late in 2025 → ≈ 34 days in Q3 2026). Two invoices are disputed (€32k) and excluded from expected receipts until resolved.</t>
  </si>
  <si>
    <t xml:space="preserve">What to do</t>
  </si>
  <si>
    <t xml:space="preserve">See CFO_Actions. The no-regret package A1–A4 keeps S1 at ≈ €100k (the buffer); adding A6 (finance the Lumen invoice) restores headroom. Nothing is executed without the CFO's decision.</t>
  </si>
  <si>
    <t xml:space="preserve">Assumptions behind this</t>
  </si>
  <si>
    <t xml:space="preserve">Assumptions A01–A12 and scenario S01 (45 days) — change them in 'Assumptions' to test other delays; Forecast_13W updates automatically.</t>
  </si>
  <si>
    <t xml:space="preserve">Live checks (formulas)</t>
  </si>
  <si>
    <t xml:space="preserve">First week below buffer (S1)</t>
  </si>
  <si>
    <t xml:space="preserve">Lowest balance (S1)</t>
  </si>
  <si>
    <t xml:space="preserve">Lowest balance (base)</t>
  </si>
  <si>
    <t xml:space="preserve">Lumen delay assumed (days)</t>
  </si>
  <si>
    <t xml:space="preserve">Options for the CFO to evaluate under scenario S1 — the tool proposes, the CFO decides. Nothing is sent to a bank, customer or supplier automatically.</t>
  </si>
  <si>
    <t xml:space="preserve">S1 lowest balance without action: €-66,075 (week 8). 'Effect on lowest balance' = how much the lowest weekly balance of S1 improves if the action alone is taken.</t>
  </si>
  <si>
    <t xml:space="preserve">id</t>
  </si>
  <si>
    <t xml:space="preserve">action</t>
  </si>
  <si>
    <t xml:space="preserve">what it means</t>
  </si>
  <si>
    <t xml:space="preserve">effect on lowest balance (€)</t>
  </si>
  <si>
    <t xml:space="preserve">new lowest balance (€)</t>
  </si>
  <si>
    <t xml:space="preserve">week of new low</t>
  </si>
  <si>
    <t xml:space="preserve">cost / trade-off</t>
  </si>
  <si>
    <t xml:space="preserve">confidence</t>
  </si>
  <si>
    <t xml:space="preserve">owner</t>
  </si>
  <si>
    <t xml:space="preserve">status</t>
  </si>
  <si>
    <t xml:space="preserve">CFO decision</t>
  </si>
  <si>
    <t xml:space="preserve">decided by</t>
  </si>
  <si>
    <t xml:space="preserve">date</t>
  </si>
  <si>
    <t xml:space="preserve">CFO comment</t>
  </si>
  <si>
    <t xml:space="preserve">A1</t>
  </si>
  <si>
    <t xml:space="preserve">Get the two slowest contractors to pay on time</t>
  </si>
  <si>
    <t xml:space="preserve">Reminder 5 days before due date + phone follow-up for Bâtir Bureaux and Nova Interiors (they pay 22–34 days late); goal: half of their invoices due in the window paid on the due date. Late-payment penalties and the €40 fixed fee are in the terms of sale as leverage.</t>
  </si>
  <si>
    <t xml:space="preserve">Staff time; relationship risk is low (penalties are contractual)</t>
  </si>
  <si>
    <t xml:space="preserve">Medium</t>
  </si>
  <si>
    <t xml:space="preserve">Accountant + sales director</t>
  </si>
  <si>
    <t xml:space="preserve">Proposed – awaiting CFO decision</t>
  </si>
  <si>
    <t xml:space="preserve">A2</t>
  </si>
  <si>
    <t xml:space="preserve">Fix the rejected hospital invoice</t>
  </si>
  <si>
    <t xml:space="preserve">Re-submit CHU Vallée du Rhône invoice in Chorus Pro with the missing PO number (€16.8k).</t>
  </si>
  <si>
    <t xml:space="preserve">None</t>
  </si>
  <si>
    <t xml:space="preserve">High</t>
  </si>
  <si>
    <t xml:space="preserve">Accountant</t>
  </si>
  <si>
    <t xml:space="preserve">A3</t>
  </si>
  <si>
    <t xml:space="preserve">Defer the edge-bander deposit</t>
  </si>
  <si>
    <t xml:space="preserve">Move the €34.6k machine deposit from 25 Nov to January (delivery slips ~6 weeks).</t>
  </si>
  <si>
    <t xml:space="preserve">Machine arrives later; possible price revision</t>
  </si>
  <si>
    <t xml:space="preserve">CEO / CFO</t>
  </si>
  <si>
    <t xml:space="preserve">A4</t>
  </si>
  <si>
    <t xml:space="preserve">Split the Holzwerk timber bill</t>
  </si>
  <si>
    <t xml:space="preserve">Ask Holzwerk Bayern to accept 50% on 19 Nov and 50% four weeks later.</t>
  </si>
  <si>
    <t xml:space="preserve">May lose part of the 3% volume discount (≤ €4.7k)</t>
  </si>
  <si>
    <t xml:space="preserve">CFO + purchasing</t>
  </si>
  <si>
    <t xml:space="preserve">A5</t>
  </si>
  <si>
    <t xml:space="preserve">Early-payment offer to Lumen</t>
  </si>
  <si>
    <t xml:space="preserve">Offer Lumen a 2% discount if the €230k delivery invoice is paid on its usual date, and fix the installation snags fast.</t>
  </si>
  <si>
    <t xml:space="preserve">≈ €4.6k discount</t>
  </si>
  <si>
    <t xml:space="preserve">Low–Medium</t>
  </si>
  <si>
    <t xml:space="preserve">CEO (relationship owner)</t>
  </si>
  <si>
    <t xml:space="preserve">A6</t>
  </si>
  <si>
    <t xml:space="preserve">Finance the Lumen invoice</t>
  </si>
  <si>
    <t xml:space="preserve">Use invoice financing (factoring) on the €230k Lumen invoice: ~80% advanced in week 4.</t>
  </si>
  <si>
    <t xml:space="preserve">≈ €3–4k fees + interest; customer may be notified</t>
  </si>
  <si>
    <t xml:space="preserve">High (if bank agrees)</t>
  </si>
  <si>
    <t xml:space="preserve">CFO + bank</t>
  </si>
  <si>
    <t xml:space="preserve">A7</t>
  </si>
  <si>
    <t xml:space="preserve">Draw on the €150k overdraft</t>
  </si>
  <si>
    <t xml:space="preserve">Covers any balance below zero; does not restore the €100k buffer.</t>
  </si>
  <si>
    <t xml:space="preserve">≈ 4.6% p.a. on amounts drawn (S2 stress: ≈ €937 for the quarter); signals stress to the bank</t>
  </si>
  <si>
    <t xml:space="preserve">High (facility in place)</t>
  </si>
  <si>
    <t xml:space="preserve">CFO</t>
  </si>
  <si>
    <t xml:space="preserve">Packages</t>
  </si>
  <si>
    <t xml:space="preserve">A1–A4 (no-regret: collections, dispute fix, defer capex, split timber bill)</t>
  </si>
  <si>
    <t xml:space="preserve">A1–A4 + A6 (also finance the Lumen invoice)</t>
  </si>
  <si>
    <t xml:space="preserve">Stress S2 with A1–A4 + A6 → remaining gap covered by A7 overdraft</t>
  </si>
  <si>
    <t xml:space="preserve">Effects are estimates from the forecast engine (deterministic S1). Actions interact, so package effects are not the sum of single effects. Legend: yellow = CFO input.</t>
  </si>
  <si>
    <t xml:space="preserve">Every cash line behind the 13-week forecast. Expected date (base) = due date + the customer's median days late over the last 12 months (for invoices already overdue: median of the longer past delays). Scenario dates and all week numbers are formulas linked to Assumptions.</t>
  </si>
  <si>
    <t xml:space="preserve">line_id</t>
  </si>
  <si>
    <t xml:space="preserve">source_sheet</t>
  </si>
  <si>
    <t xml:space="preserve">source_id</t>
  </si>
  <si>
    <t xml:space="preserve">flow</t>
  </si>
  <si>
    <t xml:space="preserve">category</t>
  </si>
  <si>
    <t xml:space="preserve">counterparty</t>
  </si>
  <si>
    <t xml:space="preserve">customer_id</t>
  </si>
  <si>
    <t xml:space="preserve">amount_eur</t>
  </si>
  <si>
    <t xml:space="preserve">probability</t>
  </si>
  <si>
    <t xml:space="preserve">expected_value_eur</t>
  </si>
  <si>
    <t xml:space="preserve">due_date</t>
  </si>
  <si>
    <t xml:space="preserve">days_late_now</t>
  </si>
  <si>
    <t xml:space="preserve">assumed_days_late</t>
  </si>
  <si>
    <t xml:space="preserve">expected_date</t>
  </si>
  <si>
    <t xml:space="preserve">week</t>
  </si>
  <si>
    <t xml:space="preserve">expected_date_S1</t>
  </si>
  <si>
    <t xml:space="preserve">week_S1</t>
  </si>
  <si>
    <t xml:space="preserve">expected_date_S2</t>
  </si>
  <si>
    <t xml:space="preserve">week_S2</t>
  </si>
  <si>
    <t xml:space="preserve">included_in_base</t>
  </si>
  <si>
    <t xml:space="preserve">description</t>
  </si>
  <si>
    <t xml:space="preserve">L0335</t>
  </si>
  <si>
    <t xml:space="preserve">PAY-001</t>
  </si>
  <si>
    <t xml:space="preserve">Payment</t>
  </si>
  <si>
    <t xml:space="preserve">Equipment lease</t>
  </si>
  <si>
    <t xml:space="preserve">LeasEquip France</t>
  </si>
  <si>
    <t xml:space="preserve">Contractual / statutory</t>
  </si>
  <si>
    <t xml:space="preserve">Yes</t>
  </si>
  <si>
    <t xml:space="preserve">L0019</t>
  </si>
  <si>
    <t xml:space="preserve">INV-2026-1119</t>
  </si>
  <si>
    <t xml:space="preserve">Receipt</t>
  </si>
  <si>
    <t xml:space="preserve">Customer – Furniture distributor</t>
  </si>
  <si>
    <t xml:space="preserve">Officea Distribution</t>
  </si>
  <si>
    <t xml:space="preserve">C05</t>
  </si>
  <si>
    <t xml:space="preserve">Open</t>
  </si>
  <si>
    <t xml:space="preserve">Furniture order</t>
  </si>
  <si>
    <t xml:space="preserve">L0040</t>
  </si>
  <si>
    <t xml:space="preserve">INV-2026-1142</t>
  </si>
  <si>
    <t xml:space="preserve">Customer – Office fit-out contractor</t>
  </si>
  <si>
    <t xml:space="preserve">Studio Kaya Design</t>
  </si>
  <si>
    <t xml:space="preserve">C07</t>
  </si>
  <si>
    <t xml:space="preserve">L0336</t>
  </si>
  <si>
    <t xml:space="preserve">PAY-002</t>
  </si>
  <si>
    <t xml:space="preserve">Card &amp; sundry spending</t>
  </si>
  <si>
    <t xml:space="preserve">Fuel, travel, consumables</t>
  </si>
  <si>
    <t xml:space="preserve">Estimate (run-rate)</t>
  </si>
  <si>
    <t xml:space="preserve">Run-rate estimate (avg of last 26 weeks, rounded)</t>
  </si>
  <si>
    <t xml:space="preserve">L0005</t>
  </si>
  <si>
    <t xml:space="preserve">INV-2026-1093</t>
  </si>
  <si>
    <t xml:space="preserve">Customer – Export distributor</t>
  </si>
  <si>
    <t xml:space="preserve">Arkade Interiors SRL</t>
  </si>
  <si>
    <t xml:space="preserve">C12</t>
  </si>
  <si>
    <t xml:space="preserve">L0006</t>
  </si>
  <si>
    <t xml:space="preserve">INV-2026-1094</t>
  </si>
  <si>
    <t xml:space="preserve">L0042</t>
  </si>
  <si>
    <t xml:space="preserve">INV-2026-1144</t>
  </si>
  <si>
    <t xml:space="preserve">L0303</t>
  </si>
  <si>
    <t xml:space="preserve">AP_Bills</t>
  </si>
  <si>
    <t xml:space="preserve">BILL-2026-0218</t>
  </si>
  <si>
    <t xml:space="preserve">Supplier payment</t>
  </si>
  <si>
    <t xml:space="preserve">Aciers Rhône-Métal</t>
  </si>
  <si>
    <t xml:space="preserve">Open bill</t>
  </si>
  <si>
    <t xml:space="preserve">Steel frames – 1st half</t>
  </si>
  <si>
    <t xml:space="preserve">L0305</t>
  </si>
  <si>
    <t xml:space="preserve">BILL-2026-0223</t>
  </si>
  <si>
    <t xml:space="preserve">Quincaillerie Pro Est</t>
  </si>
  <si>
    <t xml:space="preserve">Hardware &amp; fittings</t>
  </si>
  <si>
    <t xml:space="preserve">L0337</t>
  </si>
  <si>
    <t xml:space="preserve">PAY-003</t>
  </si>
  <si>
    <t xml:space="preserve">Social charges &amp; income tax withheld</t>
  </si>
  <si>
    <t xml:space="preserve">URSSAF / AGIRC-ARRCO / DGFiP (PAS)</t>
  </si>
  <si>
    <t xml:space="preserve">for previous month's payroll</t>
  </si>
  <si>
    <t xml:space="preserve">L0020</t>
  </si>
  <si>
    <t xml:space="preserve">INV-2026-1120</t>
  </si>
  <si>
    <t xml:space="preserve">Customer – Direct corporate client</t>
  </si>
  <si>
    <t xml:space="preserve">Hub &amp; Desk Coworking SAS</t>
  </si>
  <si>
    <t xml:space="preserve">C11</t>
  </si>
  <si>
    <t xml:space="preserve">L0002</t>
  </si>
  <si>
    <t xml:space="preserve">INV-2026-1068</t>
  </si>
  <si>
    <t xml:space="preserve">Bâtir Bureaux SAS</t>
  </si>
  <si>
    <t xml:space="preserve">C02</t>
  </si>
  <si>
    <t xml:space="preserve">L0007</t>
  </si>
  <si>
    <t xml:space="preserve">INV-2026-1101</t>
  </si>
  <si>
    <t xml:space="preserve">Nova Interiors SARL</t>
  </si>
  <si>
    <t xml:space="preserve">C04</t>
  </si>
  <si>
    <t xml:space="preserve">L0010</t>
  </si>
  <si>
    <t xml:space="preserve">INV-2026-1105</t>
  </si>
  <si>
    <t xml:space="preserve">Mobilier Pro Rhône</t>
  </si>
  <si>
    <t xml:space="preserve">C06</t>
  </si>
  <si>
    <t xml:space="preserve">L0027</t>
  </si>
  <si>
    <t xml:space="preserve">INV-2026-1127</t>
  </si>
  <si>
    <t xml:space="preserve">L0030</t>
  </si>
  <si>
    <t xml:space="preserve">INV-2026-1130</t>
  </si>
  <si>
    <t xml:space="preserve">L0031</t>
  </si>
  <si>
    <t xml:space="preserve">INV-2026-1131</t>
  </si>
  <si>
    <t xml:space="preserve">L0033</t>
  </si>
  <si>
    <t xml:space="preserve">INV-2026-1134</t>
  </si>
  <si>
    <t xml:space="preserve">L0036</t>
  </si>
  <si>
    <t xml:space="preserve">INV-2026-1137</t>
  </si>
  <si>
    <t xml:space="preserve">L0012</t>
  </si>
  <si>
    <t xml:space="preserve">INV-2026-1108</t>
  </si>
  <si>
    <t xml:space="preserve">Espace &amp; Co Aménagement</t>
  </si>
  <si>
    <t xml:space="preserve">C03</t>
  </si>
  <si>
    <t xml:space="preserve">L0056</t>
  </si>
  <si>
    <t xml:space="preserve">INV-2026-1158</t>
  </si>
  <si>
    <t xml:space="preserve">L0057</t>
  </si>
  <si>
    <t xml:space="preserve">INV-2026-1159</t>
  </si>
  <si>
    <t xml:space="preserve">L0338</t>
  </si>
  <si>
    <t xml:space="preserve">PAY-004</t>
  </si>
  <si>
    <t xml:space="preserve">L0060</t>
  </si>
  <si>
    <t xml:space="preserve">INV-2026-1162</t>
  </si>
  <si>
    <t xml:space="preserve">L0064</t>
  </si>
  <si>
    <t xml:space="preserve">INV-2026-1166</t>
  </si>
  <si>
    <t xml:space="preserve">L0307</t>
  </si>
  <si>
    <t xml:space="preserve">BILL-2026-0225</t>
  </si>
  <si>
    <t xml:space="preserve">L0001</t>
  </si>
  <si>
    <t xml:space="preserve">INV-2026-1066</t>
  </si>
  <si>
    <t xml:space="preserve">Open – disputed</t>
  </si>
  <si>
    <t xml:space="preserve">No – disputed (A12)</t>
  </si>
  <si>
    <t xml:space="preserve">L0035</t>
  </si>
  <si>
    <t xml:space="preserve">INV-2026-1136</t>
  </si>
  <si>
    <t xml:space="preserve">L0003</t>
  </si>
  <si>
    <t xml:space="preserve">INV-2026-1085</t>
  </si>
  <si>
    <t xml:space="preserve">L0009</t>
  </si>
  <si>
    <t xml:space="preserve">INV-2026-1103</t>
  </si>
  <si>
    <t xml:space="preserve">L0014</t>
  </si>
  <si>
    <t xml:space="preserve">INV-2026-1111</t>
  </si>
  <si>
    <t xml:space="preserve">L0015</t>
  </si>
  <si>
    <t xml:space="preserve">INV-2026-1113</t>
  </si>
  <si>
    <t xml:space="preserve">L0022</t>
  </si>
  <si>
    <t xml:space="preserve">INV-2026-1122</t>
  </si>
  <si>
    <t xml:space="preserve">L0023</t>
  </si>
  <si>
    <t xml:space="preserve">INV-2026-1123</t>
  </si>
  <si>
    <t xml:space="preserve">L0339</t>
  </si>
  <si>
    <t xml:space="preserve">PAY-005</t>
  </si>
  <si>
    <t xml:space="preserve">VAT payment</t>
  </si>
  <si>
    <t xml:space="preserve">DGFiP</t>
  </si>
  <si>
    <t xml:space="preserve">Known (return prepared)</t>
  </si>
  <si>
    <t xml:space="preserve">VAT for 2026-09</t>
  </si>
  <si>
    <t xml:space="preserve">L0004</t>
  </si>
  <si>
    <t xml:space="preserve">INV-2026-1087</t>
  </si>
  <si>
    <t xml:space="preserve">L0011</t>
  </si>
  <si>
    <t xml:space="preserve">INV-2026-1107</t>
  </si>
  <si>
    <t xml:space="preserve">Customer – Public sector (hospital)</t>
  </si>
  <si>
    <t xml:space="preserve">CHU Vallée du Rhône</t>
  </si>
  <si>
    <t xml:space="preserve">C09</t>
  </si>
  <si>
    <t xml:space="preserve">L0029</t>
  </si>
  <si>
    <t xml:space="preserve">INV-2026-1129</t>
  </si>
  <si>
    <t xml:space="preserve">L0059</t>
  </si>
  <si>
    <t xml:space="preserve">INV-2026-1161</t>
  </si>
  <si>
    <t xml:space="preserve">Customer – Public sector</t>
  </si>
  <si>
    <t xml:space="preserve">Université Lyon-Est</t>
  </si>
  <si>
    <t xml:space="preserve">C08</t>
  </si>
  <si>
    <t xml:space="preserve">L0008</t>
  </si>
  <si>
    <t xml:space="preserve">INV-2026-1102</t>
  </si>
  <si>
    <t xml:space="preserve">L0340</t>
  </si>
  <si>
    <t xml:space="preserve">PAY-006</t>
  </si>
  <si>
    <t xml:space="preserve">L0052</t>
  </si>
  <si>
    <t xml:space="preserve">INV-2026-1154</t>
  </si>
  <si>
    <t xml:space="preserve">L0073</t>
  </si>
  <si>
    <t xml:space="preserve">INV-2026-1175</t>
  </si>
  <si>
    <t xml:space="preserve">L0306</t>
  </si>
  <si>
    <t xml:space="preserve">BILL-2026-0224</t>
  </si>
  <si>
    <t xml:space="preserve">Steel frames – 2nd half</t>
  </si>
  <si>
    <t xml:space="preserve">L0308</t>
  </si>
  <si>
    <t xml:space="preserve">BILL-2026-0226</t>
  </si>
  <si>
    <t xml:space="preserve">TransAlp Logistique</t>
  </si>
  <si>
    <t xml:space="preserve">Transport Sep 2026</t>
  </si>
  <si>
    <t xml:space="preserve">L0309</t>
  </si>
  <si>
    <t xml:space="preserve">BILL-2026-0227</t>
  </si>
  <si>
    <t xml:space="preserve">L0311</t>
  </si>
  <si>
    <t xml:space="preserve">BILL-2026-0229</t>
  </si>
  <si>
    <t xml:space="preserve">Holzwerk Bayern GmbH</t>
  </si>
  <si>
    <t xml:space="preserve">Timber &amp; plywood – Oct 2026 delivery</t>
  </si>
  <si>
    <t xml:space="preserve">L0341</t>
  </si>
  <si>
    <t xml:space="preserve">PAY-007</t>
  </si>
  <si>
    <t xml:space="preserve">Payroll</t>
  </si>
  <si>
    <t xml:space="preserve">Employees (38 FTE)</t>
  </si>
  <si>
    <t xml:space="preserve">L0037</t>
  </si>
  <si>
    <t xml:space="preserve">INV-2026-1139</t>
  </si>
  <si>
    <t xml:space="preserve">L0038</t>
  </si>
  <si>
    <t xml:space="preserve">INV-2026-1140</t>
  </si>
  <si>
    <t xml:space="preserve">L0050</t>
  </si>
  <si>
    <t xml:space="preserve">INV-2026-1152</t>
  </si>
  <si>
    <t xml:space="preserve">L0013</t>
  </si>
  <si>
    <t xml:space="preserve">INV-2026-1110</t>
  </si>
  <si>
    <t xml:space="preserve">L0043</t>
  </si>
  <si>
    <t xml:space="preserve">INV-2026-1145</t>
  </si>
  <si>
    <t xml:space="preserve">L0061</t>
  </si>
  <si>
    <t xml:space="preserve">INV-2026-1163</t>
  </si>
  <si>
    <t xml:space="preserve">L0063</t>
  </si>
  <si>
    <t xml:space="preserve">INV-2026-1165</t>
  </si>
  <si>
    <t xml:space="preserve">L0065</t>
  </si>
  <si>
    <t xml:space="preserve">INV-2026-1167</t>
  </si>
  <si>
    <t xml:space="preserve">L0074</t>
  </si>
  <si>
    <t xml:space="preserve">INV-2026-1176</t>
  </si>
  <si>
    <t xml:space="preserve">L0078</t>
  </si>
  <si>
    <t xml:space="preserve">INV-2026-1180</t>
  </si>
  <si>
    <t xml:space="preserve">L0342</t>
  </si>
  <si>
    <t xml:space="preserve">PAY-008</t>
  </si>
  <si>
    <t xml:space="preserve">IT, telecom &amp; software</t>
  </si>
  <si>
    <t xml:space="preserve">Various (direct debits)</t>
  </si>
  <si>
    <t xml:space="preserve">L0016</t>
  </si>
  <si>
    <t xml:space="preserve">INV-2026-1116</t>
  </si>
  <si>
    <t xml:space="preserve">L0343</t>
  </si>
  <si>
    <t xml:space="preserve">PAY-009</t>
  </si>
  <si>
    <t xml:space="preserve">L0017</t>
  </si>
  <si>
    <t xml:space="preserve">INV-2026-1117</t>
  </si>
  <si>
    <t xml:space="preserve">L0304</t>
  </si>
  <si>
    <t xml:space="preserve">BILL-2026-0221</t>
  </si>
  <si>
    <t xml:space="preserve">Feutre &amp; Textiles Lyonnais</t>
  </si>
  <si>
    <t xml:space="preserve">Acoustic felt &amp; fabrics</t>
  </si>
  <si>
    <t xml:space="preserve">L0312</t>
  </si>
  <si>
    <t xml:space="preserve">BILL-2026-0230</t>
  </si>
  <si>
    <t xml:space="preserve">L0313</t>
  </si>
  <si>
    <t xml:space="preserve">PO-2601</t>
  </si>
  <si>
    <t xml:space="preserve">Vernis Écolo SAS</t>
  </si>
  <si>
    <t xml:space="preserve">PO confirmed</t>
  </si>
  <si>
    <t xml:space="preserve">Finishes</t>
  </si>
  <si>
    <t xml:space="preserve">L0344</t>
  </si>
  <si>
    <t xml:space="preserve">PAY-010</t>
  </si>
  <si>
    <t xml:space="preserve">Bank loan repayment</t>
  </si>
  <si>
    <t xml:space="preserve">Banque Régionale (CNC machine loan)</t>
  </si>
  <si>
    <t xml:space="preserve">principal + interest</t>
  </si>
  <si>
    <t xml:space="preserve">L0018</t>
  </si>
  <si>
    <t xml:space="preserve">INV-2026-1118</t>
  </si>
  <si>
    <t xml:space="preserve">L0048</t>
  </si>
  <si>
    <t xml:space="preserve">INV-2026-1150</t>
  </si>
  <si>
    <t xml:space="preserve">L0069</t>
  </si>
  <si>
    <t xml:space="preserve">INV-2026-1171</t>
  </si>
  <si>
    <t xml:space="preserve">L0345</t>
  </si>
  <si>
    <t xml:space="preserve">PAY-011</t>
  </si>
  <si>
    <t xml:space="preserve">Energy</t>
  </si>
  <si>
    <t xml:space="preserve">Electricity &amp; gas supplier (direct debit)</t>
  </si>
  <si>
    <t xml:space="preserve">L0032</t>
  </si>
  <si>
    <t xml:space="preserve">INV-2026-1133</t>
  </si>
  <si>
    <t xml:space="preserve">L0053</t>
  </si>
  <si>
    <t xml:space="preserve">INV-2026-1155</t>
  </si>
  <si>
    <t xml:space="preserve">L0055</t>
  </si>
  <si>
    <t xml:space="preserve">INV-2026-1157</t>
  </si>
  <si>
    <t xml:space="preserve">L0062</t>
  </si>
  <si>
    <t xml:space="preserve">INV-2026-1164</t>
  </si>
  <si>
    <t xml:space="preserve">L0093</t>
  </si>
  <si>
    <t xml:space="preserve">INV-2026-1195</t>
  </si>
  <si>
    <t xml:space="preserve">L0346</t>
  </si>
  <si>
    <t xml:space="preserve">PAY-012</t>
  </si>
  <si>
    <t xml:space="preserve">L0021</t>
  </si>
  <si>
    <t xml:space="preserve">INV-2026-1121</t>
  </si>
  <si>
    <t xml:space="preserve">L0101</t>
  </si>
  <si>
    <t xml:space="preserve">INV-2026-1203</t>
  </si>
  <si>
    <t xml:space="preserve">L0102</t>
  </si>
  <si>
    <t xml:space="preserve">INV-2026-1204</t>
  </si>
  <si>
    <t xml:space="preserve">L0347</t>
  </si>
  <si>
    <t xml:space="preserve">PAY-013</t>
  </si>
  <si>
    <t xml:space="preserve">L0025</t>
  </si>
  <si>
    <t xml:space="preserve">INV-2026-1125</t>
  </si>
  <si>
    <t xml:space="preserve">L0026</t>
  </si>
  <si>
    <t xml:space="preserve">INV-2026-1126</t>
  </si>
  <si>
    <t xml:space="preserve">L0105</t>
  </si>
  <si>
    <t xml:space="preserve">INV-2026-1207</t>
  </si>
  <si>
    <t xml:space="preserve">L0315</t>
  </si>
  <si>
    <t xml:space="preserve">PO-2603</t>
  </si>
  <si>
    <t xml:space="preserve">L0081</t>
  </si>
  <si>
    <t xml:space="preserve">INV-2026-1183</t>
  </si>
  <si>
    <t xml:space="preserve">L0082</t>
  </si>
  <si>
    <t xml:space="preserve">INV-2026-1184</t>
  </si>
  <si>
    <t xml:space="preserve">L0085</t>
  </si>
  <si>
    <t xml:space="preserve">INV-2026-1187</t>
  </si>
  <si>
    <t xml:space="preserve">L0348</t>
  </si>
  <si>
    <t xml:space="preserve">PAY-014</t>
  </si>
  <si>
    <t xml:space="preserve">L0034</t>
  </si>
  <si>
    <t xml:space="preserve">INV-2026-1135</t>
  </si>
  <si>
    <t xml:space="preserve">L0041</t>
  </si>
  <si>
    <t xml:space="preserve">INV-2026-1143</t>
  </si>
  <si>
    <t xml:space="preserve">L0072</t>
  </si>
  <si>
    <t xml:space="preserve">INV-2026-1174</t>
  </si>
  <si>
    <t xml:space="preserve">L0087</t>
  </si>
  <si>
    <t xml:space="preserve">INV-2026-1189</t>
  </si>
  <si>
    <t xml:space="preserve">L0088</t>
  </si>
  <si>
    <t xml:space="preserve">INV-2026-1190</t>
  </si>
  <si>
    <t xml:space="preserve">L0104</t>
  </si>
  <si>
    <t xml:space="preserve">INV-2026-1206</t>
  </si>
  <si>
    <t xml:space="preserve">L0095</t>
  </si>
  <si>
    <t xml:space="preserve">INV-2026-1197</t>
  </si>
  <si>
    <t xml:space="preserve">L0349</t>
  </si>
  <si>
    <t xml:space="preserve">PAY-015</t>
  </si>
  <si>
    <t xml:space="preserve">L0039</t>
  </si>
  <si>
    <t xml:space="preserve">INV-2026-1141</t>
  </si>
  <si>
    <t xml:space="preserve">L0123</t>
  </si>
  <si>
    <t xml:space="preserve">ORD-2615</t>
  </si>
  <si>
    <t xml:space="preserve">Confirmed order</t>
  </si>
  <si>
    <t xml:space="preserve">L0125</t>
  </si>
  <si>
    <t xml:space="preserve">ORD-2617</t>
  </si>
  <si>
    <t xml:space="preserve">L0310</t>
  </si>
  <si>
    <t xml:space="preserve">BILL-2026-0228</t>
  </si>
  <si>
    <t xml:space="preserve">L0317</t>
  </si>
  <si>
    <t xml:space="preserve">PO-2605</t>
  </si>
  <si>
    <t xml:space="preserve">PO confirmed 28 Sep 2026 – delivery 21 Oct</t>
  </si>
  <si>
    <t xml:space="preserve">Winter timber pre-order (3% volume discount) + Azur Cannes &amp; Antibes materials</t>
  </si>
  <si>
    <t xml:space="preserve">L0318</t>
  </si>
  <si>
    <t xml:space="preserve">PO-2606</t>
  </si>
  <si>
    <t xml:space="preserve">L0111</t>
  </si>
  <si>
    <t xml:space="preserve">ORD-2603</t>
  </si>
  <si>
    <t xml:space="preserve">L0045</t>
  </si>
  <si>
    <t xml:space="preserve">INV-2026-1147</t>
  </si>
  <si>
    <t xml:space="preserve">L0046</t>
  </si>
  <si>
    <t xml:space="preserve">INV-2026-1148</t>
  </si>
  <si>
    <t xml:space="preserve">L0024</t>
  </si>
  <si>
    <t xml:space="preserve">INV-2026-1124</t>
  </si>
  <si>
    <t xml:space="preserve">L0051</t>
  </si>
  <si>
    <t xml:space="preserve">INV-2026-1153</t>
  </si>
  <si>
    <t xml:space="preserve">L0086</t>
  </si>
  <si>
    <t xml:space="preserve">INV-2026-1188</t>
  </si>
  <si>
    <t xml:space="preserve">L0096</t>
  </si>
  <si>
    <t xml:space="preserve">INV-2026-1198</t>
  </si>
  <si>
    <t xml:space="preserve">L0097</t>
  </si>
  <si>
    <t xml:space="preserve">INV-2026-1199</t>
  </si>
  <si>
    <t xml:space="preserve">L0132</t>
  </si>
  <si>
    <t xml:space="preserve">ORD-2624</t>
  </si>
  <si>
    <t xml:space="preserve">L0134</t>
  </si>
  <si>
    <t xml:space="preserve">ORD-2626</t>
  </si>
  <si>
    <t xml:space="preserve">L0350</t>
  </si>
  <si>
    <t xml:space="preserve">PAY-016</t>
  </si>
  <si>
    <t xml:space="preserve">Estimate (from invoices &amp; bills)</t>
  </si>
  <si>
    <t xml:space="preserve">VAT for 2026-10</t>
  </si>
  <si>
    <t xml:space="preserve">L0028</t>
  </si>
  <si>
    <t xml:space="preserve">INV-2026-1128</t>
  </si>
  <si>
    <t xml:space="preserve">L0044</t>
  </si>
  <si>
    <t xml:space="preserve">INV-2026-1146</t>
  </si>
  <si>
    <t xml:space="preserve">L0114</t>
  </si>
  <si>
    <t xml:space="preserve">ORD-2606</t>
  </si>
  <si>
    <t xml:space="preserve">L0140</t>
  </si>
  <si>
    <t xml:space="preserve">ORD-2632</t>
  </si>
  <si>
    <t xml:space="preserve">L0351</t>
  </si>
  <si>
    <t xml:space="preserve">PAY-017</t>
  </si>
  <si>
    <t xml:space="preserve">L0352</t>
  </si>
  <si>
    <t xml:space="preserve">PAY-018</t>
  </si>
  <si>
    <t xml:space="preserve">Capex (discretionary)</t>
  </si>
  <si>
    <t xml:space="preserve">Biesse-type edge-bander supplier</t>
  </si>
  <si>
    <t xml:space="preserve">Planned – can be deferred</t>
  </si>
  <si>
    <t xml:space="preserve">30% deposit on EUR 96k machine; delivery Feb 2027</t>
  </si>
  <si>
    <t xml:space="preserve">L0319</t>
  </si>
  <si>
    <t xml:space="preserve">PO-2607</t>
  </si>
  <si>
    <t xml:space="preserve">Transport Oct 2026</t>
  </si>
  <si>
    <t xml:space="preserve">L0320</t>
  </si>
  <si>
    <t xml:space="preserve">PO-2608</t>
  </si>
  <si>
    <t xml:space="preserve">L0047</t>
  </si>
  <si>
    <t xml:space="preserve">INV-2026-1149</t>
  </si>
  <si>
    <t xml:space="preserve">Customer – Hospitality (projects)</t>
  </si>
  <si>
    <t xml:space="preserve">Lumen Hospitality Group</t>
  </si>
  <si>
    <t xml:space="preserve">C01</t>
  </si>
  <si>
    <t xml:space="preserve">Hôtel Lumen Annecy – 40% on delivery</t>
  </si>
  <si>
    <t xml:space="preserve">L0113</t>
  </si>
  <si>
    <t xml:space="preserve">ORD-2605</t>
  </si>
  <si>
    <t xml:space="preserve">L0049</t>
  </si>
  <si>
    <t xml:space="preserve">INV-2026-1151</t>
  </si>
  <si>
    <t xml:space="preserve">L0058</t>
  </si>
  <si>
    <t xml:space="preserve">INV-2026-1160</t>
  </si>
  <si>
    <t xml:space="preserve">L0126</t>
  </si>
  <si>
    <t xml:space="preserve">ORD-2618</t>
  </si>
  <si>
    <t xml:space="preserve">L0353</t>
  </si>
  <si>
    <t xml:space="preserve">PAY-019</t>
  </si>
  <si>
    <t xml:space="preserve">L0066</t>
  </si>
  <si>
    <t xml:space="preserve">INV-2026-1168</t>
  </si>
  <si>
    <t xml:space="preserve">L0099</t>
  </si>
  <si>
    <t xml:space="preserve">INV-2026-1201</t>
  </si>
  <si>
    <t xml:space="preserve">L0103</t>
  </si>
  <si>
    <t xml:space="preserve">INV-2026-1205</t>
  </si>
  <si>
    <t xml:space="preserve">L0117</t>
  </si>
  <si>
    <t xml:space="preserve">ORD-2609</t>
  </si>
  <si>
    <t xml:space="preserve">L0118</t>
  </si>
  <si>
    <t xml:space="preserve">ORD-2610</t>
  </si>
  <si>
    <t xml:space="preserve">L0128</t>
  </si>
  <si>
    <t xml:space="preserve">ORD-2620</t>
  </si>
  <si>
    <t xml:space="preserve">L0130</t>
  </si>
  <si>
    <t xml:space="preserve">ORD-2622</t>
  </si>
  <si>
    <t xml:space="preserve">L0147</t>
  </si>
  <si>
    <t xml:space="preserve">ORD-2639</t>
  </si>
  <si>
    <t xml:space="preserve">L0067</t>
  </si>
  <si>
    <t xml:space="preserve">INV-2026-1169</t>
  </si>
  <si>
    <t xml:space="preserve">L0354</t>
  </si>
  <si>
    <t xml:space="preserve">PAY-020</t>
  </si>
  <si>
    <t xml:space="preserve">L0316</t>
  </si>
  <si>
    <t xml:space="preserve">PO-2604</t>
  </si>
  <si>
    <t xml:space="preserve">L0322</t>
  </si>
  <si>
    <t xml:space="preserve">PO-2610</t>
  </si>
  <si>
    <t xml:space="preserve">Timber &amp; plywood – Nov 2026 delivery</t>
  </si>
  <si>
    <t xml:space="preserve">L0324</t>
  </si>
  <si>
    <t xml:space="preserve">PO-2612</t>
  </si>
  <si>
    <t xml:space="preserve">L0355</t>
  </si>
  <si>
    <t xml:space="preserve">PAY-021</t>
  </si>
  <si>
    <t xml:space="preserve">L0075</t>
  </si>
  <si>
    <t xml:space="preserve">INV-2026-1177</t>
  </si>
  <si>
    <t xml:space="preserve">L0110</t>
  </si>
  <si>
    <t xml:space="preserve">ORD-2602</t>
  </si>
  <si>
    <t xml:space="preserve">L0112</t>
  </si>
  <si>
    <t xml:space="preserve">ORD-2604</t>
  </si>
  <si>
    <t xml:space="preserve">L0145</t>
  </si>
  <si>
    <t xml:space="preserve">ORD-2637</t>
  </si>
  <si>
    <t xml:space="preserve">L0356</t>
  </si>
  <si>
    <t xml:space="preserve">PAY-022</t>
  </si>
  <si>
    <t xml:space="preserve">L0054</t>
  </si>
  <si>
    <t xml:space="preserve">INV-2026-1156</t>
  </si>
  <si>
    <t xml:space="preserve">L0076</t>
  </si>
  <si>
    <t xml:space="preserve">INV-2026-1178</t>
  </si>
  <si>
    <t xml:space="preserve">L0079</t>
  </si>
  <si>
    <t xml:space="preserve">INV-2026-1181</t>
  </si>
  <si>
    <t xml:space="preserve">L0080</t>
  </si>
  <si>
    <t xml:space="preserve">INV-2026-1182</t>
  </si>
  <si>
    <t xml:space="preserve">L0090</t>
  </si>
  <si>
    <t xml:space="preserve">INV-2026-1192</t>
  </si>
  <si>
    <t xml:space="preserve">L0127</t>
  </si>
  <si>
    <t xml:space="preserve">ORD-2619</t>
  </si>
  <si>
    <t xml:space="preserve">L0129</t>
  </si>
  <si>
    <t xml:space="preserve">ORD-2621</t>
  </si>
  <si>
    <t xml:space="preserve">L0135</t>
  </si>
  <si>
    <t xml:space="preserve">ORD-2627</t>
  </si>
  <si>
    <t xml:space="preserve">L0137</t>
  </si>
  <si>
    <t xml:space="preserve">ORD-2629</t>
  </si>
  <si>
    <t xml:space="preserve">L0142</t>
  </si>
  <si>
    <t xml:space="preserve">ORD-2634</t>
  </si>
  <si>
    <t xml:space="preserve">L0146</t>
  </si>
  <si>
    <t xml:space="preserve">ORD-2638</t>
  </si>
  <si>
    <t xml:space="preserve">L0357</t>
  </si>
  <si>
    <t xml:space="preserve">PAY-023</t>
  </si>
  <si>
    <t xml:space="preserve">L0358</t>
  </si>
  <si>
    <t xml:space="preserve">PAY-024</t>
  </si>
  <si>
    <t xml:space="preserve">L0083</t>
  </si>
  <si>
    <t xml:space="preserve">INV-2026-1185</t>
  </si>
  <si>
    <t xml:space="preserve">L0314</t>
  </si>
  <si>
    <t xml:space="preserve">PO-2602</t>
  </si>
  <si>
    <t xml:space="preserve">L0326</t>
  </si>
  <si>
    <t xml:space="preserve">PO-2614</t>
  </si>
  <si>
    <t xml:space="preserve">L0327</t>
  </si>
  <si>
    <t xml:space="preserve">PO-2615</t>
  </si>
  <si>
    <t xml:space="preserve">L0359</t>
  </si>
  <si>
    <t xml:space="preserve">PAY-025</t>
  </si>
  <si>
    <t xml:space="preserve">L0154</t>
  </si>
  <si>
    <t xml:space="preserve">ORD-2646</t>
  </si>
  <si>
    <t xml:space="preserve">L0084</t>
  </si>
  <si>
    <t xml:space="preserve">INV-2026-1186</t>
  </si>
  <si>
    <t xml:space="preserve">L0089</t>
  </si>
  <si>
    <t xml:space="preserve">INV-2026-1191</t>
  </si>
  <si>
    <t xml:space="preserve">L0091</t>
  </si>
  <si>
    <t xml:space="preserve">INV-2026-1193</t>
  </si>
  <si>
    <t xml:space="preserve">L0092</t>
  </si>
  <si>
    <t xml:space="preserve">INV-2026-1194</t>
  </si>
  <si>
    <t xml:space="preserve">L0068</t>
  </si>
  <si>
    <t xml:space="preserve">INV-2026-1170</t>
  </si>
  <si>
    <t xml:space="preserve">L0094</t>
  </si>
  <si>
    <t xml:space="preserve">INV-2026-1196</t>
  </si>
  <si>
    <t xml:space="preserve">L0107</t>
  </si>
  <si>
    <t xml:space="preserve">INV-2026-1209</t>
  </si>
  <si>
    <t xml:space="preserve">L0136</t>
  </si>
  <si>
    <t xml:space="preserve">ORD-2628</t>
  </si>
  <si>
    <t xml:space="preserve">L0139</t>
  </si>
  <si>
    <t xml:space="preserve">ORD-2631</t>
  </si>
  <si>
    <t xml:space="preserve">L0144</t>
  </si>
  <si>
    <t xml:space="preserve">ORD-2636</t>
  </si>
  <si>
    <t xml:space="preserve">L0156</t>
  </si>
  <si>
    <t xml:space="preserve">ORD-2648</t>
  </si>
  <si>
    <t xml:space="preserve">L0158</t>
  </si>
  <si>
    <t xml:space="preserve">ORD-2650</t>
  </si>
  <si>
    <t xml:space="preserve">L0174</t>
  </si>
  <si>
    <t xml:space="preserve">ORD-2666</t>
  </si>
  <si>
    <t xml:space="preserve">L0185</t>
  </si>
  <si>
    <t xml:space="preserve">ORD-2677</t>
  </si>
  <si>
    <t xml:space="preserve">L0360</t>
  </si>
  <si>
    <t xml:space="preserve">PAY-026</t>
  </si>
  <si>
    <t xml:space="preserve">Business property tax</t>
  </si>
  <si>
    <t xml:space="preserve">L0361</t>
  </si>
  <si>
    <t xml:space="preserve">PAY-027</t>
  </si>
  <si>
    <t xml:space="preserve">L0362</t>
  </si>
  <si>
    <t xml:space="preserve">PAY-028</t>
  </si>
  <si>
    <t xml:space="preserve">Corporate income tax instalment</t>
  </si>
  <si>
    <t xml:space="preserve">acompte d'IS</t>
  </si>
  <si>
    <t xml:space="preserve">L0070</t>
  </si>
  <si>
    <t xml:space="preserve">INV-2026-1172</t>
  </si>
  <si>
    <t xml:space="preserve">L0071</t>
  </si>
  <si>
    <t xml:space="preserve">INV-2026-1173</t>
  </si>
  <si>
    <t xml:space="preserve">L0187</t>
  </si>
  <si>
    <t xml:space="preserve">ORD-2679</t>
  </si>
  <si>
    <t xml:space="preserve">L0188</t>
  </si>
  <si>
    <t xml:space="preserve">ORD-2680</t>
  </si>
  <si>
    <t xml:space="preserve">L0363</t>
  </si>
  <si>
    <t xml:space="preserve">PAY-029</t>
  </si>
  <si>
    <t xml:space="preserve">L0321</t>
  </si>
  <si>
    <t xml:space="preserve">PO-2609</t>
  </si>
  <si>
    <t xml:space="preserve">L0329</t>
  </si>
  <si>
    <t xml:space="preserve">PO-2617</t>
  </si>
  <si>
    <t xml:space="preserve">L0109</t>
  </si>
  <si>
    <t xml:space="preserve">ORD-2601</t>
  </si>
  <si>
    <t xml:space="preserve">L0161</t>
  </si>
  <si>
    <t xml:space="preserve">ORD-2653</t>
  </si>
  <si>
    <t xml:space="preserve">L0077</t>
  </si>
  <si>
    <t xml:space="preserve">INV-2026-1179</t>
  </si>
  <si>
    <t xml:space="preserve">L0106</t>
  </si>
  <si>
    <t xml:space="preserve">INV-2026-1208</t>
  </si>
  <si>
    <t xml:space="preserve">L0108</t>
  </si>
  <si>
    <t xml:space="preserve">INV-2026-1210</t>
  </si>
  <si>
    <t xml:space="preserve">L0168</t>
  </si>
  <si>
    <t xml:space="preserve">ORD-2660</t>
  </si>
  <si>
    <t xml:space="preserve">L0124</t>
  </si>
  <si>
    <t xml:space="preserve">ORD-2616</t>
  </si>
  <si>
    <t xml:space="preserve">L0152</t>
  </si>
  <si>
    <t xml:space="preserve">ORD-2644</t>
  </si>
  <si>
    <t xml:space="preserve">L0153</t>
  </si>
  <si>
    <t xml:space="preserve">ORD-2645</t>
  </si>
  <si>
    <t xml:space="preserve">L0171</t>
  </si>
  <si>
    <t xml:space="preserve">ORD-2663</t>
  </si>
  <si>
    <t xml:space="preserve">L0175</t>
  </si>
  <si>
    <t xml:space="preserve">ORD-2667</t>
  </si>
  <si>
    <t xml:space="preserve">L0191</t>
  </si>
  <si>
    <t xml:space="preserve">ORD-2683</t>
  </si>
  <si>
    <t xml:space="preserve">L0198</t>
  </si>
  <si>
    <t xml:space="preserve">ORD-2690</t>
  </si>
  <si>
    <t xml:space="preserve">L0199</t>
  </si>
  <si>
    <t xml:space="preserve">ORD-2691</t>
  </si>
  <si>
    <t xml:space="preserve">L0115</t>
  </si>
  <si>
    <t xml:space="preserve">ORD-2607</t>
  </si>
  <si>
    <t xml:space="preserve">L0116</t>
  </si>
  <si>
    <t xml:space="preserve">ORD-2608</t>
  </si>
  <si>
    <t xml:space="preserve">L0181</t>
  </si>
  <si>
    <t xml:space="preserve">ORD-2673</t>
  </si>
  <si>
    <t xml:space="preserve">L0182</t>
  </si>
  <si>
    <t xml:space="preserve">ORD-2674</t>
  </si>
  <si>
    <t xml:space="preserve">L0364</t>
  </si>
  <si>
    <t xml:space="preserve">PAY-030</t>
  </si>
  <si>
    <t xml:space="preserve">L0208</t>
  </si>
  <si>
    <t xml:space="preserve">ORD-2700</t>
  </si>
  <si>
    <t xml:space="preserve">L0323</t>
  </si>
  <si>
    <t xml:space="preserve">PO-2611</t>
  </si>
  <si>
    <t xml:space="preserve">Steel – Azur Cannes &amp; Antibes</t>
  </si>
  <si>
    <t xml:space="preserve">L0330</t>
  </si>
  <si>
    <t xml:space="preserve">PO-2618</t>
  </si>
  <si>
    <t xml:space="preserve">Expected (based on order book)</t>
  </si>
  <si>
    <t xml:space="preserve">Transport Nov 2026</t>
  </si>
  <si>
    <t xml:space="preserve">L0365</t>
  </si>
  <si>
    <t xml:space="preserve">PAY-031</t>
  </si>
  <si>
    <t xml:space="preserve">VAT for 2026-11</t>
  </si>
  <si>
    <t xml:space="preserve">L0120</t>
  </si>
  <si>
    <t xml:space="preserve">ORD-2612</t>
  </si>
  <si>
    <t xml:space="preserve">L0160</t>
  </si>
  <si>
    <t xml:space="preserve">ORD-2652</t>
  </si>
  <si>
    <t xml:space="preserve">L0178</t>
  </si>
  <si>
    <t xml:space="preserve">ORD-2670</t>
  </si>
  <si>
    <t xml:space="preserve">L0179</t>
  </si>
  <si>
    <t xml:space="preserve">ORD-2671</t>
  </si>
  <si>
    <t xml:space="preserve">L0122</t>
  </si>
  <si>
    <t xml:space="preserve">ORD-2614</t>
  </si>
  <si>
    <t xml:space="preserve">L0131</t>
  </si>
  <si>
    <t xml:space="preserve">ORD-2623</t>
  </si>
  <si>
    <t xml:space="preserve">L0166</t>
  </si>
  <si>
    <t xml:space="preserve">ORD-2658</t>
  </si>
  <si>
    <t xml:space="preserve">L0190</t>
  </si>
  <si>
    <t xml:space="preserve">ORD-2682</t>
  </si>
  <si>
    <t xml:space="preserve">L0098</t>
  </si>
  <si>
    <t xml:space="preserve">INV-2026-1200</t>
  </si>
  <si>
    <t xml:space="preserve">L0100</t>
  </si>
  <si>
    <t xml:space="preserve">INV-2026-1202</t>
  </si>
  <si>
    <t xml:space="preserve">L0163</t>
  </si>
  <si>
    <t xml:space="preserve">ORD-2655</t>
  </si>
  <si>
    <t xml:space="preserve">Azur Collection Hôtels</t>
  </si>
  <si>
    <t xml:space="preserve">C10</t>
  </si>
  <si>
    <t xml:space="preserve">Contract signed – milestone</t>
  </si>
  <si>
    <t xml:space="preserve">Azur Cannes &amp; Antibes – 30% order deposit</t>
  </si>
  <si>
    <t xml:space="preserve">L0172</t>
  </si>
  <si>
    <t xml:space="preserve">ORD-2664</t>
  </si>
  <si>
    <t xml:space="preserve">L0173</t>
  </si>
  <si>
    <t xml:space="preserve">ORD-2665</t>
  </si>
  <si>
    <t xml:space="preserve">L0193</t>
  </si>
  <si>
    <t xml:space="preserve">ORD-2685</t>
  </si>
  <si>
    <t xml:space="preserve">L0195</t>
  </si>
  <si>
    <t xml:space="preserve">ORD-2687</t>
  </si>
  <si>
    <t xml:space="preserve">L0121</t>
  </si>
  <si>
    <t xml:space="preserve">ORD-2613</t>
  </si>
  <si>
    <t xml:space="preserve">L0133</t>
  </si>
  <si>
    <t xml:space="preserve">ORD-2625</t>
  </si>
  <si>
    <t xml:space="preserve">L0366</t>
  </si>
  <si>
    <t xml:space="preserve">PAY-032</t>
  </si>
  <si>
    <t xml:space="preserve">L0328</t>
  </si>
  <si>
    <t xml:space="preserve">PO-2616</t>
  </si>
  <si>
    <t xml:space="preserve">L0331</t>
  </si>
  <si>
    <t xml:space="preserve">PO-2619</t>
  </si>
  <si>
    <t xml:space="preserve">L0332</t>
  </si>
  <si>
    <t xml:space="preserve">PO-2620</t>
  </si>
  <si>
    <t xml:space="preserve">Timber &amp; plywood – Dec 2026 delivery</t>
  </si>
  <si>
    <t xml:space="preserve">L0367</t>
  </si>
  <si>
    <t xml:space="preserve">PAY-033</t>
  </si>
  <si>
    <t xml:space="preserve">13th-month bonus, paid with December salaries</t>
  </si>
  <si>
    <t xml:space="preserve">L0368</t>
  </si>
  <si>
    <t xml:space="preserve">PAY-034</t>
  </si>
  <si>
    <t xml:space="preserve">L0150</t>
  </si>
  <si>
    <t xml:space="preserve">ORD-2642</t>
  </si>
  <si>
    <t xml:space="preserve">L0183</t>
  </si>
  <si>
    <t xml:space="preserve">ORD-2675</t>
  </si>
  <si>
    <t xml:space="preserve">L0369</t>
  </si>
  <si>
    <t xml:space="preserve">PAY-035</t>
  </si>
  <si>
    <t xml:space="preserve">Rent</t>
  </si>
  <si>
    <t xml:space="preserve">SCI Les Ateliers du Rhône (landlord)</t>
  </si>
  <si>
    <t xml:space="preserve">L0370</t>
  </si>
  <si>
    <t xml:space="preserve">PAY-036</t>
  </si>
  <si>
    <t xml:space="preserve">L0371</t>
  </si>
  <si>
    <t xml:space="preserve">PAY-037</t>
  </si>
  <si>
    <t xml:space="preserve">Insurance</t>
  </si>
  <si>
    <t xml:space="preserve">Insurer</t>
  </si>
  <si>
    <t xml:space="preserve">L0119</t>
  </si>
  <si>
    <t xml:space="preserve">ORD-2611</t>
  </si>
  <si>
    <t xml:space="preserve">L0197</t>
  </si>
  <si>
    <t xml:space="preserve">ORD-2689</t>
  </si>
  <si>
    <t xml:space="preserve">L0207</t>
  </si>
  <si>
    <t xml:space="preserve">ORD-2699</t>
  </si>
  <si>
    <t xml:space="preserve">L0209</t>
  </si>
  <si>
    <t xml:space="preserve">ORD-2701</t>
  </si>
  <si>
    <t xml:space="preserve">L0215</t>
  </si>
  <si>
    <t xml:space="preserve">ORD-2707</t>
  </si>
  <si>
    <t xml:space="preserve">Pipeline (expected, not yet ordered)</t>
  </si>
  <si>
    <t xml:space="preserve">L0229</t>
  </si>
  <si>
    <t xml:space="preserve">ORD-2721</t>
  </si>
  <si>
    <t xml:space="preserve">L0233</t>
  </si>
  <si>
    <t xml:space="preserve">ORD-2725</t>
  </si>
  <si>
    <t xml:space="preserve">L0372</t>
  </si>
  <si>
    <t xml:space="preserve">PAY-038</t>
  </si>
  <si>
    <t xml:space="preserve">L0148</t>
  </si>
  <si>
    <t xml:space="preserve">ORD-2640</t>
  </si>
  <si>
    <t xml:space="preserve">L0236</t>
  </si>
  <si>
    <t xml:space="preserve">ORD-2728</t>
  </si>
  <si>
    <t xml:space="preserve">L0373</t>
  </si>
  <si>
    <t xml:space="preserve">PAY-039</t>
  </si>
  <si>
    <t xml:space="preserve">L0239</t>
  </si>
  <si>
    <t xml:space="preserve">ORD-2731</t>
  </si>
  <si>
    <t xml:space="preserve">L0325</t>
  </si>
  <si>
    <t xml:space="preserve">PO-2613</t>
  </si>
  <si>
    <t xml:space="preserve">L0333</t>
  </si>
  <si>
    <t xml:space="preserve">PO-2621</t>
  </si>
  <si>
    <t xml:space="preserve">L0334</t>
  </si>
  <si>
    <t xml:space="preserve">PO-2622</t>
  </si>
  <si>
    <t xml:space="preserve">L0155</t>
  </si>
  <si>
    <t xml:space="preserve">ORD-2647</t>
  </si>
  <si>
    <t xml:space="preserve">L0164</t>
  </si>
  <si>
    <t xml:space="preserve">ORD-2656</t>
  </si>
  <si>
    <t xml:space="preserve">L0196</t>
  </si>
  <si>
    <t xml:space="preserve">ORD-2688</t>
  </si>
  <si>
    <t xml:space="preserve">L0213</t>
  </si>
  <si>
    <t xml:space="preserve">ORD-2705</t>
  </si>
  <si>
    <t xml:space="preserve">L0216</t>
  </si>
  <si>
    <t xml:space="preserve">ORD-2708</t>
  </si>
  <si>
    <t xml:space="preserve">L0374</t>
  </si>
  <si>
    <t xml:space="preserve">PAY-040</t>
  </si>
  <si>
    <t xml:space="preserve">L0149</t>
  </si>
  <si>
    <t xml:space="preserve">ORD-2641</t>
  </si>
  <si>
    <t xml:space="preserve">L0159</t>
  </si>
  <si>
    <t xml:space="preserve">ORD-2651</t>
  </si>
  <si>
    <t xml:space="preserve">L0138</t>
  </si>
  <si>
    <t xml:space="preserve">ORD-2630</t>
  </si>
  <si>
    <t xml:space="preserve">L0141</t>
  </si>
  <si>
    <t xml:space="preserve">ORD-2633</t>
  </si>
  <si>
    <t xml:space="preserve">L0157</t>
  </si>
  <si>
    <t xml:space="preserve">ORD-2649</t>
  </si>
  <si>
    <t xml:space="preserve">Hôtel Lumen Annecy – 30% on installation</t>
  </si>
  <si>
    <t xml:space="preserve">L0162</t>
  </si>
  <si>
    <t xml:space="preserve">ORD-2654</t>
  </si>
  <si>
    <t xml:space="preserve">L0204</t>
  </si>
  <si>
    <t xml:space="preserve">ORD-2696</t>
  </si>
  <si>
    <t xml:space="preserve">L0205</t>
  </si>
  <si>
    <t xml:space="preserve">ORD-2697</t>
  </si>
  <si>
    <t xml:space="preserve">L0206</t>
  </si>
  <si>
    <t xml:space="preserve">ORD-2698</t>
  </si>
  <si>
    <t xml:space="preserve">L0220</t>
  </si>
  <si>
    <t xml:space="preserve">ORD-2712</t>
  </si>
  <si>
    <t xml:space="preserve">L0221</t>
  </si>
  <si>
    <t xml:space="preserve">ORD-2713</t>
  </si>
  <si>
    <t xml:space="preserve">L0226</t>
  </si>
  <si>
    <t xml:space="preserve">ORD-2718</t>
  </si>
  <si>
    <t xml:space="preserve">L0244</t>
  </si>
  <si>
    <t xml:space="preserve">ORD-2736</t>
  </si>
  <si>
    <t xml:space="preserve">L0143</t>
  </si>
  <si>
    <t xml:space="preserve">ORD-2635</t>
  </si>
  <si>
    <t xml:space="preserve">L0165</t>
  </si>
  <si>
    <t xml:space="preserve">ORD-2657</t>
  </si>
  <si>
    <t xml:space="preserve">L0230</t>
  </si>
  <si>
    <t xml:space="preserve">ORD-2722</t>
  </si>
  <si>
    <t xml:space="preserve">L0251</t>
  </si>
  <si>
    <t xml:space="preserve">ORD-2743</t>
  </si>
  <si>
    <t xml:space="preserve">L0253</t>
  </si>
  <si>
    <t xml:space="preserve">ORD-2745</t>
  </si>
  <si>
    <t xml:space="preserve">L0170</t>
  </si>
  <si>
    <t xml:space="preserve">ORD-2662</t>
  </si>
  <si>
    <t xml:space="preserve">L0235</t>
  </si>
  <si>
    <t xml:space="preserve">ORD-2727</t>
  </si>
  <si>
    <t xml:space="preserve">L0176</t>
  </si>
  <si>
    <t xml:space="preserve">ORD-2668</t>
  </si>
  <si>
    <t xml:space="preserve">L0177</t>
  </si>
  <si>
    <t xml:space="preserve">ORD-2669</t>
  </si>
  <si>
    <t xml:space="preserve">L0184</t>
  </si>
  <si>
    <t xml:space="preserve">ORD-2676</t>
  </si>
  <si>
    <t xml:space="preserve">L0151</t>
  </si>
  <si>
    <t xml:space="preserve">ORD-2643</t>
  </si>
  <si>
    <t xml:space="preserve">L0189</t>
  </si>
  <si>
    <t xml:space="preserve">ORD-2681</t>
  </si>
  <si>
    <t xml:space="preserve">L0223</t>
  </si>
  <si>
    <t xml:space="preserve">ORD-2715</t>
  </si>
  <si>
    <t xml:space="preserve">L0227</t>
  </si>
  <si>
    <t xml:space="preserve">ORD-2719</t>
  </si>
  <si>
    <t xml:space="preserve">L0228</t>
  </si>
  <si>
    <t xml:space="preserve">ORD-2720</t>
  </si>
  <si>
    <t xml:space="preserve">L0241</t>
  </si>
  <si>
    <t xml:space="preserve">ORD-2733</t>
  </si>
  <si>
    <t xml:space="preserve">L0250</t>
  </si>
  <si>
    <t xml:space="preserve">ORD-2742</t>
  </si>
  <si>
    <t xml:space="preserve">L0276</t>
  </si>
  <si>
    <t xml:space="preserve">ORD-2768</t>
  </si>
  <si>
    <t xml:space="preserve">L0278</t>
  </si>
  <si>
    <t xml:space="preserve">ORD-2770</t>
  </si>
  <si>
    <t xml:space="preserve">L0186</t>
  </si>
  <si>
    <t xml:space="preserve">ORD-2678</t>
  </si>
  <si>
    <t xml:space="preserve">L0260</t>
  </si>
  <si>
    <t xml:space="preserve">ORD-2752</t>
  </si>
  <si>
    <t xml:space="preserve">L0192</t>
  </si>
  <si>
    <t xml:space="preserve">ORD-2684</t>
  </si>
  <si>
    <t xml:space="preserve">L0231</t>
  </si>
  <si>
    <t xml:space="preserve">ORD-2723</t>
  </si>
  <si>
    <t xml:space="preserve">L0254</t>
  </si>
  <si>
    <t xml:space="preserve">ORD-2746</t>
  </si>
  <si>
    <t xml:space="preserve">L0167</t>
  </si>
  <si>
    <t xml:space="preserve">ORD-2659</t>
  </si>
  <si>
    <t xml:space="preserve">L0169</t>
  </si>
  <si>
    <t xml:space="preserve">ORD-2661</t>
  </si>
  <si>
    <t xml:space="preserve">L0234</t>
  </si>
  <si>
    <t xml:space="preserve">ORD-2726</t>
  </si>
  <si>
    <t xml:space="preserve">L0240</t>
  </si>
  <si>
    <t xml:space="preserve">ORD-2732</t>
  </si>
  <si>
    <t xml:space="preserve">L0245</t>
  </si>
  <si>
    <t xml:space="preserve">ORD-2737</t>
  </si>
  <si>
    <t xml:space="preserve">L0246</t>
  </si>
  <si>
    <t xml:space="preserve">ORD-2738</t>
  </si>
  <si>
    <t xml:space="preserve">L0255</t>
  </si>
  <si>
    <t xml:space="preserve">ORD-2747</t>
  </si>
  <si>
    <t xml:space="preserve">L0257</t>
  </si>
  <si>
    <t xml:space="preserve">ORD-2749</t>
  </si>
  <si>
    <t xml:space="preserve">L0258</t>
  </si>
  <si>
    <t xml:space="preserve">ORD-2750</t>
  </si>
  <si>
    <t xml:space="preserve">L0194</t>
  </si>
  <si>
    <t xml:space="preserve">ORD-2686</t>
  </si>
  <si>
    <t xml:space="preserve">L0200</t>
  </si>
  <si>
    <t xml:space="preserve">ORD-2692</t>
  </si>
  <si>
    <t xml:space="preserve">L0210</t>
  </si>
  <si>
    <t xml:space="preserve">ORD-2702</t>
  </si>
  <si>
    <t xml:space="preserve">L0180</t>
  </si>
  <si>
    <t xml:space="preserve">ORD-2672</t>
  </si>
  <si>
    <t xml:space="preserve">L0280</t>
  </si>
  <si>
    <t xml:space="preserve">ORD-2772</t>
  </si>
  <si>
    <t xml:space="preserve">L0212</t>
  </si>
  <si>
    <t xml:space="preserve">ORD-2704</t>
  </si>
  <si>
    <t xml:space="preserve">L0222</t>
  </si>
  <si>
    <t xml:space="preserve">ORD-2714</t>
  </si>
  <si>
    <t xml:space="preserve">L0247</t>
  </si>
  <si>
    <t xml:space="preserve">ORD-2739</t>
  </si>
  <si>
    <t xml:space="preserve">L0256</t>
  </si>
  <si>
    <t xml:space="preserve">ORD-2748</t>
  </si>
  <si>
    <t xml:space="preserve">L0273</t>
  </si>
  <si>
    <t xml:space="preserve">ORD-2765</t>
  </si>
  <si>
    <t xml:space="preserve">L0275</t>
  </si>
  <si>
    <t xml:space="preserve">ORD-2767</t>
  </si>
  <si>
    <t xml:space="preserve">L0281</t>
  </si>
  <si>
    <t xml:space="preserve">ORD-2773</t>
  </si>
  <si>
    <t xml:space="preserve">L0203</t>
  </si>
  <si>
    <t xml:space="preserve">ORD-2695</t>
  </si>
  <si>
    <t xml:space="preserve">L0214</t>
  </si>
  <si>
    <t xml:space="preserve">ORD-2706</t>
  </si>
  <si>
    <t xml:space="preserve">L0217</t>
  </si>
  <si>
    <t xml:space="preserve">ORD-2709</t>
  </si>
  <si>
    <t xml:space="preserve">L0284</t>
  </si>
  <si>
    <t xml:space="preserve">ORD-2776</t>
  </si>
  <si>
    <t xml:space="preserve">L0285</t>
  </si>
  <si>
    <t xml:space="preserve">ORD-2777</t>
  </si>
  <si>
    <t xml:space="preserve">L0224</t>
  </si>
  <si>
    <t xml:space="preserve">ORD-2716</t>
  </si>
  <si>
    <t xml:space="preserve">L0261</t>
  </si>
  <si>
    <t xml:space="preserve">ORD-2753</t>
  </si>
  <si>
    <t xml:space="preserve">L0262</t>
  </si>
  <si>
    <t xml:space="preserve">ORD-2754</t>
  </si>
  <si>
    <t xml:space="preserve">L0263</t>
  </si>
  <si>
    <t xml:space="preserve">ORD-2755</t>
  </si>
  <si>
    <t xml:space="preserve">L0286</t>
  </si>
  <si>
    <t xml:space="preserve">ORD-2778</t>
  </si>
  <si>
    <t xml:space="preserve">L0201</t>
  </si>
  <si>
    <t xml:space="preserve">ORD-2693</t>
  </si>
  <si>
    <t xml:space="preserve">L0202</t>
  </si>
  <si>
    <t xml:space="preserve">ORD-2694</t>
  </si>
  <si>
    <t xml:space="preserve">L0237</t>
  </si>
  <si>
    <t xml:space="preserve">ORD-2729</t>
  </si>
  <si>
    <t xml:space="preserve">L0279</t>
  </si>
  <si>
    <t xml:space="preserve">ORD-2771</t>
  </si>
  <si>
    <t xml:space="preserve">L0290</t>
  </si>
  <si>
    <t xml:space="preserve">ORD-2782</t>
  </si>
  <si>
    <t xml:space="preserve">L0292</t>
  </si>
  <si>
    <t xml:space="preserve">ORD-2784</t>
  </si>
  <si>
    <t xml:space="preserve">L0225</t>
  </si>
  <si>
    <t xml:space="preserve">ORD-2717</t>
  </si>
  <si>
    <t xml:space="preserve">L0282</t>
  </si>
  <si>
    <t xml:space="preserve">ORD-2774</t>
  </si>
  <si>
    <t xml:space="preserve">L0283</t>
  </si>
  <si>
    <t xml:space="preserve">ORD-2775</t>
  </si>
  <si>
    <t xml:space="preserve">L0211</t>
  </si>
  <si>
    <t xml:space="preserve">ORD-2703</t>
  </si>
  <si>
    <t xml:space="preserve">L0242</t>
  </si>
  <si>
    <t xml:space="preserve">ORD-2734</t>
  </si>
  <si>
    <t xml:space="preserve">L0243</t>
  </si>
  <si>
    <t xml:space="preserve">ORD-2735</t>
  </si>
  <si>
    <t xml:space="preserve">L0300</t>
  </si>
  <si>
    <t xml:space="preserve">ORD-2792</t>
  </si>
  <si>
    <t xml:space="preserve">L0218</t>
  </si>
  <si>
    <t xml:space="preserve">ORD-2710</t>
  </si>
  <si>
    <t xml:space="preserve">L0219</t>
  </si>
  <si>
    <t xml:space="preserve">ORD-2711</t>
  </si>
  <si>
    <t xml:space="preserve">L0238</t>
  </si>
  <si>
    <t xml:space="preserve">ORD-2730</t>
  </si>
  <si>
    <t xml:space="preserve">L0248</t>
  </si>
  <si>
    <t xml:space="preserve">ORD-2740</t>
  </si>
  <si>
    <t xml:space="preserve">L0291</t>
  </si>
  <si>
    <t xml:space="preserve">ORD-2783</t>
  </si>
  <si>
    <t xml:space="preserve">L0301</t>
  </si>
  <si>
    <t xml:space="preserve">ORD-2793</t>
  </si>
  <si>
    <t xml:space="preserve">L0232</t>
  </si>
  <si>
    <t xml:space="preserve">ORD-2724</t>
  </si>
  <si>
    <t xml:space="preserve">L0265</t>
  </si>
  <si>
    <t xml:space="preserve">ORD-2757</t>
  </si>
  <si>
    <t xml:space="preserve">L0268</t>
  </si>
  <si>
    <t xml:space="preserve">ORD-2760</t>
  </si>
  <si>
    <t xml:space="preserve">L0295</t>
  </si>
  <si>
    <t xml:space="preserve">ORD-2787</t>
  </si>
  <si>
    <t xml:space="preserve">L0249</t>
  </si>
  <si>
    <t xml:space="preserve">ORD-2741</t>
  </si>
  <si>
    <t xml:space="preserve">L0264</t>
  </si>
  <si>
    <t xml:space="preserve">ORD-2756</t>
  </si>
  <si>
    <t xml:space="preserve">L0267</t>
  </si>
  <si>
    <t xml:space="preserve">ORD-2759</t>
  </si>
  <si>
    <t xml:space="preserve">L0269</t>
  </si>
  <si>
    <t xml:space="preserve">ORD-2761</t>
  </si>
  <si>
    <t xml:space="preserve">L0270</t>
  </si>
  <si>
    <t xml:space="preserve">ORD-2762</t>
  </si>
  <si>
    <t xml:space="preserve">L0272</t>
  </si>
  <si>
    <t xml:space="preserve">ORD-2764</t>
  </si>
  <si>
    <t xml:space="preserve">L0274</t>
  </si>
  <si>
    <t xml:space="preserve">ORD-2766</t>
  </si>
  <si>
    <t xml:space="preserve">L0277</t>
  </si>
  <si>
    <t xml:space="preserve">ORD-2769</t>
  </si>
  <si>
    <t xml:space="preserve">L0288</t>
  </si>
  <si>
    <t xml:space="preserve">ORD-2780</t>
  </si>
  <si>
    <t xml:space="preserve">L0293</t>
  </si>
  <si>
    <t xml:space="preserve">ORD-2785</t>
  </si>
  <si>
    <t xml:space="preserve">L0299</t>
  </si>
  <si>
    <t xml:space="preserve">ORD-2791</t>
  </si>
  <si>
    <t xml:space="preserve">L0252</t>
  </si>
  <si>
    <t xml:space="preserve">ORD-2744</t>
  </si>
  <si>
    <t xml:space="preserve">L0287</t>
  </si>
  <si>
    <t xml:space="preserve">ORD-2779</t>
  </si>
  <si>
    <t xml:space="preserve">L0259</t>
  </si>
  <si>
    <t xml:space="preserve">ORD-2751</t>
  </si>
  <si>
    <t xml:space="preserve">L0266</t>
  </si>
  <si>
    <t xml:space="preserve">ORD-2758</t>
  </si>
  <si>
    <t xml:space="preserve">L0271</t>
  </si>
  <si>
    <t xml:space="preserve">ORD-2763</t>
  </si>
  <si>
    <t xml:space="preserve">L0296</t>
  </si>
  <si>
    <t xml:space="preserve">ORD-2788</t>
  </si>
  <si>
    <t xml:space="preserve">L0294</t>
  </si>
  <si>
    <t xml:space="preserve">ORD-2786</t>
  </si>
  <si>
    <t xml:space="preserve">L0289</t>
  </si>
  <si>
    <t xml:space="preserve">ORD-2781</t>
  </si>
  <si>
    <t xml:space="preserve">L0298</t>
  </si>
  <si>
    <t xml:space="preserve">ORD-2790</t>
  </si>
  <si>
    <t xml:space="preserve">L0302</t>
  </si>
  <si>
    <t xml:space="preserve">ORD-2794</t>
  </si>
  <si>
    <t xml:space="preserve">L0297</t>
  </si>
  <si>
    <t xml:space="preserve">ORD-2789</t>
  </si>
  <si>
    <t xml:space="preserve">Backtest — how accurate would this method have been?</t>
  </si>
  <si>
    <t xml:space="preserve">66 weekly forecasts made every Friday from 04 Apr 2025 to 03 Jul 2026, each looking 13 weeks ahead, compared with the actual bank balance. Only information available on each forecast date is used for customer behaviour. Simplifications: payments and future invoices are taken as known (the test isolates the hard part — when customers pay).</t>
  </si>
  <si>
    <t xml:space="preserve">Headline accuracy</t>
  </si>
  <si>
    <t xml:space="preserve">metric</t>
  </si>
  <si>
    <t xml:space="preserve">this method (customer delays)</t>
  </si>
  <si>
    <t xml:space="preserve">naive (pay on due date)</t>
  </si>
  <si>
    <t xml:space="preserve">improvement</t>
  </si>
  <si>
    <t xml:space="preserve">Mean absolute error of weekly closing balance</t>
  </si>
  <si>
    <t xml:space="preserve">Bias (average error; + = too optimistic)</t>
  </si>
  <si>
    <t xml:space="preserve">MAE at week 4</t>
  </si>
  <si>
    <t xml:space="preserve">MAE at week 13</t>
  </si>
  <si>
    <t xml:space="preserve">Method comparison (tested before choosing)</t>
  </si>
  <si>
    <t xml:space="preserve">timing rule</t>
  </si>
  <si>
    <t xml:space="preserve">MAE</t>
  </si>
  <si>
    <t xml:space="preserve">bias</t>
  </si>
  <si>
    <t xml:space="preserve">comment</t>
  </si>
  <si>
    <t xml:space="preserve">Median delay per customer (chosen)</t>
  </si>
  <si>
    <t xml:space="preserve">Simple to explain: 'Bâtir Bureaux usually pays 21 days late'.</t>
  </si>
  <si>
    <t xml:space="preserve">Mean delay per customer</t>
  </si>
  <si>
    <t xml:space="preserve">Slightly better on average, but pulled by rare very late payments.</t>
  </si>
  <si>
    <t xml:space="preserve">Probability-weighted (spread each invoice over weeks)</t>
  </si>
  <si>
    <t xml:space="preserve">Best accuracy (−14% MAE); planned for version 2 — harder to show line by line.</t>
  </si>
  <si>
    <t xml:space="preserve">Naive: everyone pays on the due date</t>
  </si>
  <si>
    <t xml:space="preserve">What a basic spreadsheet does; always too optimistic.</t>
  </si>
  <si>
    <t xml:space="preserve">Warning lead time (actual weeks below the €100k buffer)</t>
  </si>
  <si>
    <t xml:space="preserve">episode starts (week of)</t>
  </si>
  <si>
    <t xml:space="preserve">lowest actual balance</t>
  </si>
  <si>
    <t xml:space="preserve">weeks below buffer</t>
  </si>
  <si>
    <t xml:space="preserve">lead time — this method (weeks)</t>
  </si>
  <si>
    <t xml:space="preserve">lead time — naive (weeks)</t>
  </si>
  <si>
    <t xml:space="preserve">Missed: only ~4 months of payment history existed when these forecasts were made, and a dividend plus summer slowdown were under-estimated. Shows why a learning period is needed.</t>
  </si>
  <si>
    <t xml:space="preserve">Flagged by the very first forecast that covered this week (maximum possible lead time); the naive forecast never flagged it.</t>
  </si>
  <si>
    <t xml:space="preserve">False alarms: 31% of this method's 'below buffer' weeks did not actually go below the buffer (naive forecast: never warns at all). A cautious warning is acceptable because the CFO reviews each one; the optimistic bias is covered by the buffer and the P10 band.</t>
  </si>
  <si>
    <t xml:space="preserve">Error by forecast horizon</t>
  </si>
  <si>
    <t xml:space="preserve">horizon (weeks ahead)</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</si>
  <si>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</si>
  <si>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</si>
  <si>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</si>
  <si>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</si>
  <si>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</si>
  <si>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</si>
  <si>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</si>
  <si>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</si>
  <si>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</si>
  <si>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</si>
  <si>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</si>
  <si>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</si>
  <si>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</si>
  <si>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MAE — this method</t>
  </si>
  <si>
    <t xml:space="preserve">MAE — naive</t>
  </si>
  <si>
    <t xml:space="preserve">Raw backtest data (one row per forecast date × week ahead)</t>
  </si>
  <si>
    <t xml:space="preserve">forecast_date</t>
  </si>
  <si>
    <t xml:space="preserve">weeks_ahead</t>
  </si>
  <si>
    <t xml:space="preserve">week_start</t>
  </si>
  <si>
    <t xml:space="preserve">actual_closing</t>
  </si>
  <si>
    <t xml:space="preserve">forecast_this_method</t>
  </si>
  <si>
    <t xml:space="preserve">forecast_naive</t>
  </si>
  <si>
    <t xml:space="preserve">error_this_method</t>
  </si>
  <si>
    <t xml:space="preserve">error_naive</t>
  </si>
  <si>
    <t xml:space="preserve">assumption</t>
  </si>
  <si>
    <t xml:space="preserve">value</t>
  </si>
  <si>
    <t xml:space="preserve">unit</t>
  </si>
  <si>
    <t xml:space="preserve">source / evidence</t>
  </si>
  <si>
    <t xml:space="preserve">last_updated</t>
  </si>
  <si>
    <t xml:space="preserve">used_for</t>
  </si>
  <si>
    <t xml:space="preserve">A01</t>
  </si>
  <si>
    <t xml:space="preserve">Forecast start (Monday of week 1)</t>
  </si>
  <si>
    <t xml:space="preserve">Data cut-off Fri 9 Oct 2026</t>
  </si>
  <si>
    <t xml:space="preserve">Week numbering</t>
  </si>
  <si>
    <t xml:space="preserve">A02</t>
  </si>
  <si>
    <t xml:space="preserve">Forecast horizon</t>
  </si>
  <si>
    <t xml:space="preserve">weeks</t>
  </si>
  <si>
    <t xml:space="preserve">Treasury standard (one quarter)</t>
  </si>
  <si>
    <t xml:space="preserve">Window</t>
  </si>
  <si>
    <t xml:space="preserve">A03</t>
  </si>
  <si>
    <t xml:space="preserve">Opening cash balance</t>
  </si>
  <si>
    <t xml:space="preserve">EUR</t>
  </si>
  <si>
    <t xml:space="preserve">Bank feeds (EBICS + PSD2), 9 Oct 2026 18:00</t>
  </si>
  <si>
    <t xml:space="preserve">System</t>
  </si>
  <si>
    <t xml:space="preserve">Starting point</t>
  </si>
  <si>
    <t xml:space="preserve">A04</t>
  </si>
  <si>
    <t xml:space="preserve">CFO policy ≈ 2 weeks of payroll + charges</t>
  </si>
  <si>
    <t xml:space="preserve">Warning threshold</t>
  </si>
  <si>
    <t xml:space="preserve">A05</t>
  </si>
  <si>
    <t xml:space="preserve">Overdraft facility</t>
  </si>
  <si>
    <t xml:space="preserve">Facility letter, Banque Régionale</t>
  </si>
  <si>
    <t xml:space="preserve">Hard limit</t>
  </si>
  <si>
    <t xml:space="preserve">A06</t>
  </si>
  <si>
    <t xml:space="preserve">Customer payment date = due date + customer's typical days late</t>
  </si>
  <si>
    <t xml:space="preserve">median, last 12 months</t>
  </si>
  <si>
    <t xml:space="preserve">rule</t>
  </si>
  <si>
    <t xml:space="preserve">AR_Invoices history (paid invoices)</t>
  </si>
  <si>
    <t xml:space="preserve">Model (reviewed by accountant)</t>
  </si>
  <si>
    <t xml:space="preserve">Receipts timing</t>
  </si>
  <si>
    <t xml:space="preserve">A07</t>
  </si>
  <si>
    <t xml:space="preserve">Look-back window for payment behaviour</t>
  </si>
  <si>
    <t xml:space="preserve">months</t>
  </si>
  <si>
    <t xml:space="preserve">Balances recency vs. sample size</t>
  </si>
  <si>
    <t xml:space="preserve">Analyst</t>
  </si>
  <si>
    <t xml:space="preserve">A08</t>
  </si>
  <si>
    <t xml:space="preserve">Pipeline orders (not yet confirmed) probability</t>
  </si>
  <si>
    <t xml:space="preserve">%</t>
  </si>
  <si>
    <t xml:space="preserve">Historical order conversion (sales team estimate)</t>
  </si>
  <si>
    <t xml:space="preserve">Sales director</t>
  </si>
  <si>
    <t xml:space="preserve">Low</t>
  </si>
  <si>
    <t xml:space="preserve">A09</t>
  </si>
  <si>
    <t xml:space="preserve">Weekly card &amp; sundry spending</t>
  </si>
  <si>
    <t xml:space="preserve">EUR/week</t>
  </si>
  <si>
    <t xml:space="preserve">Average of last 26 weeks, rounded</t>
  </si>
  <si>
    <t xml:space="preserve">A10</t>
  </si>
  <si>
    <t xml:space="preserve">Suppliers paid on the Thursday on or before due date</t>
  </si>
  <si>
    <t xml:space="preserve">Thursday run</t>
  </si>
  <si>
    <t xml:space="preserve">Company payment policy</t>
  </si>
  <si>
    <t xml:space="preserve">Payments timing</t>
  </si>
  <si>
    <t xml:space="preserve">A11</t>
  </si>
  <si>
    <t xml:space="preserve">VAT for Oct &amp; Nov 2026</t>
  </si>
  <si>
    <t xml:space="preserve">estimated</t>
  </si>
  <si>
    <t xml:space="preserve">Output VAT on invoices − deductible VAT on bills</t>
  </si>
  <si>
    <t xml:space="preserve">VAT payments</t>
  </si>
  <si>
    <t xml:space="preserve">A12</t>
  </si>
  <si>
    <t xml:space="preserve">Disputed invoices excluded from base receipts until resolved</t>
  </si>
  <si>
    <t xml:space="preserve">excluded</t>
  </si>
  <si>
    <t xml:space="preserve">Prudence</t>
  </si>
  <si>
    <t xml:space="preserve">S01</t>
  </si>
  <si>
    <t xml:space="preserve">Scenario: extra delay on Lumen Hospitality payments</t>
  </si>
  <si>
    <t xml:space="preserve">days</t>
  </si>
  <si>
    <t xml:space="preserve">Lumen's project manager flagged snags at Annecy installation (scenario)</t>
  </si>
  <si>
    <t xml:space="preserve">Scenario</t>
  </si>
  <si>
    <t xml:space="preserve">Delayed-payment scenario</t>
  </si>
  <si>
    <t xml:space="preserve">S02</t>
  </si>
  <si>
    <t xml:space="preserve">Scenario: extra delay for office fit-out contractors</t>
  </si>
  <si>
    <t xml:space="preserve">Sector slowdown; Nova Interiors already slowing</t>
  </si>
  <si>
    <t xml:space="preserve">Stress scenario</t>
  </si>
  <si>
    <t xml:space="preserve">Legend: blue = editable input · green = linked to another sheet · yellow = key assumption the CFO reviews weekly. Each change should update 'last_updated' and be noted in the change log of the proposal.</t>
  </si>
  <si>
    <t xml:space="preserve">Basis of each data attribute — regulation, published statistic, or stated assumption</t>
  </si>
  <si>
    <t xml:space="preserve">All entities and amounts are fictional. Real rules and statistics were used to make the simulated behaviour realistic. 'Assumption' = chosen by the author, not taken from a source.</t>
  </si>
  <si>
    <t xml:space="preserve">attribute in dataset</t>
  </si>
  <si>
    <t xml:space="preserve">value used</t>
  </si>
  <si>
    <t xml:space="preserve">basis</t>
  </si>
  <si>
    <t xml:space="preserve">type</t>
  </si>
  <si>
    <t xml:space="preserve">source</t>
  </si>
  <si>
    <t xml:space="preserve">Customer payment terms (Customers.payment_terms_days)</t>
  </si>
  <si>
    <t xml:space="preserve">30 / 45 / 60 days</t>
  </si>
  <si>
    <t xml:space="preserve">French B2B maximum: 60 days from invoice or 45 days end of month; 30 days if nothing agreed (Commercial Code, LME law).</t>
  </si>
  <si>
    <t xml:space="preserve">Regulation</t>
  </si>
  <si>
    <t xml:space="preserve">https://rubypayeur.com/blog/loi-lme/</t>
  </si>
  <si>
    <t xml:space="preserve">Late-payment penalties &amp; €40 fee (CFO_Actions A1)</t>
  </si>
  <si>
    <t xml:space="preserve">used as leverage</t>
  </si>
  <si>
    <t xml:space="preserve">Penalty rate and €40 fixed recovery indemnity must appear in terms of sale.</t>
  </si>
  <si>
    <t xml:space="preserve">Public customers' terms (C08 university, C09 hospital)</t>
  </si>
  <si>
    <t xml:space="preserve">30 days / 50 days</t>
  </si>
  <si>
    <t xml:space="preserve">Public buyers must pay within 30 days; public health establishments within 50 days.</t>
  </si>
  <si>
    <t xml:space="preserve">https://www.code-commande-publique.com/delais-de-paiement-l2192-10-s</t>
  </si>
  <si>
    <t xml:space="preserve">Hospital actual behaviour (C09 ≈ 50 + 20 days)</t>
  </si>
  <si>
    <t xml:space="preserve">≈ 70 days total</t>
  </si>
  <si>
    <t xml:space="preserve">Public health establishments averaged 71.3 days in mainland France vs a 50-day limit.</t>
  </si>
  <si>
    <t xml:space="preserve">Statistic (Banque de France, ODP report 2025)</t>
  </si>
  <si>
    <t xml:space="preserve">https://www.banque-france.fr/system/files/2026-09/CP_RA-ODP_20260924.pdf</t>
  </si>
  <si>
    <t xml:space="preserve">Average days late across all customers (AR_Invoices.days_late)</t>
  </si>
  <si>
    <t xml:space="preserve">10.2 days (simulated)</t>
  </si>
  <si>
    <t xml:space="preserve">Calibrated to French averages: 13.4 days late overall, 11.2 in industry, 12.1 for firms with 10–49 employees (Q4 2025, Altares data cited by the Observatoire).</t>
  </si>
  <si>
    <t xml:space="preserve">Statistic (calibration target)</t>
  </si>
  <si>
    <t xml:space="preserve">https://www.banque-france.fr/system/files/2026-07/ODP2025_WEB.pdf</t>
  </si>
  <si>
    <t xml:space="preserve">Share of payments &gt; 30 days late</t>
  </si>
  <si>
    <t xml:space="preserve">6.2% (simulated)</t>
  </si>
  <si>
    <t xml:space="preserve">France 2025: 8.6% of payments more than 30 days late. Our 6% 'long delay' shock (15–40 extra days) reproduces this order of magnitude.</t>
  </si>
  <si>
    <t xml:space="preserve">DSO ≈ 67 days</t>
  </si>
  <si>
    <t xml:space="preserve">≈ 67 days</t>
  </si>
  <si>
    <t xml:space="preserve">Deliberately higher than the national average client delay (28 days, all companies incl. cash sales) because Atelier Verde sells B2B on 45–60 day terms to contractors who wait for their own clients. Assumption.</t>
  </si>
  <si>
    <t xml:space="preserve">Assumption (contrast with statistic)</t>
  </si>
  <si>
    <t xml:space="preserve">Social charges date (Scheduled_Payments)</t>
  </si>
  <si>
    <t xml:space="preserve">15th of following month</t>
  </si>
  <si>
    <t xml:space="preserve">Companies with fewer than 50 employees file the DSN and pay contributions on the 15th of M+1 (5th for 50+).</t>
  </si>
  <si>
    <t xml:space="preserve">https://www.swim.legal/blog/urssaf-societe-role-obligations-declarations-entreprises-2026</t>
  </si>
  <si>
    <t xml:space="preserve">VAT payment date (VAT_Returns)</t>
  </si>
  <si>
    <t xml:space="preserve">24th of following month</t>
  </si>
  <si>
    <t xml:space="preserve">Monthly CA3 return due between the 15th and 24th of M+1 depending on legal form and tax office; latest date assumed.</t>
  </si>
  <si>
    <t xml:space="preserve">Regulation + assumption</t>
  </si>
  <si>
    <t xml:space="preserve">https://www.swim.legal/blog/tva-ca3-declaration-echeances-lignes</t>
  </si>
  <si>
    <t xml:space="preserve">VAT rate</t>
  </si>
  <si>
    <t xml:space="preserve">20%</t>
  </si>
  <si>
    <t xml:space="preserve">Standard French VAT rate.</t>
  </si>
  <si>
    <t xml:space="preserve">Regulation (general knowledge)</t>
  </si>
  <si>
    <t xml:space="preserve">No VAT on German supplier and Belgian customer</t>
  </si>
  <si>
    <t xml:space="preserve">reverse charge</t>
  </si>
  <si>
    <t xml:space="preserve">Intra-EU transactions: VAT is self-assessed by the buyer (autoliquidation) and reported on the CA3, so no VAT cash flow.</t>
  </si>
  <si>
    <t xml:space="preserve">Corporate tax instalments</t>
  </si>
  <si>
    <t xml:space="preserve">15 Mar / Jun / Sep / Dec</t>
  </si>
  <si>
    <t xml:space="preserve">Four fixed instalment dates for corporate income tax (acomptes d'IS).</t>
  </si>
  <si>
    <t xml:space="preserve">https://bpifrance-creation.fr/entrepreneur/actualites/acompte-dimpot-societes</t>
  </si>
  <si>
    <t xml:space="preserve">Business property tax (CFE) on 15 Dec, 13th-month bonus</t>
  </si>
  <si>
    <t xml:space="preserve">15 Dec / December payroll</t>
  </si>
  <si>
    <t xml:space="preserve">Common French practice; not verified against a specific source.</t>
  </si>
  <si>
    <t xml:space="preserve">Assumption</t>
  </si>
  <si>
    <t xml:space="preserve">13-week, weekly, rolling horizon</t>
  </si>
  <si>
    <t xml:space="preserve">13 weeks</t>
  </si>
  <si>
    <t xml:space="preserve">Treasury standard for near-term liquidity; required by lenders in stressed situations.</t>
  </si>
  <si>
    <t xml:space="preserve">Industry practice</t>
  </si>
  <si>
    <t xml:space="preserve">https://www.kognitos.com/blog/13-week-cash-flow-forecasting-treasury-standard-how-ai-changes-it-2026/</t>
  </si>
  <si>
    <t xml:space="preserve">Bank connectivity (Bank_Accounts.source_channel)</t>
  </si>
  <si>
    <t xml:space="preserve">EBICS, PSD2</t>
  </si>
  <si>
    <t xml:space="preserve">Financial Navigator connects to ~4,900 banks via Host-to-Host, EBICS or PSD2.</t>
  </si>
  <si>
    <t xml:space="preserve">Company information</t>
  </si>
  <si>
    <t xml:space="preserve">https://app.dealroom.co/companies/a352</t>
  </si>
  <si>
    <t xml:space="preserve">Milestone billing 30/40/30 for hotel projects</t>
  </si>
  <si>
    <t xml:space="preserve">30% / 40% / 30%</t>
  </si>
  <si>
    <t xml:space="preserve">Typical structure for project-based fit-out contracts.</t>
  </si>
  <si>
    <t xml:space="preserve">Cost structure (materials ≈ 44%, staff ≈ 36%, EBITDA ≈ 8%)</t>
  </si>
  <si>
    <t xml:space="preserve">see PnL_Monthly</t>
  </si>
  <si>
    <t xml:space="preserve">Chosen to represent a thin-margin make-to-order manufacturer; not benchmarked against sector data.</t>
  </si>
  <si>
    <t xml:space="preserve">Seasonality (August slump, Sep–Nov peak, Christmas closure)</t>
  </si>
  <si>
    <t xml:space="preserve">monthly factors 0.55–1.20</t>
  </si>
  <si>
    <t xml:space="preserve">Typical for office furniture (year-end budgets, summer closure).</t>
  </si>
  <si>
    <t xml:space="preserve">Overdraft €150k at EURIBOR + 2.5%, buffer €100k</t>
  </si>
  <si>
    <t xml:space="preserve">see Assumptions</t>
  </si>
  <si>
    <t xml:space="preserve">Plausible SME facility; buffer ≈ two weeks of payroll and social charges.</t>
  </si>
  <si>
    <t xml:space="preserve">Customer payment behaviour per customer</t>
  </si>
  <si>
    <t xml:space="preserve">normal distribution per customer + 6% long-delay shock</t>
  </si>
  <si>
    <t xml:space="preserve">Simulated with a fixed random seed; Nova Interiors given a deteriorating trend to test anomaly detection.</t>
  </si>
  <si>
    <t xml:space="preserve">Simulation design</t>
  </si>
  <si>
    <t xml:space="preserve">Company, customers, suppliers, banks, people</t>
  </si>
  <si>
    <t xml:space="preserve">all fictional</t>
  </si>
  <si>
    <t xml:space="preserve">Invented names; any resemblance is coincidental.</t>
  </si>
  <si>
    <t xml:space="preserve">Fictional</t>
  </si>
  <si>
    <t xml:space="preserve">sheet</t>
  </si>
  <si>
    <t xml:space="preserve">column</t>
  </si>
  <si>
    <t xml:space="preserve">meaning</t>
  </si>
  <si>
    <t xml:space="preserve">balance_eur</t>
  </si>
  <si>
    <t xml:space="preserve">Cleared balance at the cut-off time</t>
  </si>
  <si>
    <t xml:space="preserve">overdraft_limit_eur</t>
  </si>
  <si>
    <t xml:space="preserve">Authorised overdraft (negative balance allowed up to this amount)</t>
  </si>
  <si>
    <t xml:space="preserve">receipts_eur / payments_eur</t>
  </si>
  <si>
    <t xml:space="preserve">Total money in / out during the Monday–Sunday week</t>
  </si>
  <si>
    <t xml:space="preserve">Cash-flow category assigned by the bank-feed rules</t>
  </si>
  <si>
    <t xml:space="preserve">payment_terms_days</t>
  </si>
  <si>
    <t xml:space="preserve">Contractual days between invoice date and due date</t>
  </si>
  <si>
    <t xml:space="preserve">avg_days_late_12m</t>
  </si>
  <si>
    <t xml:space="preserve">Calculated: average (payment date − due date) over invoices paid since 10 Oct 2025</t>
  </si>
  <si>
    <t xml:space="preserve">amount_incl_vat</t>
  </si>
  <si>
    <t xml:space="preserve">What the customer actually pays (cash); ex_vat is the revenue in the P&amp;L</t>
  </si>
  <si>
    <t xml:space="preserve">days_late</t>
  </si>
  <si>
    <t xml:space="preserve">Payment date − due date (negative = paid early)</t>
  </si>
  <si>
    <t xml:space="preserve">Paid / Open / Open – disputed</t>
  </si>
  <si>
    <t xml:space="preserve">project</t>
  </si>
  <si>
    <t xml:space="preserve">Hotel project code for milestone invoices (blank = regular order)</t>
  </si>
  <si>
    <t xml:space="preserve">order_status</t>
  </si>
  <si>
    <t xml:space="preserve">Contract signed – milestone / Confirmed order / Pipeline (not yet ordered)</t>
  </si>
  <si>
    <t xml:space="preserve">Probability the invoice is issued (pipeline = 80%)</t>
  </si>
  <si>
    <t xml:space="preserve">scheduled_payment_date</t>
  </si>
  <si>
    <t xml:space="preserve">Date of the Thursday payment run that will pay an open bill</t>
  </si>
  <si>
    <t xml:space="preserve">planned_payment_date</t>
  </si>
  <si>
    <t xml:space="preserve">Expected payment date for a bill not yet received</t>
  </si>
  <si>
    <t xml:space="preserve">certainty</t>
  </si>
  <si>
    <t xml:space="preserve">Contractual / statutory, Known, Estimate, or Planned – can be deferred</t>
  </si>
  <si>
    <t xml:space="preserve">net_vat_payable</t>
  </si>
  <si>
    <t xml:space="preserve">Output VAT on sales − deductible VAT on purchases; paid ~24th of the next month</t>
  </si>
  <si>
    <t xml:space="preserve">Actual (closed months) or Forecast (Oct–Dec 2026)</t>
  </si>
  <si>
    <t xml:space="preserve">account_id</t>
  </si>
  <si>
    <t xml:space="preserve">bank</t>
  </si>
  <si>
    <t xml:space="preserve">account_type</t>
  </si>
  <si>
    <t xml:space="preserve">iban_masked</t>
  </si>
  <si>
    <t xml:space="preserve">currency</t>
  </si>
  <si>
    <t xml:space="preserve">as_at</t>
  </si>
  <si>
    <t xml:space="preserve">overdraft_rate</t>
  </si>
  <si>
    <t xml:space="preserve">source_channel</t>
  </si>
  <si>
    <t xml:space="preserve">BA01</t>
  </si>
  <si>
    <t xml:space="preserve">Banque Régionale (fictional)</t>
  </si>
  <si>
    <t xml:space="preserve">Main current account</t>
  </si>
  <si>
    <t xml:space="preserve">FR76 •••• •••• •••• 4821</t>
  </si>
  <si>
    <t xml:space="preserve">2026-10-09 18:00</t>
  </si>
  <si>
    <t xml:space="preserve">EURIBOR 3M + 2.5% (≈4.6% p.a.)</t>
  </si>
  <si>
    <t xml:space="preserve">EBICS</t>
  </si>
  <si>
    <t xml:space="preserve">BA02</t>
  </si>
  <si>
    <t xml:space="preserve">Banque Mutuelle (fictional)</t>
  </si>
  <si>
    <t xml:space="preserve">Secondary current account (card spending)</t>
  </si>
  <si>
    <t xml:space="preserve">FR76 •••• •••• •••• 0937</t>
  </si>
  <si>
    <t xml:space="preserve">n/a</t>
  </si>
  <si>
    <t xml:space="preserve">PSD2 API</t>
  </si>
  <si>
    <t xml:space="preserve">Total cash</t>
  </si>
  <si>
    <t xml:space="preserve">Weekly bank position, all accounts combined. Opening = previous week's closing; closing = opening + receipts − payments (formulas).</t>
  </si>
  <si>
    <t xml:space="preserve">iso_week</t>
  </si>
  <si>
    <t xml:space="preserve">week_end</t>
  </si>
  <si>
    <t xml:space="preserve">opening_balance_eur</t>
  </si>
  <si>
    <t xml:space="preserve">receipts_eur</t>
  </si>
  <si>
    <t xml:space="preserve">payments_eur</t>
  </si>
  <si>
    <t xml:space="preserve">closing_balance_eur</t>
  </si>
  <si>
    <t xml:space="preserve">2025-W14</t>
  </si>
  <si>
    <t xml:space="preserve">2025-W15</t>
  </si>
  <si>
    <t xml:space="preserve">2025-W16</t>
  </si>
  <si>
    <t xml:space="preserve">2025-W17</t>
  </si>
  <si>
    <t xml:space="preserve">2025-W18</t>
  </si>
  <si>
    <t xml:space="preserve">2025-W19</t>
  </si>
  <si>
    <t xml:space="preserve">2025-W20</t>
  </si>
  <si>
    <t xml:space="preserve">2025-W21</t>
  </si>
  <si>
    <t xml:space="preserve">2025-W22</t>
  </si>
  <si>
    <t xml:space="preserve">2025-W23</t>
  </si>
  <si>
    <t xml:space="preserve">2025-W24</t>
  </si>
  <si>
    <t xml:space="preserve">2025-W25</t>
  </si>
  <si>
    <t xml:space="preserve">2025-W26</t>
  </si>
  <si>
    <t xml:space="preserve">2025-W27</t>
  </si>
  <si>
    <t xml:space="preserve">2025-W28</t>
  </si>
  <si>
    <t xml:space="preserve">2025-W29</t>
  </si>
  <si>
    <t xml:space="preserve">2025-W30</t>
  </si>
  <si>
    <t xml:space="preserve">2025-W31</t>
  </si>
  <si>
    <t xml:space="preserve">2025-W32</t>
  </si>
  <si>
    <t xml:space="preserve">2025-W33</t>
  </si>
  <si>
    <t xml:space="preserve">2025-W34</t>
  </si>
  <si>
    <t xml:space="preserve">2025-W35</t>
  </si>
  <si>
    <t xml:space="preserve">2025-W36</t>
  </si>
  <si>
    <t xml:space="preserve">2025-W37</t>
  </si>
  <si>
    <t xml:space="preserve">2025-W38</t>
  </si>
  <si>
    <t xml:space="preserve">2025-W39</t>
  </si>
  <si>
    <t xml:space="preserve">2025-W40</t>
  </si>
  <si>
    <t xml:space="preserve">2025-W41</t>
  </si>
  <si>
    <t xml:space="preserve">2025-W42</t>
  </si>
  <si>
    <t xml:space="preserve">2025-W43</t>
  </si>
  <si>
    <t xml:space="preserve">2025-W44</t>
  </si>
  <si>
    <t xml:space="preserve">2025-W45</t>
  </si>
  <si>
    <t xml:space="preserve">2025-W46</t>
  </si>
  <si>
    <t xml:space="preserve">2025-W47</t>
  </si>
  <si>
    <t xml:space="preserve">2025-W48</t>
  </si>
  <si>
    <t xml:space="preserve">2025-W49</t>
  </si>
  <si>
    <t xml:space="preserve">2025-W50</t>
  </si>
  <si>
    <t xml:space="preserve">2025-W51</t>
  </si>
  <si>
    <t xml:space="preserve">2025-W52</t>
  </si>
  <si>
    <t xml:space="preserve">2026-W01</t>
  </si>
  <si>
    <t xml:space="preserve">2026-W02</t>
  </si>
  <si>
    <t xml:space="preserve">2026-W03</t>
  </si>
  <si>
    <t xml:space="preserve">2026-W04</t>
  </si>
  <si>
    <t xml:space="preserve">2026-W05</t>
  </si>
  <si>
    <t xml:space="preserve">2026-W06</t>
  </si>
  <si>
    <t xml:space="preserve">2026-W07</t>
  </si>
  <si>
    <t xml:space="preserve">2026-W08</t>
  </si>
  <si>
    <t xml:space="preserve">2026-W09</t>
  </si>
  <si>
    <t xml:space="preserve">2026-W10</t>
  </si>
  <si>
    <t xml:space="preserve">2026-W11</t>
  </si>
  <si>
    <t xml:space="preserve">2026-W12</t>
  </si>
  <si>
    <t xml:space="preserve">2026-W13</t>
  </si>
  <si>
    <t xml:space="preserve">2026-W14</t>
  </si>
  <si>
    <t xml:space="preserve">2026-W15</t>
  </si>
  <si>
    <t xml:space="preserve">2026-W16</t>
  </si>
  <si>
    <t xml:space="preserve">2026-W17</t>
  </si>
  <si>
    <t xml:space="preserve">2026-W18</t>
  </si>
  <si>
    <t xml:space="preserve">2026-W19</t>
  </si>
  <si>
    <t xml:space="preserve">2026-W20</t>
  </si>
  <si>
    <t xml:space="preserve">2026-W21</t>
  </si>
  <si>
    <t xml:space="preserve">2026-W22</t>
  </si>
  <si>
    <t xml:space="preserve">2026-W23</t>
  </si>
  <si>
    <t xml:space="preserve">2026-W24</t>
  </si>
  <si>
    <t xml:space="preserve">2026-W25</t>
  </si>
  <si>
    <t xml:space="preserve">2026-W26</t>
  </si>
  <si>
    <t xml:space="preserve">2026-W27</t>
  </si>
  <si>
    <t xml:space="preserve">2026-W28</t>
  </si>
  <si>
    <t xml:space="preserve">2026-W29</t>
  </si>
  <si>
    <t xml:space="preserve">2026-W30</t>
  </si>
  <si>
    <t xml:space="preserve">2026-W31</t>
  </si>
  <si>
    <t xml:space="preserve">2026-W32</t>
  </si>
  <si>
    <t xml:space="preserve">2026-W33</t>
  </si>
  <si>
    <t xml:space="preserve">2026-W34</t>
  </si>
  <si>
    <t xml:space="preserve">2026-W35</t>
  </si>
  <si>
    <t xml:space="preserve">2026-W36</t>
  </si>
  <si>
    <t xml:space="preserve">2026-W37</t>
  </si>
  <si>
    <t xml:space="preserve">2026-W38</t>
  </si>
  <si>
    <t xml:space="preserve">2026-W39</t>
  </si>
  <si>
    <t xml:space="preserve">2026-W40</t>
  </si>
  <si>
    <t xml:space="preserve">2026-W41</t>
  </si>
  <si>
    <t xml:space="preserve">transaction_id</t>
  </si>
  <si>
    <t xml:space="preserve">direction</t>
  </si>
  <si>
    <t xml:space="preserve">counterparty_name</t>
  </si>
  <si>
    <t xml:space="preserve">reference</t>
  </si>
  <si>
    <t xml:space="preserve">balance_after_eur</t>
  </si>
  <si>
    <t xml:space="preserve">TX00001</t>
  </si>
  <si>
    <t xml:space="preserve">Inflow</t>
  </si>
  <si>
    <t xml:space="preserve">Customer receipt</t>
  </si>
  <si>
    <t xml:space="preserve">INV-2025-0109</t>
  </si>
  <si>
    <t xml:space="preserve">TX00002</t>
  </si>
  <si>
    <t xml:space="preserve">Outflow</t>
  </si>
  <si>
    <t xml:space="preserve">Insurance (quarterly)</t>
  </si>
  <si>
    <t xml:space="preserve">TX00003</t>
  </si>
  <si>
    <t xml:space="preserve">Rent (quarterly in advance)</t>
  </si>
  <si>
    <t xml:space="preserve">TX00004</t>
  </si>
  <si>
    <t xml:space="preserve">INV-2025-0058</t>
  </si>
  <si>
    <t xml:space="preserve">TX00005</t>
  </si>
  <si>
    <t xml:space="preserve">INV-2025-0156</t>
  </si>
  <si>
    <t xml:space="preserve">TX00006</t>
  </si>
  <si>
    <t xml:space="preserve">TX00007</t>
  </si>
  <si>
    <t xml:space="preserve">TX00008</t>
  </si>
  <si>
    <t xml:space="preserve">BILL-2025-0035</t>
  </si>
  <si>
    <t xml:space="preserve">TX00009</t>
  </si>
  <si>
    <t xml:space="preserve">BILL-2025-0027</t>
  </si>
  <si>
    <t xml:space="preserve">TX00010</t>
  </si>
  <si>
    <t xml:space="preserve">INV-2025-0134</t>
  </si>
  <si>
    <t xml:space="preserve">TX00011</t>
  </si>
  <si>
    <t xml:space="preserve">BILL-2025-0033</t>
  </si>
  <si>
    <t xml:space="preserve">TX00012</t>
  </si>
  <si>
    <t xml:space="preserve">INV-2025-0084</t>
  </si>
  <si>
    <t xml:space="preserve">TX00013</t>
  </si>
  <si>
    <t xml:space="preserve">INV-2025-0083</t>
  </si>
  <si>
    <t xml:space="preserve">TX00014</t>
  </si>
  <si>
    <t xml:space="preserve">INV-2025-0139</t>
  </si>
  <si>
    <t xml:space="preserve">TX00015</t>
  </si>
  <si>
    <t xml:space="preserve">INV-2025-0141</t>
  </si>
  <si>
    <t xml:space="preserve">TX00016</t>
  </si>
  <si>
    <t xml:space="preserve">INV-2025-0114</t>
  </si>
  <si>
    <t xml:space="preserve">TX00017</t>
  </si>
  <si>
    <t xml:space="preserve">INV-2025-0155</t>
  </si>
  <si>
    <t xml:space="preserve">TX00018</t>
  </si>
  <si>
    <t xml:space="preserve">INV-2025-0092</t>
  </si>
  <si>
    <t xml:space="preserve">TX00019</t>
  </si>
  <si>
    <t xml:space="preserve">TX00020</t>
  </si>
  <si>
    <t xml:space="preserve">INV-2025-0136</t>
  </si>
  <si>
    <t xml:space="preserve">TX00021</t>
  </si>
  <si>
    <t xml:space="preserve">TX00022</t>
  </si>
  <si>
    <t xml:space="preserve">TX00023</t>
  </si>
  <si>
    <t xml:space="preserve">INV-2025-0131</t>
  </si>
  <si>
    <t xml:space="preserve">TX00024</t>
  </si>
  <si>
    <t xml:space="preserve">INV-2025-0166</t>
  </si>
  <si>
    <t xml:space="preserve">TX00025</t>
  </si>
  <si>
    <t xml:space="preserve">BILL-2025-0024</t>
  </si>
  <si>
    <t xml:space="preserve">TX00026</t>
  </si>
  <si>
    <t xml:space="preserve">TX00027</t>
  </si>
  <si>
    <t xml:space="preserve">BILL-2025-0038</t>
  </si>
  <si>
    <t xml:space="preserve">TX00028</t>
  </si>
  <si>
    <t xml:space="preserve">BILL-2025-0036</t>
  </si>
  <si>
    <t xml:space="preserve">TX00029</t>
  </si>
  <si>
    <t xml:space="preserve">INV-2025-0145</t>
  </si>
  <si>
    <t xml:space="preserve">TX00030</t>
  </si>
  <si>
    <t xml:space="preserve">INV-2025-0088</t>
  </si>
  <si>
    <t xml:space="preserve">TX00031</t>
  </si>
  <si>
    <t xml:space="preserve">INV-2025-0130</t>
  </si>
  <si>
    <t xml:space="preserve">TX00032</t>
  </si>
  <si>
    <t xml:space="preserve">INV-2025-0110</t>
  </si>
  <si>
    <t xml:space="preserve">TX00033</t>
  </si>
  <si>
    <t xml:space="preserve">INV-2025-0103</t>
  </si>
  <si>
    <t xml:space="preserve">TX00034</t>
  </si>
  <si>
    <t xml:space="preserve">INV-2025-0148</t>
  </si>
  <si>
    <t xml:space="preserve">TX00035</t>
  </si>
  <si>
    <t xml:space="preserve">INV-2025-0118</t>
  </si>
  <si>
    <t xml:space="preserve">TX00036</t>
  </si>
  <si>
    <t xml:space="preserve">INV-2025-0168</t>
  </si>
  <si>
    <t xml:space="preserve">TX00037</t>
  </si>
  <si>
    <t xml:space="preserve">INV-2025-0093</t>
  </si>
  <si>
    <t xml:space="preserve">TX00038</t>
  </si>
  <si>
    <t xml:space="preserve">TX00039</t>
  </si>
  <si>
    <t xml:space="preserve">INV-2025-0128</t>
  </si>
  <si>
    <t xml:space="preserve">TX00040</t>
  </si>
  <si>
    <t xml:space="preserve">INV-2025-0153</t>
  </si>
  <si>
    <t xml:space="preserve">TX00041</t>
  </si>
  <si>
    <t xml:space="preserve">TX00042</t>
  </si>
  <si>
    <t xml:space="preserve">BILL-2025-0031</t>
  </si>
  <si>
    <t xml:space="preserve">TX00043</t>
  </si>
  <si>
    <t xml:space="preserve">INV-2025-0158</t>
  </si>
  <si>
    <t xml:space="preserve">TX00044</t>
  </si>
  <si>
    <t xml:space="preserve">INV-2025-0120</t>
  </si>
  <si>
    <t xml:space="preserve">TX00045</t>
  </si>
  <si>
    <t xml:space="preserve">BILL-2025-0039</t>
  </si>
  <si>
    <t xml:space="preserve">TX00046</t>
  </si>
  <si>
    <t xml:space="preserve">INV-2025-0152</t>
  </si>
  <si>
    <t xml:space="preserve">TX00047</t>
  </si>
  <si>
    <t xml:space="preserve">INV-2025-0138</t>
  </si>
  <si>
    <t xml:space="preserve">TX00048</t>
  </si>
  <si>
    <t xml:space="preserve">INV-2025-0183</t>
  </si>
  <si>
    <t xml:space="preserve">TX00049</t>
  </si>
  <si>
    <t xml:space="preserve">INV-2025-0167</t>
  </si>
  <si>
    <t xml:space="preserve">TX00050</t>
  </si>
  <si>
    <t xml:space="preserve">INV-2025-0127</t>
  </si>
  <si>
    <t xml:space="preserve">TX00051</t>
  </si>
  <si>
    <t xml:space="preserve">INV-2025-0085</t>
  </si>
  <si>
    <t xml:space="preserve">TX00052</t>
  </si>
  <si>
    <t xml:space="preserve">INV-2025-0163</t>
  </si>
  <si>
    <t xml:space="preserve">TX00053</t>
  </si>
  <si>
    <t xml:space="preserve">INV-2025-0151</t>
  </si>
  <si>
    <t xml:space="preserve">TX00054</t>
  </si>
  <si>
    <t xml:space="preserve">INV-2025-0129</t>
  </si>
  <si>
    <t xml:space="preserve">TX00055</t>
  </si>
  <si>
    <t xml:space="preserve">INV-2025-0125</t>
  </si>
  <si>
    <t xml:space="preserve">TX00056</t>
  </si>
  <si>
    <t xml:space="preserve">INV-2025-0126</t>
  </si>
  <si>
    <t xml:space="preserve">TX00057</t>
  </si>
  <si>
    <t xml:space="preserve">TX00058</t>
  </si>
  <si>
    <t xml:space="preserve">INV-2025-0122</t>
  </si>
  <si>
    <t xml:space="preserve">TX00059</t>
  </si>
  <si>
    <t xml:space="preserve">BILL-2025-0040</t>
  </si>
  <si>
    <t xml:space="preserve">TX00060</t>
  </si>
  <si>
    <t xml:space="preserve">2025-03</t>
  </si>
  <si>
    <t xml:space="preserve">TX00061</t>
  </si>
  <si>
    <t xml:space="preserve">INV-2025-0177</t>
  </si>
  <si>
    <t xml:space="preserve">TX00062</t>
  </si>
  <si>
    <t xml:space="preserve">INV-2025-0154</t>
  </si>
  <si>
    <t xml:space="preserve">TX00063</t>
  </si>
  <si>
    <t xml:space="preserve">INV-2025-0171</t>
  </si>
  <si>
    <t xml:space="preserve">TX00064</t>
  </si>
  <si>
    <t xml:space="preserve">INV-2025-0200</t>
  </si>
  <si>
    <t xml:space="preserve">TX00065</t>
  </si>
  <si>
    <t xml:space="preserve">INV-2025-0178</t>
  </si>
  <si>
    <t xml:space="preserve">TX00066</t>
  </si>
  <si>
    <t xml:space="preserve">INV-2025-0173</t>
  </si>
  <si>
    <t xml:space="preserve">TX00067</t>
  </si>
  <si>
    <t xml:space="preserve">INV-2025-0169</t>
  </si>
  <si>
    <t xml:space="preserve">TX00068</t>
  </si>
  <si>
    <t xml:space="preserve">INV-2025-0143</t>
  </si>
  <si>
    <t xml:space="preserve">TX00069</t>
  </si>
  <si>
    <t xml:space="preserve">INV-2025-0175</t>
  </si>
  <si>
    <t xml:space="preserve">TX00070</t>
  </si>
  <si>
    <t xml:space="preserve">INV-2025-0187</t>
  </si>
  <si>
    <t xml:space="preserve">TX00071</t>
  </si>
  <si>
    <t xml:space="preserve">INV-2025-0098</t>
  </si>
  <si>
    <t xml:space="preserve">TX00072</t>
  </si>
  <si>
    <t xml:space="preserve">INV-2025-0194</t>
  </si>
  <si>
    <t xml:space="preserve">TX00073</t>
  </si>
  <si>
    <t xml:space="preserve">Payroll (net salaries)</t>
  </si>
  <si>
    <t xml:space="preserve">TX00074</t>
  </si>
  <si>
    <t xml:space="preserve">TX00075</t>
  </si>
  <si>
    <t xml:space="preserve">BILL-2025-0041</t>
  </si>
  <si>
    <t xml:space="preserve">TX00076</t>
  </si>
  <si>
    <t xml:space="preserve">BILL-2025-0037</t>
  </si>
  <si>
    <t xml:space="preserve">TX00077</t>
  </si>
  <si>
    <t xml:space="preserve">BILL-2025-0043</t>
  </si>
  <si>
    <t xml:space="preserve">TX00078</t>
  </si>
  <si>
    <t xml:space="preserve">INV-2025-0222</t>
  </si>
  <si>
    <t xml:space="preserve">TX00079</t>
  </si>
  <si>
    <t xml:space="preserve">INV-2025-0135</t>
  </si>
  <si>
    <t xml:space="preserve">TX00080</t>
  </si>
  <si>
    <t xml:space="preserve">INV-2025-0189</t>
  </si>
  <si>
    <t xml:space="preserve">TX00081</t>
  </si>
  <si>
    <t xml:space="preserve">INV-2025-0182</t>
  </si>
  <si>
    <t xml:space="preserve">TX00082</t>
  </si>
  <si>
    <t xml:space="preserve">INV-2025-0162</t>
  </si>
  <si>
    <t xml:space="preserve">TX00083</t>
  </si>
  <si>
    <t xml:space="preserve">INV-2025-0195</t>
  </si>
  <si>
    <t xml:space="preserve">TX00084</t>
  </si>
  <si>
    <t xml:space="preserve">TX00085</t>
  </si>
  <si>
    <t xml:space="preserve">INV-2025-0142</t>
  </si>
  <si>
    <t xml:space="preserve">TX00086</t>
  </si>
  <si>
    <t xml:space="preserve">INV-2025-0209</t>
  </si>
  <si>
    <t xml:space="preserve">TX00087</t>
  </si>
  <si>
    <t xml:space="preserve">TX00088</t>
  </si>
  <si>
    <t xml:space="preserve">INV-2025-0210</t>
  </si>
  <si>
    <t xml:space="preserve">TX00089</t>
  </si>
  <si>
    <t xml:space="preserve">INV-2025-0208</t>
  </si>
  <si>
    <t xml:space="preserve">TX00090</t>
  </si>
  <si>
    <t xml:space="preserve">INV-2025-0216</t>
  </si>
  <si>
    <t xml:space="preserve">TX00091</t>
  </si>
  <si>
    <t xml:space="preserve">TX00092</t>
  </si>
  <si>
    <t xml:space="preserve">BILL-2025-0034</t>
  </si>
  <si>
    <t xml:space="preserve">TX00093</t>
  </si>
  <si>
    <t xml:space="preserve">BILL-2025-0046</t>
  </si>
  <si>
    <t xml:space="preserve">TX00094</t>
  </si>
  <si>
    <t xml:space="preserve">BILL-2025-0044</t>
  </si>
  <si>
    <t xml:space="preserve">TX00095</t>
  </si>
  <si>
    <t xml:space="preserve">INV-2025-0144</t>
  </si>
  <si>
    <t xml:space="preserve">TX00096</t>
  </si>
  <si>
    <t xml:space="preserve">INV-2025-0174</t>
  </si>
  <si>
    <t xml:space="preserve">TX00097</t>
  </si>
  <si>
    <t xml:space="preserve">TX00098</t>
  </si>
  <si>
    <t xml:space="preserve">INV-2025-0199</t>
  </si>
  <si>
    <t xml:space="preserve">TX00099</t>
  </si>
  <si>
    <t xml:space="preserve">INV-2025-0159</t>
  </si>
  <si>
    <t xml:space="preserve">TX00100</t>
  </si>
  <si>
    <t xml:space="preserve">INV-2025-0202</t>
  </si>
  <si>
    <t xml:space="preserve">TX00101</t>
  </si>
  <si>
    <t xml:space="preserve">INV-2025-0172</t>
  </si>
  <si>
    <t xml:space="preserve">TX00102</t>
  </si>
  <si>
    <t xml:space="preserve">INV-2025-0204</t>
  </si>
  <si>
    <t xml:space="preserve">TX00103</t>
  </si>
  <si>
    <t xml:space="preserve">TX00104</t>
  </si>
  <si>
    <t xml:space="preserve">INV-2025-0198</t>
  </si>
  <si>
    <t xml:space="preserve">TX00105</t>
  </si>
  <si>
    <t xml:space="preserve">INV-2025-0115</t>
  </si>
  <si>
    <t xml:space="preserve">TX00106</t>
  </si>
  <si>
    <t xml:space="preserve">TX00107</t>
  </si>
  <si>
    <t xml:space="preserve">BILL-2025-0042</t>
  </si>
  <si>
    <t xml:space="preserve">TX00108</t>
  </si>
  <si>
    <t xml:space="preserve">TX00109</t>
  </si>
  <si>
    <t xml:space="preserve">INV-2025-0164</t>
  </si>
  <si>
    <t xml:space="preserve">TX00110</t>
  </si>
  <si>
    <t xml:space="preserve">Corporate income tax balance</t>
  </si>
  <si>
    <t xml:space="preserve">TX00111</t>
  </si>
  <si>
    <t xml:space="preserve">BILL-2025-0047</t>
  </si>
  <si>
    <t xml:space="preserve">TX00112</t>
  </si>
  <si>
    <t xml:space="preserve">INV-2025-0133</t>
  </si>
  <si>
    <t xml:space="preserve">TX00113</t>
  </si>
  <si>
    <t xml:space="preserve">INV-2025-0188</t>
  </si>
  <si>
    <t xml:space="preserve">TX00114</t>
  </si>
  <si>
    <t xml:space="preserve">INV-2025-0181</t>
  </si>
  <si>
    <t xml:space="preserve">TX00115</t>
  </si>
  <si>
    <t xml:space="preserve">INV-2025-0176</t>
  </si>
  <si>
    <t xml:space="preserve">TX00116</t>
  </si>
  <si>
    <t xml:space="preserve">INV-2025-0203</t>
  </si>
  <si>
    <t xml:space="preserve">TX00117</t>
  </si>
  <si>
    <t xml:space="preserve">INV-2025-0179</t>
  </si>
  <si>
    <t xml:space="preserve">TX00118</t>
  </si>
  <si>
    <t xml:space="preserve">INV-2025-0197</t>
  </si>
  <si>
    <t xml:space="preserve">TX00119</t>
  </si>
  <si>
    <t xml:space="preserve">INV-2025-0211</t>
  </si>
  <si>
    <t xml:space="preserve">TX00120</t>
  </si>
  <si>
    <t xml:space="preserve">INV-2025-0214</t>
  </si>
  <si>
    <t xml:space="preserve">TX00121</t>
  </si>
  <si>
    <t xml:space="preserve">INV-2025-0184</t>
  </si>
  <si>
    <t xml:space="preserve">TX00122</t>
  </si>
  <si>
    <t xml:space="preserve">INV-2025-0242</t>
  </si>
  <si>
    <t xml:space="preserve">TX00123</t>
  </si>
  <si>
    <t xml:space="preserve">INV-2025-0234</t>
  </si>
  <si>
    <t xml:space="preserve">TX00124</t>
  </si>
  <si>
    <t xml:space="preserve">INV-2025-0157</t>
  </si>
  <si>
    <t xml:space="preserve">TX00125</t>
  </si>
  <si>
    <t xml:space="preserve">TX00126</t>
  </si>
  <si>
    <t xml:space="preserve">INV-2025-0160</t>
  </si>
  <si>
    <t xml:space="preserve">TX00127</t>
  </si>
  <si>
    <t xml:space="preserve">INV-2025-0190</t>
  </si>
  <si>
    <t xml:space="preserve">TX00128</t>
  </si>
  <si>
    <t xml:space="preserve">BILL-2025-0049</t>
  </si>
  <si>
    <t xml:space="preserve">TX00129</t>
  </si>
  <si>
    <t xml:space="preserve">INV-2025-0246</t>
  </si>
  <si>
    <t xml:space="preserve">TX00130</t>
  </si>
  <si>
    <t xml:space="preserve">INV-2025-0220</t>
  </si>
  <si>
    <t xml:space="preserve">TX00131</t>
  </si>
  <si>
    <t xml:space="preserve">INV-2025-0224</t>
  </si>
  <si>
    <t xml:space="preserve">TX00132</t>
  </si>
  <si>
    <t xml:space="preserve">INV-2025-0235</t>
  </si>
  <si>
    <t xml:space="preserve">TX00133</t>
  </si>
  <si>
    <t xml:space="preserve">INV-2025-0212</t>
  </si>
  <si>
    <t xml:space="preserve">TX00134</t>
  </si>
  <si>
    <t xml:space="preserve">INV-2025-0207</t>
  </si>
  <si>
    <t xml:space="preserve">TX00135</t>
  </si>
  <si>
    <t xml:space="preserve">INV-2025-0219</t>
  </si>
  <si>
    <t xml:space="preserve">TX00136</t>
  </si>
  <si>
    <t xml:space="preserve">2025-04</t>
  </si>
  <si>
    <t xml:space="preserve">TX00137</t>
  </si>
  <si>
    <t xml:space="preserve">INV-2025-0185</t>
  </si>
  <si>
    <t xml:space="preserve">TX00138</t>
  </si>
  <si>
    <t xml:space="preserve">INV-2025-0245</t>
  </si>
  <si>
    <t xml:space="preserve">TX00139</t>
  </si>
  <si>
    <t xml:space="preserve">INV-2025-0213</t>
  </si>
  <si>
    <t xml:space="preserve">TX00140</t>
  </si>
  <si>
    <t xml:space="preserve">BILL-2025-0048</t>
  </si>
  <si>
    <t xml:space="preserve">TX00141</t>
  </si>
  <si>
    <t xml:space="preserve">BILL-2025-0052</t>
  </si>
  <si>
    <t xml:space="preserve">TX00142</t>
  </si>
  <si>
    <t xml:space="preserve">BILL-2025-0051</t>
  </si>
  <si>
    <t xml:space="preserve">TX00143</t>
  </si>
  <si>
    <t xml:space="preserve">BILL-2025-0050</t>
  </si>
  <si>
    <t xml:space="preserve">TX00144</t>
  </si>
  <si>
    <t xml:space="preserve">TX00145</t>
  </si>
  <si>
    <t xml:space="preserve">INV-2025-0170</t>
  </si>
  <si>
    <t xml:space="preserve">TX00146</t>
  </si>
  <si>
    <t xml:space="preserve">INV-2025-0201</t>
  </si>
  <si>
    <t xml:space="preserve">TX00147</t>
  </si>
  <si>
    <t xml:space="preserve">TX00148</t>
  </si>
  <si>
    <t xml:space="preserve">INV-2025-0150</t>
  </si>
  <si>
    <t xml:space="preserve">TX00149</t>
  </si>
  <si>
    <t xml:space="preserve">INV-2025-0230</t>
  </si>
  <si>
    <t xml:space="preserve">TX00150</t>
  </si>
  <si>
    <t xml:space="preserve">INV-2025-0191</t>
  </si>
  <si>
    <t xml:space="preserve">TX00151</t>
  </si>
  <si>
    <t xml:space="preserve">INV-2025-0215</t>
  </si>
  <si>
    <t xml:space="preserve">TX00152</t>
  </si>
  <si>
    <t xml:space="preserve">INV-2025-0223</t>
  </si>
  <si>
    <t xml:space="preserve">TX00153</t>
  </si>
  <si>
    <t xml:space="preserve">INV-2025-0161</t>
  </si>
  <si>
    <t xml:space="preserve">TX00154</t>
  </si>
  <si>
    <t xml:space="preserve">INV-2025-0266</t>
  </si>
  <si>
    <t xml:space="preserve">TX00155</t>
  </si>
  <si>
    <t xml:space="preserve">INV-2025-0146</t>
  </si>
  <si>
    <t xml:space="preserve">TX00156</t>
  </si>
  <si>
    <t xml:space="preserve">INV-2025-0232</t>
  </si>
  <si>
    <t xml:space="preserve">TX00157</t>
  </si>
  <si>
    <t xml:space="preserve">INV-2025-0240</t>
  </si>
  <si>
    <t xml:space="preserve">TX00158</t>
  </si>
  <si>
    <t xml:space="preserve">INV-2025-0217</t>
  </si>
  <si>
    <t xml:space="preserve">TX00159</t>
  </si>
  <si>
    <t xml:space="preserve">INV-2025-0236</t>
  </si>
  <si>
    <t xml:space="preserve">TX00160</t>
  </si>
  <si>
    <t xml:space="preserve">INV-2025-0218</t>
  </si>
  <si>
    <t xml:space="preserve">TX00161</t>
  </si>
  <si>
    <t xml:space="preserve">INV-2025-0229</t>
  </si>
  <si>
    <t xml:space="preserve">TX00162</t>
  </si>
  <si>
    <t xml:space="preserve">TX00163</t>
  </si>
  <si>
    <t xml:space="preserve">INV-2025-0272</t>
  </si>
  <si>
    <t xml:space="preserve">TX00164</t>
  </si>
  <si>
    <t xml:space="preserve">INV-2025-0196</t>
  </si>
  <si>
    <t xml:space="preserve">TX00165</t>
  </si>
  <si>
    <t xml:space="preserve">TX00166</t>
  </si>
  <si>
    <t xml:space="preserve">INV-2025-0206</t>
  </si>
  <si>
    <t xml:space="preserve">TX00167</t>
  </si>
  <si>
    <t xml:space="preserve">INV-2025-0265</t>
  </si>
  <si>
    <t xml:space="preserve">TX00168</t>
  </si>
  <si>
    <t xml:space="preserve">BILL-2025-0045</t>
  </si>
  <si>
    <t xml:space="preserve">TX00169</t>
  </si>
  <si>
    <t xml:space="preserve">TX00170</t>
  </si>
  <si>
    <t xml:space="preserve">BILL-2025-0054</t>
  </si>
  <si>
    <t xml:space="preserve">TX00171</t>
  </si>
  <si>
    <t xml:space="preserve">BILL-2025-0056</t>
  </si>
  <si>
    <t xml:space="preserve">TX00172</t>
  </si>
  <si>
    <t xml:space="preserve">INV-2025-0233</t>
  </si>
  <si>
    <t xml:space="preserve">TX00173</t>
  </si>
  <si>
    <t xml:space="preserve">INV-2025-0226</t>
  </si>
  <si>
    <t xml:space="preserve">TX00174</t>
  </si>
  <si>
    <t xml:space="preserve">TX00175</t>
  </si>
  <si>
    <t xml:space="preserve">INV-2025-0252</t>
  </si>
  <si>
    <t xml:space="preserve">TX00176</t>
  </si>
  <si>
    <t xml:space="preserve">INV-2025-0251</t>
  </si>
  <si>
    <t xml:space="preserve">TX00177</t>
  </si>
  <si>
    <t xml:space="preserve">INV-2025-0250</t>
  </si>
  <si>
    <t xml:space="preserve">TX00178</t>
  </si>
  <si>
    <t xml:space="preserve">INV-2025-0280</t>
  </si>
  <si>
    <t xml:space="preserve">TX00179</t>
  </si>
  <si>
    <t xml:space="preserve">TX00180</t>
  </si>
  <si>
    <t xml:space="preserve">TX00181</t>
  </si>
  <si>
    <t xml:space="preserve">INV-2025-0225</t>
  </si>
  <si>
    <t xml:space="preserve">TX00182</t>
  </si>
  <si>
    <t xml:space="preserve">INV-2025-0205</t>
  </si>
  <si>
    <t xml:space="preserve">TX00183</t>
  </si>
  <si>
    <t xml:space="preserve">BILL-2025-0057</t>
  </si>
  <si>
    <t xml:space="preserve">TX00184</t>
  </si>
  <si>
    <t xml:space="preserve">INV-2025-0257</t>
  </si>
  <si>
    <t xml:space="preserve">TX00185</t>
  </si>
  <si>
    <t xml:space="preserve">INV-2025-0256</t>
  </si>
  <si>
    <t xml:space="preserve">TX00186</t>
  </si>
  <si>
    <t xml:space="preserve">INV-2025-0193</t>
  </si>
  <si>
    <t xml:space="preserve">TX00187</t>
  </si>
  <si>
    <t xml:space="preserve">INV-2025-0264</t>
  </si>
  <si>
    <t xml:space="preserve">TX00188</t>
  </si>
  <si>
    <t xml:space="preserve">INV-2025-0192</t>
  </si>
  <si>
    <t xml:space="preserve">TX00189</t>
  </si>
  <si>
    <t xml:space="preserve">INV-2025-0248</t>
  </si>
  <si>
    <t xml:space="preserve">TX00190</t>
  </si>
  <si>
    <t xml:space="preserve">TX00191</t>
  </si>
  <si>
    <t xml:space="preserve">INV-2025-0267</t>
  </si>
  <si>
    <t xml:space="preserve">TX00192</t>
  </si>
  <si>
    <t xml:space="preserve">INV-2025-0231</t>
  </si>
  <si>
    <t xml:space="preserve">TX00193</t>
  </si>
  <si>
    <t xml:space="preserve">INV-2025-0291</t>
  </si>
  <si>
    <t xml:space="preserve">TX00194</t>
  </si>
  <si>
    <t xml:space="preserve">INV-2025-0165</t>
  </si>
  <si>
    <t xml:space="preserve">TX00195</t>
  </si>
  <si>
    <t xml:space="preserve">INV-2025-0261</t>
  </si>
  <si>
    <t xml:space="preserve">TX00196</t>
  </si>
  <si>
    <t xml:space="preserve">INV-2025-0228</t>
  </si>
  <si>
    <t xml:space="preserve">TX00197</t>
  </si>
  <si>
    <t xml:space="preserve">TX00198</t>
  </si>
  <si>
    <t xml:space="preserve">INV-2025-0237</t>
  </si>
  <si>
    <t xml:space="preserve">TX00199</t>
  </si>
  <si>
    <t xml:space="preserve">INV-2025-0247</t>
  </si>
  <si>
    <t xml:space="preserve">TX00200</t>
  </si>
  <si>
    <t xml:space="preserve">TX00201</t>
  </si>
  <si>
    <t xml:space="preserve">BILL-2025-0059</t>
  </si>
  <si>
    <t xml:space="preserve">TX00202</t>
  </si>
  <si>
    <t xml:space="preserve">INV-2025-0271</t>
  </si>
  <si>
    <t xml:space="preserve">TX00203</t>
  </si>
  <si>
    <t xml:space="preserve">BILL-2025-0053</t>
  </si>
  <si>
    <t xml:space="preserve">TX00204</t>
  </si>
  <si>
    <t xml:space="preserve">INV-2025-0239</t>
  </si>
  <si>
    <t xml:space="preserve">TX00205</t>
  </si>
  <si>
    <t xml:space="preserve">INV-2025-0241</t>
  </si>
  <si>
    <t xml:space="preserve">TX00206</t>
  </si>
  <si>
    <t xml:space="preserve">INV-2025-0186</t>
  </si>
  <si>
    <t xml:space="preserve">TX00207</t>
  </si>
  <si>
    <t xml:space="preserve">INV-2025-0298</t>
  </si>
  <si>
    <t xml:space="preserve">TX00208</t>
  </si>
  <si>
    <t xml:space="preserve">INV-2025-0275</t>
  </si>
  <si>
    <t xml:space="preserve">TX00209</t>
  </si>
  <si>
    <t xml:space="preserve">INV-2025-0254</t>
  </si>
  <si>
    <t xml:space="preserve">TX00210</t>
  </si>
  <si>
    <t xml:space="preserve">INV-2025-0255</t>
  </si>
  <si>
    <t xml:space="preserve">TX00211</t>
  </si>
  <si>
    <t xml:space="preserve">INV-2025-0278</t>
  </si>
  <si>
    <t xml:space="preserve">TX00212</t>
  </si>
  <si>
    <t xml:space="preserve">INV-2025-0277</t>
  </si>
  <si>
    <t xml:space="preserve">TX00213</t>
  </si>
  <si>
    <t xml:space="preserve">INV-2025-0296</t>
  </si>
  <si>
    <t xml:space="preserve">TX00214</t>
  </si>
  <si>
    <t xml:space="preserve">2025-05</t>
  </si>
  <si>
    <t xml:space="preserve">TX00215</t>
  </si>
  <si>
    <t xml:space="preserve">TX00216</t>
  </si>
  <si>
    <t xml:space="preserve">BILL-2025-0060</t>
  </si>
  <si>
    <t xml:space="preserve">TX00217</t>
  </si>
  <si>
    <t xml:space="preserve">INV-2025-0238</t>
  </si>
  <si>
    <t xml:space="preserve">TX00218</t>
  </si>
  <si>
    <t xml:space="preserve">INV-2025-0253</t>
  </si>
  <si>
    <t xml:space="preserve">TX00219</t>
  </si>
  <si>
    <t xml:space="preserve">BILL-2025-0061</t>
  </si>
  <si>
    <t xml:space="preserve">TX00220</t>
  </si>
  <si>
    <t xml:space="preserve">INV-2025-0292</t>
  </si>
  <si>
    <t xml:space="preserve">TX00221</t>
  </si>
  <si>
    <t xml:space="preserve">Dividend</t>
  </si>
  <si>
    <t xml:space="preserve">Shareholders</t>
  </si>
  <si>
    <t xml:space="preserve">TX00222</t>
  </si>
  <si>
    <t xml:space="preserve">TX00223</t>
  </si>
  <si>
    <t xml:space="preserve">INV-2025-0283</t>
  </si>
  <si>
    <t xml:space="preserve">TX00224</t>
  </si>
  <si>
    <t xml:space="preserve">INV-2025-0293</t>
  </si>
  <si>
    <t xml:space="preserve">TX00225</t>
  </si>
  <si>
    <t xml:space="preserve">TX00226</t>
  </si>
  <si>
    <t xml:space="preserve">TX00227</t>
  </si>
  <si>
    <t xml:space="preserve">INV-2025-0221</t>
  </si>
  <si>
    <t xml:space="preserve">TX00228</t>
  </si>
  <si>
    <t xml:space="preserve">TX00229</t>
  </si>
  <si>
    <t xml:space="preserve">INV-2025-0273</t>
  </si>
  <si>
    <t xml:space="preserve">TX00230</t>
  </si>
  <si>
    <t xml:space="preserve">INV-2025-0269</t>
  </si>
  <si>
    <t xml:space="preserve">TX00231</t>
  </si>
  <si>
    <t xml:space="preserve">TX00232</t>
  </si>
  <si>
    <t xml:space="preserve">BILL-2025-0058</t>
  </si>
  <si>
    <t xml:space="preserve">TX00233</t>
  </si>
  <si>
    <t xml:space="preserve">INV-2025-0249</t>
  </si>
  <si>
    <t xml:space="preserve">TX00234</t>
  </si>
  <si>
    <t xml:space="preserve">BILL-2025-0063</t>
  </si>
  <si>
    <t xml:space="preserve">TX00235</t>
  </si>
  <si>
    <t xml:space="preserve">INV-2025-0290</t>
  </si>
  <si>
    <t xml:space="preserve">TX00236</t>
  </si>
  <si>
    <t xml:space="preserve">INV-2025-0180</t>
  </si>
  <si>
    <t xml:space="preserve">TX00237</t>
  </si>
  <si>
    <t xml:space="preserve">INV-2025-0308</t>
  </si>
  <si>
    <t xml:space="preserve">TX00238</t>
  </si>
  <si>
    <t xml:space="preserve">INV-2025-0295</t>
  </si>
  <si>
    <t xml:space="preserve">TX00239</t>
  </si>
  <si>
    <t xml:space="preserve">INV-2025-0304</t>
  </si>
  <si>
    <t xml:space="preserve">TX00240</t>
  </si>
  <si>
    <t xml:space="preserve">INV-2025-0303</t>
  </si>
  <si>
    <t xml:space="preserve">TX00241</t>
  </si>
  <si>
    <t xml:space="preserve">INV-2025-0326</t>
  </si>
  <si>
    <t xml:space="preserve">TX00242</t>
  </si>
  <si>
    <t xml:space="preserve">INV-2025-0301</t>
  </si>
  <si>
    <t xml:space="preserve">TX00243</t>
  </si>
  <si>
    <t xml:space="preserve">INV-2025-0300</t>
  </si>
  <si>
    <t xml:space="preserve">TX00244</t>
  </si>
  <si>
    <t xml:space="preserve">TX00245</t>
  </si>
  <si>
    <t xml:space="preserve">INV-2025-0243</t>
  </si>
  <si>
    <t xml:space="preserve">TX00246</t>
  </si>
  <si>
    <t xml:space="preserve">INV-2025-0270</t>
  </si>
  <si>
    <t xml:space="preserve">TX00247</t>
  </si>
  <si>
    <t xml:space="preserve">INV-2025-0262</t>
  </si>
  <si>
    <t xml:space="preserve">TX00248</t>
  </si>
  <si>
    <t xml:space="preserve">TX00249</t>
  </si>
  <si>
    <t xml:space="preserve">INV-2025-0288</t>
  </si>
  <si>
    <t xml:space="preserve">TX00250</t>
  </si>
  <si>
    <t xml:space="preserve">INV-2025-0286</t>
  </si>
  <si>
    <t xml:space="preserve">TX00251</t>
  </si>
  <si>
    <t xml:space="preserve">TX00252</t>
  </si>
  <si>
    <t xml:space="preserve">TX00253</t>
  </si>
  <si>
    <t xml:space="preserve">INV-2025-0260</t>
  </si>
  <si>
    <t xml:space="preserve">TX00254</t>
  </si>
  <si>
    <t xml:space="preserve">BILL-2025-0068</t>
  </si>
  <si>
    <t xml:space="preserve">TX00255</t>
  </si>
  <si>
    <t xml:space="preserve">BILL-2025-0066</t>
  </si>
  <si>
    <t xml:space="preserve">TX00256</t>
  </si>
  <si>
    <t xml:space="preserve">BILL-2025-0055</t>
  </si>
  <si>
    <t xml:space="preserve">TX00257</t>
  </si>
  <si>
    <t xml:space="preserve">BILL-2025-0065</t>
  </si>
  <si>
    <t xml:space="preserve">TX00258</t>
  </si>
  <si>
    <t xml:space="preserve">BILL-2025-0067</t>
  </si>
  <si>
    <t xml:space="preserve">TX00259</t>
  </si>
  <si>
    <t xml:space="preserve">INV-2025-0263</t>
  </si>
  <si>
    <t xml:space="preserve">TX00260</t>
  </si>
  <si>
    <t xml:space="preserve">INV-2025-0259</t>
  </si>
  <si>
    <t xml:space="preserve">TX00261</t>
  </si>
  <si>
    <t xml:space="preserve">INV-2025-0313</t>
  </si>
  <si>
    <t xml:space="preserve">TX00262</t>
  </si>
  <si>
    <t xml:space="preserve">INV-2025-0244</t>
  </si>
  <si>
    <t xml:space="preserve">TX00263</t>
  </si>
  <si>
    <t xml:space="preserve">INV-2025-0314</t>
  </si>
  <si>
    <t xml:space="preserve">TX00264</t>
  </si>
  <si>
    <t xml:space="preserve">INV-2025-0316</t>
  </si>
  <si>
    <t xml:space="preserve">TX00265</t>
  </si>
  <si>
    <t xml:space="preserve">INV-2025-0289</t>
  </si>
  <si>
    <t xml:space="preserve">TX00266</t>
  </si>
  <si>
    <t xml:space="preserve">INV-2025-0227</t>
  </si>
  <si>
    <t xml:space="preserve">TX00267</t>
  </si>
  <si>
    <t xml:space="preserve">INV-2025-0349</t>
  </si>
  <si>
    <t xml:space="preserve">TX00268</t>
  </si>
  <si>
    <t xml:space="preserve">TX00269</t>
  </si>
  <si>
    <t xml:space="preserve">INV-2025-0327</t>
  </si>
  <si>
    <t xml:space="preserve">TX00270</t>
  </si>
  <si>
    <t xml:space="preserve">INV-2025-0302</t>
  </si>
  <si>
    <t xml:space="preserve">TX00271</t>
  </si>
  <si>
    <t xml:space="preserve">INV-2025-0317</t>
  </si>
  <si>
    <t xml:space="preserve">TX00272</t>
  </si>
  <si>
    <t xml:space="preserve">TX00273</t>
  </si>
  <si>
    <t xml:space="preserve">BILL-2025-0070</t>
  </si>
  <si>
    <t xml:space="preserve">TX00274</t>
  </si>
  <si>
    <t xml:space="preserve">BILL-2025-0062</t>
  </si>
  <si>
    <t xml:space="preserve">TX00275</t>
  </si>
  <si>
    <t xml:space="preserve">INV-2025-0294</t>
  </si>
  <si>
    <t xml:space="preserve">TX00276</t>
  </si>
  <si>
    <t xml:space="preserve">INV-2025-0328</t>
  </si>
  <si>
    <t xml:space="preserve">TX00277</t>
  </si>
  <si>
    <t xml:space="preserve">INV-2025-0310</t>
  </si>
  <si>
    <t xml:space="preserve">TX00278</t>
  </si>
  <si>
    <t xml:space="preserve">INV-2025-0351</t>
  </si>
  <si>
    <t xml:space="preserve">TX00279</t>
  </si>
  <si>
    <t xml:space="preserve">INV-2025-0346</t>
  </si>
  <si>
    <t xml:space="preserve">TX00280</t>
  </si>
  <si>
    <t xml:space="preserve">INV-2025-0287</t>
  </si>
  <si>
    <t xml:space="preserve">TX00281</t>
  </si>
  <si>
    <t xml:space="preserve">INV-2025-0321</t>
  </si>
  <si>
    <t xml:space="preserve">TX00282</t>
  </si>
  <si>
    <t xml:space="preserve">INV-2025-0330</t>
  </si>
  <si>
    <t xml:space="preserve">TX00283</t>
  </si>
  <si>
    <t xml:space="preserve">INV-2025-0323</t>
  </si>
  <si>
    <t xml:space="preserve">TX00284</t>
  </si>
  <si>
    <t xml:space="preserve">INV-2025-0322</t>
  </si>
  <si>
    <t xml:space="preserve">TX00285</t>
  </si>
  <si>
    <t xml:space="preserve">INV-2025-0319</t>
  </si>
  <si>
    <t xml:space="preserve">TX00286</t>
  </si>
  <si>
    <t xml:space="preserve">INV-2025-0268</t>
  </si>
  <si>
    <t xml:space="preserve">TX00287</t>
  </si>
  <si>
    <t xml:space="preserve">TX00288</t>
  </si>
  <si>
    <t xml:space="preserve">2025-06</t>
  </si>
  <si>
    <t xml:space="preserve">TX00289</t>
  </si>
  <si>
    <t xml:space="preserve">INV-2025-0341</t>
  </si>
  <si>
    <t xml:space="preserve">TX00290</t>
  </si>
  <si>
    <t xml:space="preserve">BILL-2025-0071</t>
  </si>
  <si>
    <t xml:space="preserve">TX00291</t>
  </si>
  <si>
    <t xml:space="preserve">INV-2025-0377</t>
  </si>
  <si>
    <t xml:space="preserve">TX00292</t>
  </si>
  <si>
    <t xml:space="preserve">INV-2025-0306</t>
  </si>
  <si>
    <t xml:space="preserve">TX00293</t>
  </si>
  <si>
    <t xml:space="preserve">INV-2025-0320</t>
  </si>
  <si>
    <t xml:space="preserve">TX00294</t>
  </si>
  <si>
    <t xml:space="preserve">INV-2025-0318</t>
  </si>
  <si>
    <t xml:space="preserve">TX00295</t>
  </si>
  <si>
    <t xml:space="preserve">INV-2025-0336</t>
  </si>
  <si>
    <t xml:space="preserve">TX00296</t>
  </si>
  <si>
    <t xml:space="preserve">INV-2025-0361</t>
  </si>
  <si>
    <t xml:space="preserve">TX00297</t>
  </si>
  <si>
    <t xml:space="preserve">INV-2025-0311</t>
  </si>
  <si>
    <t xml:space="preserve">TX00298</t>
  </si>
  <si>
    <t xml:space="preserve">INV-2025-0285</t>
  </si>
  <si>
    <t xml:space="preserve">TX00299</t>
  </si>
  <si>
    <t xml:space="preserve">INV-2025-0338</t>
  </si>
  <si>
    <t xml:space="preserve">TX00300</t>
  </si>
  <si>
    <t xml:space="preserve">INV-2025-0363</t>
  </si>
  <si>
    <t xml:space="preserve">TX00301</t>
  </si>
  <si>
    <t xml:space="preserve">TX00302</t>
  </si>
  <si>
    <t xml:space="preserve">TX00303</t>
  </si>
  <si>
    <t xml:space="preserve">BILL-2025-0075</t>
  </si>
  <si>
    <t xml:space="preserve">TX00304</t>
  </si>
  <si>
    <t xml:space="preserve">BILL-2025-0069</t>
  </si>
  <si>
    <t xml:space="preserve">TX00305</t>
  </si>
  <si>
    <t xml:space="preserve">BILL-2025-0073</t>
  </si>
  <si>
    <t xml:space="preserve">TX00306</t>
  </si>
  <si>
    <t xml:space="preserve">INV-2025-0371</t>
  </si>
  <si>
    <t xml:space="preserve">TX00307</t>
  </si>
  <si>
    <t xml:space="preserve">INV-2025-0344</t>
  </si>
  <si>
    <t xml:space="preserve">TX00308</t>
  </si>
  <si>
    <t xml:space="preserve">INV-2025-0355</t>
  </si>
  <si>
    <t xml:space="preserve">TX00309</t>
  </si>
  <si>
    <t xml:space="preserve">INV-2025-0312</t>
  </si>
  <si>
    <t xml:space="preserve">TX00310</t>
  </si>
  <si>
    <t xml:space="preserve">INV-2025-0352</t>
  </si>
  <si>
    <t xml:space="preserve">TX00311</t>
  </si>
  <si>
    <t xml:space="preserve">INV-2025-0307</t>
  </si>
  <si>
    <t xml:space="preserve">TX00312</t>
  </si>
  <si>
    <t xml:space="preserve">INV-2025-0299</t>
  </si>
  <si>
    <t xml:space="preserve">TX00313</t>
  </si>
  <si>
    <t xml:space="preserve">INV-2025-0354</t>
  </si>
  <si>
    <t xml:space="preserve">TX00314</t>
  </si>
  <si>
    <t xml:space="preserve">TX00315</t>
  </si>
  <si>
    <t xml:space="preserve">INV-2025-0358</t>
  </si>
  <si>
    <t xml:space="preserve">TX00316</t>
  </si>
  <si>
    <t xml:space="preserve">INV-2025-0359</t>
  </si>
  <si>
    <t xml:space="preserve">TX00317</t>
  </si>
  <si>
    <t xml:space="preserve">INV-2025-0279</t>
  </si>
  <si>
    <t xml:space="preserve">TX00318</t>
  </si>
  <si>
    <t xml:space="preserve">INV-2025-0378</t>
  </si>
  <si>
    <t xml:space="preserve">TX00319</t>
  </si>
  <si>
    <t xml:space="preserve">INV-2025-0379</t>
  </si>
  <si>
    <t xml:space="preserve">TX00320</t>
  </si>
  <si>
    <t xml:space="preserve">TX00321</t>
  </si>
  <si>
    <t xml:space="preserve">INV-2025-0305</t>
  </si>
  <si>
    <t xml:space="preserve">TX00322</t>
  </si>
  <si>
    <t xml:space="preserve">INV-2025-0274</t>
  </si>
  <si>
    <t xml:space="preserve">TX00323</t>
  </si>
  <si>
    <t xml:space="preserve">TX00324</t>
  </si>
  <si>
    <t xml:space="preserve">BILL-2025-0076</t>
  </si>
  <si>
    <t xml:space="preserve">TX00325</t>
  </si>
  <si>
    <t xml:space="preserve">BILL-2025-0064</t>
  </si>
  <si>
    <t xml:space="preserve">TX00326</t>
  </si>
  <si>
    <t xml:space="preserve">INV-2025-0258</t>
  </si>
  <si>
    <t xml:space="preserve">TX00327</t>
  </si>
  <si>
    <t xml:space="preserve">INV-2025-0370</t>
  </si>
  <si>
    <t xml:space="preserve">TX00328</t>
  </si>
  <si>
    <t xml:space="preserve">TX00329</t>
  </si>
  <si>
    <t xml:space="preserve">INV-2025-0362</t>
  </si>
  <si>
    <t xml:space="preserve">TX00330</t>
  </si>
  <si>
    <t xml:space="preserve">TX00331</t>
  </si>
  <si>
    <t xml:space="preserve">INV-2025-0324</t>
  </si>
  <si>
    <t xml:space="preserve">TX00332</t>
  </si>
  <si>
    <t xml:space="preserve">INV-2025-0389</t>
  </si>
  <si>
    <t xml:space="preserve">TX00333</t>
  </si>
  <si>
    <t xml:space="preserve">INV-2025-0342</t>
  </si>
  <si>
    <t xml:space="preserve">TX00334</t>
  </si>
  <si>
    <t xml:space="preserve">INV-2025-0364</t>
  </si>
  <si>
    <t xml:space="preserve">TX00335</t>
  </si>
  <si>
    <t xml:space="preserve">INV-2025-0335</t>
  </si>
  <si>
    <t xml:space="preserve">TX00336</t>
  </si>
  <si>
    <t xml:space="preserve">INV-2025-0297</t>
  </si>
  <si>
    <t xml:space="preserve">TX00337</t>
  </si>
  <si>
    <t xml:space="preserve">INV-2025-0281</t>
  </si>
  <si>
    <t xml:space="preserve">TX00338</t>
  </si>
  <si>
    <t xml:space="preserve">INV-2025-0366</t>
  </si>
  <si>
    <t xml:space="preserve">TX00339</t>
  </si>
  <si>
    <t xml:space="preserve">TX00340</t>
  </si>
  <si>
    <t xml:space="preserve">INV-2025-0353</t>
  </si>
  <si>
    <t xml:space="preserve">TX00341</t>
  </si>
  <si>
    <t xml:space="preserve">BILL-2025-0078</t>
  </si>
  <si>
    <t xml:space="preserve">TX00342</t>
  </si>
  <si>
    <t xml:space="preserve">BILL-2025-0079</t>
  </si>
  <si>
    <t xml:space="preserve">TX00343</t>
  </si>
  <si>
    <t xml:space="preserve">BILL-2025-0074</t>
  </si>
  <si>
    <t xml:space="preserve">TX00344</t>
  </si>
  <si>
    <t xml:space="preserve">BILL-2025-0072</t>
  </si>
  <si>
    <t xml:space="preserve">TX00345</t>
  </si>
  <si>
    <t xml:space="preserve">INV-2025-0390</t>
  </si>
  <si>
    <t xml:space="preserve">TX00346</t>
  </si>
  <si>
    <t xml:space="preserve">INV-2025-0373</t>
  </si>
  <si>
    <t xml:space="preserve">TX00347</t>
  </si>
  <si>
    <t xml:space="preserve">INV-2025-0376</t>
  </si>
  <si>
    <t xml:space="preserve">TX00348</t>
  </si>
  <si>
    <t xml:space="preserve">INV-2025-0284</t>
  </si>
  <si>
    <t xml:space="preserve">TX00349</t>
  </si>
  <si>
    <t xml:space="preserve">TX00350</t>
  </si>
  <si>
    <t xml:space="preserve">INV-2025-0331</t>
  </si>
  <si>
    <t xml:space="preserve">TX00351</t>
  </si>
  <si>
    <t xml:space="preserve">INV-2025-0325</t>
  </si>
  <si>
    <t xml:space="preserve">TX00352</t>
  </si>
  <si>
    <t xml:space="preserve">INV-2025-0339</t>
  </si>
  <si>
    <t xml:space="preserve">TX00353</t>
  </si>
  <si>
    <t xml:space="preserve">INV-2025-0418</t>
  </si>
  <si>
    <t xml:space="preserve">TX00354</t>
  </si>
  <si>
    <t xml:space="preserve">INV-2025-0340</t>
  </si>
  <si>
    <t xml:space="preserve">TX00355</t>
  </si>
  <si>
    <t xml:space="preserve">INV-2025-0369</t>
  </si>
  <si>
    <t xml:space="preserve">TX00356</t>
  </si>
  <si>
    <t xml:space="preserve">INV-2025-0333</t>
  </si>
  <si>
    <t xml:space="preserve">TX00357</t>
  </si>
  <si>
    <t xml:space="preserve">TX00358</t>
  </si>
  <si>
    <t xml:space="preserve">INV-2025-0409</t>
  </si>
  <si>
    <t xml:space="preserve">TX00359</t>
  </si>
  <si>
    <t xml:space="preserve">INV-2025-0380</t>
  </si>
  <si>
    <t xml:space="preserve">TX00360</t>
  </si>
  <si>
    <t xml:space="preserve">INV-2025-0315</t>
  </si>
  <si>
    <t xml:space="preserve">TX00361</t>
  </si>
  <si>
    <t xml:space="preserve">BILL-2025-0081</t>
  </si>
  <si>
    <t xml:space="preserve">TX00362</t>
  </si>
  <si>
    <t xml:space="preserve">INV-2025-0343</t>
  </si>
  <si>
    <t xml:space="preserve">TX00363</t>
  </si>
  <si>
    <t xml:space="preserve">INV-2025-0410</t>
  </si>
  <si>
    <t xml:space="preserve">TX00364</t>
  </si>
  <si>
    <t xml:space="preserve">INV-2025-0365</t>
  </si>
  <si>
    <t xml:space="preserve">TX00365</t>
  </si>
  <si>
    <t xml:space="preserve">INV-2025-0329</t>
  </si>
  <si>
    <t xml:space="preserve">TX00366</t>
  </si>
  <si>
    <t xml:space="preserve">INV-2025-0345</t>
  </si>
  <si>
    <t xml:space="preserve">TX00367</t>
  </si>
  <si>
    <t xml:space="preserve">INV-2025-0399</t>
  </si>
  <si>
    <t xml:space="preserve">TX00368</t>
  </si>
  <si>
    <t xml:space="preserve">INV-2025-0282</t>
  </si>
  <si>
    <t xml:space="preserve">TX00369</t>
  </si>
  <si>
    <t xml:space="preserve">INV-2025-0388</t>
  </si>
  <si>
    <t xml:space="preserve">TX00370</t>
  </si>
  <si>
    <t xml:space="preserve">INV-2025-0391</t>
  </si>
  <si>
    <t xml:space="preserve">TX00371</t>
  </si>
  <si>
    <t xml:space="preserve">INV-2025-0334</t>
  </si>
  <si>
    <t xml:space="preserve">TX00372</t>
  </si>
  <si>
    <t xml:space="preserve">2025-07</t>
  </si>
  <si>
    <t xml:space="preserve">TX00373</t>
  </si>
  <si>
    <t xml:space="preserve">INV-2025-0386</t>
  </si>
  <si>
    <t xml:space="preserve">TX00374</t>
  </si>
  <si>
    <t xml:space="preserve">INV-2025-0350</t>
  </si>
  <si>
    <t xml:space="preserve">TX00375</t>
  </si>
  <si>
    <t xml:space="preserve">INV-2025-0387</t>
  </si>
  <si>
    <t xml:space="preserve">TX00376</t>
  </si>
  <si>
    <t xml:space="preserve">INV-2025-0360</t>
  </si>
  <si>
    <t xml:space="preserve">TX00377</t>
  </si>
  <si>
    <t xml:space="preserve">TX00378</t>
  </si>
  <si>
    <t xml:space="preserve">INV-2025-0413</t>
  </si>
  <si>
    <t xml:space="preserve">TX00379</t>
  </si>
  <si>
    <t xml:space="preserve">INV-2025-0348</t>
  </si>
  <si>
    <t xml:space="preserve">TX00380</t>
  </si>
  <si>
    <t xml:space="preserve">BILL-2025-0080</t>
  </si>
  <si>
    <t xml:space="preserve">TX00381</t>
  </si>
  <si>
    <t xml:space="preserve">INV-2025-0384</t>
  </si>
  <si>
    <t xml:space="preserve">TX00382</t>
  </si>
  <si>
    <t xml:space="preserve">BILL-2025-0082</t>
  </si>
  <si>
    <t xml:space="preserve">TX00383</t>
  </si>
  <si>
    <t xml:space="preserve">BILL-2025-0083</t>
  </si>
  <si>
    <t xml:space="preserve">TX00384</t>
  </si>
  <si>
    <t xml:space="preserve">INV-2025-0401</t>
  </si>
  <si>
    <t xml:space="preserve">TX00385</t>
  </si>
  <si>
    <t xml:space="preserve">TX00386</t>
  </si>
  <si>
    <t xml:space="preserve">INV-2025-0404</t>
  </si>
  <si>
    <t xml:space="preserve">TX00387</t>
  </si>
  <si>
    <t xml:space="preserve">INV-2025-0406</t>
  </si>
  <si>
    <t xml:space="preserve">TX00388</t>
  </si>
  <si>
    <t xml:space="preserve">INV-2025-0332</t>
  </si>
  <si>
    <t xml:space="preserve">TX00389</t>
  </si>
  <si>
    <t xml:space="preserve">INV-2025-0408</t>
  </si>
  <si>
    <t xml:space="preserve">TX00390</t>
  </si>
  <si>
    <t xml:space="preserve">INV-2025-0403</t>
  </si>
  <si>
    <t xml:space="preserve">TX00391</t>
  </si>
  <si>
    <t xml:space="preserve">INV-2025-0402</t>
  </si>
  <si>
    <t xml:space="preserve">TX00392</t>
  </si>
  <si>
    <t xml:space="preserve">INV-2025-0357</t>
  </si>
  <si>
    <t xml:space="preserve">TX00393</t>
  </si>
  <si>
    <t xml:space="preserve">INV-2025-0375</t>
  </si>
  <si>
    <t xml:space="preserve">TX00394</t>
  </si>
  <si>
    <t xml:space="preserve">INV-2025-0395</t>
  </si>
  <si>
    <t xml:space="preserve">TX00395</t>
  </si>
  <si>
    <t xml:space="preserve">INV-2025-0381</t>
  </si>
  <si>
    <t xml:space="preserve">TX00396</t>
  </si>
  <si>
    <t xml:space="preserve">TX00397</t>
  </si>
  <si>
    <t xml:space="preserve">INV-2025-0374</t>
  </si>
  <si>
    <t xml:space="preserve">TX00398</t>
  </si>
  <si>
    <t xml:space="preserve">TX00399</t>
  </si>
  <si>
    <t xml:space="preserve">INV-2025-0372</t>
  </si>
  <si>
    <t xml:space="preserve">TX00400</t>
  </si>
  <si>
    <t xml:space="preserve">BILL-2025-0085</t>
  </si>
  <si>
    <t xml:space="preserve">TX00401</t>
  </si>
  <si>
    <t xml:space="preserve">BILL-2025-0087</t>
  </si>
  <si>
    <t xml:space="preserve">TX00402</t>
  </si>
  <si>
    <t xml:space="preserve">BILL-2025-0077</t>
  </si>
  <si>
    <t xml:space="preserve">TX00403</t>
  </si>
  <si>
    <t xml:space="preserve">TX00404</t>
  </si>
  <si>
    <t xml:space="preserve">INV-2025-0417</t>
  </si>
  <si>
    <t xml:space="preserve">TX00405</t>
  </si>
  <si>
    <t xml:space="preserve">INV-2025-0435</t>
  </si>
  <si>
    <t xml:space="preserve">TX00406</t>
  </si>
  <si>
    <t xml:space="preserve">TX00407</t>
  </si>
  <si>
    <t xml:space="preserve">INV-2025-0429</t>
  </si>
  <si>
    <t xml:space="preserve">TX00408</t>
  </si>
  <si>
    <t xml:space="preserve">INV-2025-0385</t>
  </si>
  <si>
    <t xml:space="preserve">TX00409</t>
  </si>
  <si>
    <t xml:space="preserve">INV-2025-0276</t>
  </si>
  <si>
    <t xml:space="preserve">TX00410</t>
  </si>
  <si>
    <t xml:space="preserve">INV-2025-0309</t>
  </si>
  <si>
    <t xml:space="preserve">TX00411</t>
  </si>
  <si>
    <t xml:space="preserve">INV-2025-0356</t>
  </si>
  <si>
    <t xml:space="preserve">TX00412</t>
  </si>
  <si>
    <t xml:space="preserve">INV-2025-0368</t>
  </si>
  <si>
    <t xml:space="preserve">TX00413</t>
  </si>
  <si>
    <t xml:space="preserve">INV-2025-0416</t>
  </si>
  <si>
    <t xml:space="preserve">TX00414</t>
  </si>
  <si>
    <t xml:space="preserve">TX00415</t>
  </si>
  <si>
    <t xml:space="preserve">TX00416</t>
  </si>
  <si>
    <t xml:space="preserve">INV-2025-0407</t>
  </si>
  <si>
    <t xml:space="preserve">TX00417</t>
  </si>
  <si>
    <t xml:space="preserve">BILL-2025-0089</t>
  </si>
  <si>
    <t xml:space="preserve">TX00418</t>
  </si>
  <si>
    <t xml:space="preserve">INV-2025-0347</t>
  </si>
  <si>
    <t xml:space="preserve">TX00419</t>
  </si>
  <si>
    <t xml:space="preserve">BILL-2025-0088</t>
  </si>
  <si>
    <t xml:space="preserve">TX00420</t>
  </si>
  <si>
    <t xml:space="preserve">INV-2025-0423</t>
  </si>
  <si>
    <t xml:space="preserve">TX00421</t>
  </si>
  <si>
    <t xml:space="preserve">INV-2025-0397</t>
  </si>
  <si>
    <t xml:space="preserve">TX00422</t>
  </si>
  <si>
    <t xml:space="preserve">INV-2025-0411</t>
  </si>
  <si>
    <t xml:space="preserve">TX00423</t>
  </si>
  <si>
    <t xml:space="preserve">TX00424</t>
  </si>
  <si>
    <t xml:space="preserve">INV-2025-0398</t>
  </si>
  <si>
    <t xml:space="preserve">TX00425</t>
  </si>
  <si>
    <t xml:space="preserve">INV-2025-0367</t>
  </si>
  <si>
    <t xml:space="preserve">TX00426</t>
  </si>
  <si>
    <t xml:space="preserve">TX00427</t>
  </si>
  <si>
    <t xml:space="preserve">INV-2025-0426</t>
  </si>
  <si>
    <t xml:space="preserve">TX00428</t>
  </si>
  <si>
    <t xml:space="preserve">INV-2025-0425</t>
  </si>
  <si>
    <t xml:space="preserve">TX00429</t>
  </si>
  <si>
    <t xml:space="preserve">INV-2025-0430</t>
  </si>
  <si>
    <t xml:space="preserve">TX00430</t>
  </si>
  <si>
    <t xml:space="preserve">TX00431</t>
  </si>
  <si>
    <t xml:space="preserve">INV-2025-0392</t>
  </si>
  <si>
    <t xml:space="preserve">TX00432</t>
  </si>
  <si>
    <t xml:space="preserve">INV-2025-0394</t>
  </si>
  <si>
    <t xml:space="preserve">TX00433</t>
  </si>
  <si>
    <t xml:space="preserve">BILL-2025-0084</t>
  </si>
  <si>
    <t xml:space="preserve">TX00434</t>
  </si>
  <si>
    <t xml:space="preserve">BILL-2025-0091</t>
  </si>
  <si>
    <t xml:space="preserve">TX00435</t>
  </si>
  <si>
    <t xml:space="preserve">INV-2025-0446</t>
  </si>
  <si>
    <t xml:space="preserve">TX00436</t>
  </si>
  <si>
    <t xml:space="preserve">INV-2025-0396</t>
  </si>
  <si>
    <t xml:space="preserve">TX00437</t>
  </si>
  <si>
    <t xml:space="preserve">INV-2025-0436</t>
  </si>
  <si>
    <t xml:space="preserve">TX00438</t>
  </si>
  <si>
    <t xml:space="preserve">INV-2025-0400</t>
  </si>
  <si>
    <t xml:space="preserve">TX00439</t>
  </si>
  <si>
    <t xml:space="preserve">INV-2025-0382</t>
  </si>
  <si>
    <t xml:space="preserve">TX00440</t>
  </si>
  <si>
    <t xml:space="preserve">INV-2025-0439</t>
  </si>
  <si>
    <t xml:space="preserve">TX00441</t>
  </si>
  <si>
    <t xml:space="preserve">INV-2025-0415</t>
  </si>
  <si>
    <t xml:space="preserve">TX00442</t>
  </si>
  <si>
    <t xml:space="preserve">2025-08</t>
  </si>
  <si>
    <t xml:space="preserve">TX00443</t>
  </si>
  <si>
    <t xml:space="preserve">INV-2025-0424</t>
  </si>
  <si>
    <t xml:space="preserve">TX00444</t>
  </si>
  <si>
    <t xml:space="preserve">TX00445</t>
  </si>
  <si>
    <t xml:space="preserve">INV-2025-0393</t>
  </si>
  <si>
    <t xml:space="preserve">TX00446</t>
  </si>
  <si>
    <t xml:space="preserve">BILL-2025-0092</t>
  </si>
  <si>
    <t xml:space="preserve">TX00447</t>
  </si>
  <si>
    <t xml:space="preserve">INV-2025-0383</t>
  </si>
  <si>
    <t xml:space="preserve">TX00448</t>
  </si>
  <si>
    <t xml:space="preserve">INV-2025-0422</t>
  </si>
  <si>
    <t xml:space="preserve">TX00449</t>
  </si>
  <si>
    <t xml:space="preserve">INV-2025-0414</t>
  </si>
  <si>
    <t xml:space="preserve">TX00450</t>
  </si>
  <si>
    <t xml:space="preserve">INV-2025-0441</t>
  </si>
  <si>
    <t xml:space="preserve">TX00451</t>
  </si>
  <si>
    <t xml:space="preserve">INV-2025-0431</t>
  </si>
  <si>
    <t xml:space="preserve">TX00452</t>
  </si>
  <si>
    <t xml:space="preserve">INV-2025-0337</t>
  </si>
  <si>
    <t xml:space="preserve">TX00453</t>
  </si>
  <si>
    <t xml:space="preserve">INV-2025-0444</t>
  </si>
  <si>
    <t xml:space="preserve">TX00454</t>
  </si>
  <si>
    <t xml:space="preserve">INV-2025-0445</t>
  </si>
  <si>
    <t xml:space="preserve">TX00455</t>
  </si>
  <si>
    <t xml:space="preserve">INV-2025-0451</t>
  </si>
  <si>
    <t xml:space="preserve">TX00456</t>
  </si>
  <si>
    <t xml:space="preserve">INV-2025-0440</t>
  </si>
  <si>
    <t xml:space="preserve">TX00457</t>
  </si>
  <si>
    <t xml:space="preserve">TX00458</t>
  </si>
  <si>
    <t xml:space="preserve">TX00459</t>
  </si>
  <si>
    <t xml:space="preserve">INV-2025-0405</t>
  </si>
  <si>
    <t xml:space="preserve">TX00460</t>
  </si>
  <si>
    <t xml:space="preserve">TX00461</t>
  </si>
  <si>
    <t xml:space="preserve">TX00462</t>
  </si>
  <si>
    <t xml:space="preserve">BILL-2025-0090</t>
  </si>
  <si>
    <t xml:space="preserve">TX00463</t>
  </si>
  <si>
    <t xml:space="preserve">BILL-2025-0093</t>
  </si>
  <si>
    <t xml:space="preserve">TX00464</t>
  </si>
  <si>
    <t xml:space="preserve">INV-2025-0432</t>
  </si>
  <si>
    <t xml:space="preserve">TX00465</t>
  </si>
  <si>
    <t xml:space="preserve">BILL-2025-0095</t>
  </si>
  <si>
    <t xml:space="preserve">TX00466</t>
  </si>
  <si>
    <t xml:space="preserve">TX00467</t>
  </si>
  <si>
    <t xml:space="preserve">INV-2025-0427</t>
  </si>
  <si>
    <t xml:space="preserve">TX00468</t>
  </si>
  <si>
    <t xml:space="preserve">TX00469</t>
  </si>
  <si>
    <t xml:space="preserve">INV-2025-0470</t>
  </si>
  <si>
    <t xml:space="preserve">TX00470</t>
  </si>
  <si>
    <t xml:space="preserve">TX00471</t>
  </si>
  <si>
    <t xml:space="preserve">INV-2025-0454</t>
  </si>
  <si>
    <t xml:space="preserve">TX00472</t>
  </si>
  <si>
    <t xml:space="preserve">TX00473</t>
  </si>
  <si>
    <t xml:space="preserve">INV-2025-0442</t>
  </si>
  <si>
    <t xml:space="preserve">TX00474</t>
  </si>
  <si>
    <t xml:space="preserve">BILL-2025-0086</t>
  </si>
  <si>
    <t xml:space="preserve">TX00475</t>
  </si>
  <si>
    <t xml:space="preserve">BILL-2025-0096</t>
  </si>
  <si>
    <t xml:space="preserve">TX00476</t>
  </si>
  <si>
    <t xml:space="preserve">INV-2025-0448</t>
  </si>
  <si>
    <t xml:space="preserve">TX00477</t>
  </si>
  <si>
    <t xml:space="preserve">BILL-2025-0098</t>
  </si>
  <si>
    <t xml:space="preserve">TX00478</t>
  </si>
  <si>
    <t xml:space="preserve">TX00479</t>
  </si>
  <si>
    <t xml:space="preserve">INV-2025-0419</t>
  </si>
  <si>
    <t xml:space="preserve">TX00480</t>
  </si>
  <si>
    <t xml:space="preserve">INV-2025-0485</t>
  </si>
  <si>
    <t xml:space="preserve">TX00481</t>
  </si>
  <si>
    <t xml:space="preserve">INV-2025-0434</t>
  </si>
  <si>
    <t xml:space="preserve">TX00482</t>
  </si>
  <si>
    <t xml:space="preserve">TX00483</t>
  </si>
  <si>
    <t xml:space="preserve">INV-2025-0421</t>
  </si>
  <si>
    <t xml:space="preserve">TX00484</t>
  </si>
  <si>
    <t xml:space="preserve">TX00485</t>
  </si>
  <si>
    <t xml:space="preserve">INV-2025-0428</t>
  </si>
  <si>
    <t xml:space="preserve">TX00486</t>
  </si>
  <si>
    <t xml:space="preserve">INV-2025-0412</t>
  </si>
  <si>
    <t xml:space="preserve">TX00487</t>
  </si>
  <si>
    <t xml:space="preserve">INV-2025-0455</t>
  </si>
  <si>
    <t xml:space="preserve">TX00488</t>
  </si>
  <si>
    <t xml:space="preserve">BILL-2025-0099</t>
  </si>
  <si>
    <t xml:space="preserve">TX00489</t>
  </si>
  <si>
    <t xml:space="preserve">INV-2025-0486</t>
  </si>
  <si>
    <t xml:space="preserve">TX00490</t>
  </si>
  <si>
    <t xml:space="preserve">BILL-2025-0094</t>
  </si>
  <si>
    <t xml:space="preserve">TX00491</t>
  </si>
  <si>
    <t xml:space="preserve">INV-2025-0443</t>
  </si>
  <si>
    <t xml:space="preserve">TX00492</t>
  </si>
  <si>
    <t xml:space="preserve">INV-2025-0433</t>
  </si>
  <si>
    <t xml:space="preserve">TX00493</t>
  </si>
  <si>
    <t xml:space="preserve">INV-2025-0462</t>
  </si>
  <si>
    <t xml:space="preserve">TX00494</t>
  </si>
  <si>
    <t xml:space="preserve">INV-2025-0457</t>
  </si>
  <si>
    <t xml:space="preserve">TX00495</t>
  </si>
  <si>
    <t xml:space="preserve">INV-2025-0461</t>
  </si>
  <si>
    <t xml:space="preserve">TX00496</t>
  </si>
  <si>
    <t xml:space="preserve">INV-2025-0491</t>
  </si>
  <si>
    <t xml:space="preserve">TX00497</t>
  </si>
  <si>
    <t xml:space="preserve">TX00498</t>
  </si>
  <si>
    <t xml:space="preserve">BILL-2025-0101</t>
  </si>
  <si>
    <t xml:space="preserve">TX00499</t>
  </si>
  <si>
    <t xml:space="preserve">INV-2025-0420</t>
  </si>
  <si>
    <t xml:space="preserve">TX00500</t>
  </si>
  <si>
    <t xml:space="preserve">2025-09</t>
  </si>
  <si>
    <t xml:space="preserve">TX00501</t>
  </si>
  <si>
    <t xml:space="preserve">INV-2025-0456</t>
  </si>
  <si>
    <t xml:space="preserve">TX00502</t>
  </si>
  <si>
    <t xml:space="preserve">INV-2025-0437</t>
  </si>
  <si>
    <t xml:space="preserve">TX00503</t>
  </si>
  <si>
    <t xml:space="preserve">INV-2025-0475</t>
  </si>
  <si>
    <t xml:space="preserve">TX00504</t>
  </si>
  <si>
    <t xml:space="preserve">INV-2025-0438</t>
  </si>
  <si>
    <t xml:space="preserve">TX00505</t>
  </si>
  <si>
    <t xml:space="preserve">INV-2025-0449</t>
  </si>
  <si>
    <t xml:space="preserve">TX00506</t>
  </si>
  <si>
    <t xml:space="preserve">INV-2025-0499</t>
  </si>
  <si>
    <t xml:space="preserve">TX00507</t>
  </si>
  <si>
    <t xml:space="preserve">INV-2025-0479</t>
  </si>
  <si>
    <t xml:space="preserve">TX00508</t>
  </si>
  <si>
    <t xml:space="preserve">INV-2025-0469</t>
  </si>
  <si>
    <t xml:space="preserve">TX00509</t>
  </si>
  <si>
    <t xml:space="preserve">INV-2025-0493</t>
  </si>
  <si>
    <t xml:space="preserve">TX00510</t>
  </si>
  <si>
    <t xml:space="preserve">INV-2025-0466</t>
  </si>
  <si>
    <t xml:space="preserve">TX00511</t>
  </si>
  <si>
    <t xml:space="preserve">TX00512</t>
  </si>
  <si>
    <t xml:space="preserve">INV-2025-0480</t>
  </si>
  <si>
    <t xml:space="preserve">TX00513</t>
  </si>
  <si>
    <t xml:space="preserve">INV-2025-0487</t>
  </si>
  <si>
    <t xml:space="preserve">TX00514</t>
  </si>
  <si>
    <t xml:space="preserve">BILL-2025-0102</t>
  </si>
  <si>
    <t xml:space="preserve">TX00515</t>
  </si>
  <si>
    <t xml:space="preserve">BILL-2025-0103</t>
  </si>
  <si>
    <t xml:space="preserve">TX00516</t>
  </si>
  <si>
    <t xml:space="preserve">BILL-2025-0100</t>
  </si>
  <si>
    <t xml:space="preserve">TX00517</t>
  </si>
  <si>
    <t xml:space="preserve">BILL-2025-0105</t>
  </si>
  <si>
    <t xml:space="preserve">TX00518</t>
  </si>
  <si>
    <t xml:space="preserve">INV-2025-0500</t>
  </si>
  <si>
    <t xml:space="preserve">TX00519</t>
  </si>
  <si>
    <t xml:space="preserve">TX00520</t>
  </si>
  <si>
    <t xml:space="preserve">INV-2025-0488</t>
  </si>
  <si>
    <t xml:space="preserve">TX00521</t>
  </si>
  <si>
    <t xml:space="preserve">INV-2025-0450</t>
  </si>
  <si>
    <t xml:space="preserve">TX00522</t>
  </si>
  <si>
    <t xml:space="preserve">INV-2025-0507</t>
  </si>
  <si>
    <t xml:space="preserve">TX00523</t>
  </si>
  <si>
    <t xml:space="preserve">INV-2025-0494</t>
  </si>
  <si>
    <t xml:space="preserve">TX00524</t>
  </si>
  <si>
    <t xml:space="preserve">TX00525</t>
  </si>
  <si>
    <t xml:space="preserve">INV-2025-0490</t>
  </si>
  <si>
    <t xml:space="preserve">TX00526</t>
  </si>
  <si>
    <t xml:space="preserve">INV-2025-0489</t>
  </si>
  <si>
    <t xml:space="preserve">TX00527</t>
  </si>
  <si>
    <t xml:space="preserve">INV-2025-0473</t>
  </si>
  <si>
    <t xml:space="preserve">TX00528</t>
  </si>
  <si>
    <t xml:space="preserve">INV-2025-0516</t>
  </si>
  <si>
    <t xml:space="preserve">TX00529</t>
  </si>
  <si>
    <t xml:space="preserve">TX00530</t>
  </si>
  <si>
    <t xml:space="preserve">INV-2025-0484</t>
  </si>
  <si>
    <t xml:space="preserve">TX00531</t>
  </si>
  <si>
    <t xml:space="preserve">TX00532</t>
  </si>
  <si>
    <t xml:space="preserve">INV-2025-0464</t>
  </si>
  <si>
    <t xml:space="preserve">TX00533</t>
  </si>
  <si>
    <t xml:space="preserve">INV-2025-0525</t>
  </si>
  <si>
    <t xml:space="preserve">TX00534</t>
  </si>
  <si>
    <t xml:space="preserve">INV-2025-0447</t>
  </si>
  <si>
    <t xml:space="preserve">TX00535</t>
  </si>
  <si>
    <t xml:space="preserve">BILL-2025-0106</t>
  </si>
  <si>
    <t xml:space="preserve">TX00536</t>
  </si>
  <si>
    <t xml:space="preserve">BILL-2025-0097</t>
  </si>
  <si>
    <t xml:space="preserve">TX00537</t>
  </si>
  <si>
    <t xml:space="preserve">INV-2025-0468</t>
  </si>
  <si>
    <t xml:space="preserve">TX00538</t>
  </si>
  <si>
    <t xml:space="preserve">BILL-2025-0108</t>
  </si>
  <si>
    <t xml:space="preserve">TX00539</t>
  </si>
  <si>
    <t xml:space="preserve">INV-2025-0532</t>
  </si>
  <si>
    <t xml:space="preserve">TX00540</t>
  </si>
  <si>
    <t xml:space="preserve">TX00541</t>
  </si>
  <si>
    <t xml:space="preserve">TX00542</t>
  </si>
  <si>
    <t xml:space="preserve">INV-2025-0458</t>
  </si>
  <si>
    <t xml:space="preserve">TX00543</t>
  </si>
  <si>
    <t xml:space="preserve">INV-2025-0506</t>
  </si>
  <si>
    <t xml:space="preserve">TX00544</t>
  </si>
  <si>
    <t xml:space="preserve">INV-2025-0531</t>
  </si>
  <si>
    <t xml:space="preserve">TX00545</t>
  </si>
  <si>
    <t xml:space="preserve">INV-2025-0505</t>
  </si>
  <si>
    <t xml:space="preserve">TX00546</t>
  </si>
  <si>
    <t xml:space="preserve">INV-2025-0495</t>
  </si>
  <si>
    <t xml:space="preserve">TX00547</t>
  </si>
  <si>
    <t xml:space="preserve">TX00548</t>
  </si>
  <si>
    <t xml:space="preserve">INV-2025-0534</t>
  </si>
  <si>
    <t xml:space="preserve">TX00549</t>
  </si>
  <si>
    <t xml:space="preserve">INV-2025-0460</t>
  </si>
  <si>
    <t xml:space="preserve">TX00550</t>
  </si>
  <si>
    <t xml:space="preserve">INV-2025-0459</t>
  </si>
  <si>
    <t xml:space="preserve">TX00551</t>
  </si>
  <si>
    <t xml:space="preserve">INV-2025-0465</t>
  </si>
  <si>
    <t xml:space="preserve">TX00552</t>
  </si>
  <si>
    <t xml:space="preserve">INV-2025-0467</t>
  </si>
  <si>
    <t xml:space="preserve">TX00553</t>
  </si>
  <si>
    <t xml:space="preserve">BILL-2025-0104</t>
  </si>
  <si>
    <t xml:space="preserve">TX00554</t>
  </si>
  <si>
    <t xml:space="preserve">BILL-2025-0109</t>
  </si>
  <si>
    <t xml:space="preserve">TX00555</t>
  </si>
  <si>
    <t xml:space="preserve">INV-2025-0463</t>
  </si>
  <si>
    <t xml:space="preserve">TX00556</t>
  </si>
  <si>
    <t xml:space="preserve">INV-2025-0511</t>
  </si>
  <si>
    <t xml:space="preserve">TX00557</t>
  </si>
  <si>
    <t xml:space="preserve">INV-2025-0510</t>
  </si>
  <si>
    <t xml:space="preserve">TX00558</t>
  </si>
  <si>
    <t xml:space="preserve">INV-2025-0502</t>
  </si>
  <si>
    <t xml:space="preserve">TX00559</t>
  </si>
  <si>
    <t xml:space="preserve">TX00560</t>
  </si>
  <si>
    <t xml:space="preserve">INV-2025-0501</t>
  </si>
  <si>
    <t xml:space="preserve">TX00561</t>
  </si>
  <si>
    <t xml:space="preserve">INV-2025-0519</t>
  </si>
  <si>
    <t xml:space="preserve">TX00562</t>
  </si>
  <si>
    <t xml:space="preserve">INV-2025-0518</t>
  </si>
  <si>
    <t xml:space="preserve">TX00563</t>
  </si>
  <si>
    <t xml:space="preserve">INV-2025-0540</t>
  </si>
  <si>
    <t xml:space="preserve">TX00564</t>
  </si>
  <si>
    <t xml:space="preserve">INV-2025-0520</t>
  </si>
  <si>
    <t xml:space="preserve">TX00565</t>
  </si>
  <si>
    <t xml:space="preserve">INV-2025-0513</t>
  </si>
  <si>
    <t xml:space="preserve">TX00566</t>
  </si>
  <si>
    <t xml:space="preserve">TX00567</t>
  </si>
  <si>
    <t xml:space="preserve">BILL-2025-0111</t>
  </si>
  <si>
    <t xml:space="preserve">TX00568</t>
  </si>
  <si>
    <t xml:space="preserve">INV-2025-0453</t>
  </si>
  <si>
    <t xml:space="preserve">TX00569</t>
  </si>
  <si>
    <t xml:space="preserve">INV-2025-0471</t>
  </si>
  <si>
    <t xml:space="preserve">TX00570</t>
  </si>
  <si>
    <t xml:space="preserve">INV-2025-0472</t>
  </si>
  <si>
    <t xml:space="preserve">TX00571</t>
  </si>
  <si>
    <t xml:space="preserve">INV-2025-0522</t>
  </si>
  <si>
    <t xml:space="preserve">TX00572</t>
  </si>
  <si>
    <t xml:space="preserve">2025-10</t>
  </si>
  <si>
    <t xml:space="preserve">TX00573</t>
  </si>
  <si>
    <t xml:space="preserve">INV-2025-0533</t>
  </si>
  <si>
    <t xml:space="preserve">TX00574</t>
  </si>
  <si>
    <t xml:space="preserve">INV-2025-0481</t>
  </si>
  <si>
    <t xml:space="preserve">TX00575</t>
  </si>
  <si>
    <t xml:space="preserve">INV-2025-0528</t>
  </si>
  <si>
    <t xml:space="preserve">TX00576</t>
  </si>
  <si>
    <t xml:space="preserve">INV-2025-0567</t>
  </si>
  <si>
    <t xml:space="preserve">TX00577</t>
  </si>
  <si>
    <t xml:space="preserve">INV-2025-0477</t>
  </si>
  <si>
    <t xml:space="preserve">TX00578</t>
  </si>
  <si>
    <t xml:space="preserve">INV-2025-0478</t>
  </si>
  <si>
    <t xml:space="preserve">TX00579</t>
  </si>
  <si>
    <t xml:space="preserve">INV-2025-0564</t>
  </si>
  <si>
    <t xml:space="preserve">TX00580</t>
  </si>
  <si>
    <t xml:space="preserve">TX00581</t>
  </si>
  <si>
    <t xml:space="preserve">INV-2025-0497</t>
  </si>
  <si>
    <t xml:space="preserve">TX00582</t>
  </si>
  <si>
    <t xml:space="preserve">INV-2025-0482</t>
  </si>
  <si>
    <t xml:space="preserve">TX00583</t>
  </si>
  <si>
    <t xml:space="preserve">INV-2025-0512</t>
  </si>
  <si>
    <t xml:space="preserve">TX00584</t>
  </si>
  <si>
    <t xml:space="preserve">BILL-2025-0114</t>
  </si>
  <si>
    <t xml:space="preserve">TX00585</t>
  </si>
  <si>
    <t xml:space="preserve">BILL-2025-0112</t>
  </si>
  <si>
    <t xml:space="preserve">TX00586</t>
  </si>
  <si>
    <t xml:space="preserve">INV-2025-0503</t>
  </si>
  <si>
    <t xml:space="preserve">TX00587</t>
  </si>
  <si>
    <t xml:space="preserve">BILL-2025-0110</t>
  </si>
  <si>
    <t xml:space="preserve">TX00588</t>
  </si>
  <si>
    <t xml:space="preserve">INV-2025-0514</t>
  </si>
  <si>
    <t xml:space="preserve">TX00589</t>
  </si>
  <si>
    <t xml:space="preserve">INV-2025-0496</t>
  </si>
  <si>
    <t xml:space="preserve">TX00590</t>
  </si>
  <si>
    <t xml:space="preserve">INV-2025-0558</t>
  </si>
  <si>
    <t xml:space="preserve">TX00591</t>
  </si>
  <si>
    <t xml:space="preserve">TX00592</t>
  </si>
  <si>
    <t xml:space="preserve">INV-2025-0515</t>
  </si>
  <si>
    <t xml:space="preserve">TX00593</t>
  </si>
  <si>
    <t xml:space="preserve">INV-2025-0452</t>
  </si>
  <si>
    <t xml:space="preserve">TX00594</t>
  </si>
  <si>
    <t xml:space="preserve">INV-2025-0483</t>
  </si>
  <si>
    <t xml:space="preserve">TX00595</t>
  </si>
  <si>
    <t xml:space="preserve">INV-2025-0542</t>
  </si>
  <si>
    <t xml:space="preserve">TX00596</t>
  </si>
  <si>
    <t xml:space="preserve">INV-2025-0585</t>
  </si>
  <si>
    <t xml:space="preserve">TX00597</t>
  </si>
  <si>
    <t xml:space="preserve">INV-2025-0544</t>
  </si>
  <si>
    <t xml:space="preserve">TX00598</t>
  </si>
  <si>
    <t xml:space="preserve">INV-2025-0476</t>
  </si>
  <si>
    <t xml:space="preserve">TX00599</t>
  </si>
  <si>
    <t xml:space="preserve">INV-2025-0571</t>
  </si>
  <si>
    <t xml:space="preserve">TX00600</t>
  </si>
  <si>
    <t xml:space="preserve">INV-2025-0569</t>
  </si>
  <si>
    <t xml:space="preserve">TX00601</t>
  </si>
  <si>
    <t xml:space="preserve">INV-2025-0492</t>
  </si>
  <si>
    <t xml:space="preserve">TX00602</t>
  </si>
  <si>
    <t xml:space="preserve">TX00603</t>
  </si>
  <si>
    <t xml:space="preserve">TX00604</t>
  </si>
  <si>
    <t xml:space="preserve">BILL-2025-0117</t>
  </si>
  <si>
    <t xml:space="preserve">TX00605</t>
  </si>
  <si>
    <t xml:space="preserve">INV-2025-0550</t>
  </si>
  <si>
    <t xml:space="preserve">TX00606</t>
  </si>
  <si>
    <t xml:space="preserve">BILL-2025-0115</t>
  </si>
  <si>
    <t xml:space="preserve">TX00607</t>
  </si>
  <si>
    <t xml:space="preserve">BILL-2025-0107</t>
  </si>
  <si>
    <t xml:space="preserve">TX00608</t>
  </si>
  <si>
    <t xml:space="preserve">INV-2025-0504</t>
  </si>
  <si>
    <t xml:space="preserve">TX00609</t>
  </si>
  <si>
    <t xml:space="preserve">INV-2025-0508</t>
  </si>
  <si>
    <t xml:space="preserve">TX00610</t>
  </si>
  <si>
    <t xml:space="preserve">INV-2025-0537</t>
  </si>
  <si>
    <t xml:space="preserve">TX00611</t>
  </si>
  <si>
    <t xml:space="preserve">INV-2025-0554</t>
  </si>
  <si>
    <t xml:space="preserve">TX00612</t>
  </si>
  <si>
    <t xml:space="preserve">TX00613</t>
  </si>
  <si>
    <t xml:space="preserve">INV-2025-0541</t>
  </si>
  <si>
    <t xml:space="preserve">TX00614</t>
  </si>
  <si>
    <t xml:space="preserve">TX00615</t>
  </si>
  <si>
    <t xml:space="preserve">INV-2025-0566</t>
  </si>
  <si>
    <t xml:space="preserve">TX00616</t>
  </si>
  <si>
    <t xml:space="preserve">INV-2025-0529</t>
  </si>
  <si>
    <t xml:space="preserve">TX00617</t>
  </si>
  <si>
    <t xml:space="preserve">INV-2025-0545</t>
  </si>
  <si>
    <t xml:space="preserve">TX00618</t>
  </si>
  <si>
    <t xml:space="preserve">INV-2025-0547</t>
  </si>
  <si>
    <t xml:space="preserve">TX00619</t>
  </si>
  <si>
    <t xml:space="preserve">INV-2025-0524</t>
  </si>
  <si>
    <t xml:space="preserve">TX00620</t>
  </si>
  <si>
    <t xml:space="preserve">INV-2025-0557</t>
  </si>
  <si>
    <t xml:space="preserve">TX00621</t>
  </si>
  <si>
    <t xml:space="preserve">TX00622</t>
  </si>
  <si>
    <t xml:space="preserve">TX00623</t>
  </si>
  <si>
    <t xml:space="preserve">INV-2025-0589</t>
  </si>
  <si>
    <t xml:space="preserve">TX00624</t>
  </si>
  <si>
    <t xml:space="preserve">BILL-2025-0119</t>
  </si>
  <si>
    <t xml:space="preserve">TX00625</t>
  </si>
  <si>
    <t xml:space="preserve">BILL-2025-0118</t>
  </si>
  <si>
    <t xml:space="preserve">TX00626</t>
  </si>
  <si>
    <t xml:space="preserve">INV-2025-0565</t>
  </si>
  <si>
    <t xml:space="preserve">TX00627</t>
  </si>
  <si>
    <t xml:space="preserve">INV-2025-0592</t>
  </si>
  <si>
    <t xml:space="preserve">TX00628</t>
  </si>
  <si>
    <t xml:space="preserve">INV-2025-0572</t>
  </si>
  <si>
    <t xml:space="preserve">TX00629</t>
  </si>
  <si>
    <t xml:space="preserve">Business property tax (CFE)</t>
  </si>
  <si>
    <t xml:space="preserve">TX00630</t>
  </si>
  <si>
    <t xml:space="preserve">TX00631</t>
  </si>
  <si>
    <t xml:space="preserve">INV-2025-0556</t>
  </si>
  <si>
    <t xml:space="preserve">TX00632</t>
  </si>
  <si>
    <t xml:space="preserve">INV-2025-0623</t>
  </si>
  <si>
    <t xml:space="preserve">TX00633</t>
  </si>
  <si>
    <t xml:space="preserve">INV-2025-0575</t>
  </si>
  <si>
    <t xml:space="preserve">TX00634</t>
  </si>
  <si>
    <t xml:space="preserve">INV-2025-0593</t>
  </si>
  <si>
    <t xml:space="preserve">TX00635</t>
  </si>
  <si>
    <t xml:space="preserve">TX00636</t>
  </si>
  <si>
    <t xml:space="preserve">INV-2025-0578</t>
  </si>
  <si>
    <t xml:space="preserve">TX00637</t>
  </si>
  <si>
    <t xml:space="preserve">INV-2025-0605</t>
  </si>
  <si>
    <t xml:space="preserve">TX00638</t>
  </si>
  <si>
    <t xml:space="preserve">INV-2025-0586</t>
  </si>
  <si>
    <t xml:space="preserve">TX00639</t>
  </si>
  <si>
    <t xml:space="preserve">INV-2025-0598</t>
  </si>
  <si>
    <t xml:space="preserve">TX00640</t>
  </si>
  <si>
    <t xml:space="preserve">INV-2025-0543</t>
  </si>
  <si>
    <t xml:space="preserve">TX00641</t>
  </si>
  <si>
    <t xml:space="preserve">INV-2025-0523</t>
  </si>
  <si>
    <t xml:space="preserve">TX00642</t>
  </si>
  <si>
    <t xml:space="preserve">INV-2025-0474</t>
  </si>
  <si>
    <t xml:space="preserve">TX00643</t>
  </si>
  <si>
    <t xml:space="preserve">TX00644</t>
  </si>
  <si>
    <t xml:space="preserve">INV-2025-0539</t>
  </si>
  <si>
    <t xml:space="preserve">TX00645</t>
  </si>
  <si>
    <t xml:space="preserve">BILL-2025-0121</t>
  </si>
  <si>
    <t xml:space="preserve">TX00646</t>
  </si>
  <si>
    <t xml:space="preserve">INV-2025-0580</t>
  </si>
  <si>
    <t xml:space="preserve">TX00647</t>
  </si>
  <si>
    <t xml:space="preserve">BILL-2025-0113</t>
  </si>
  <si>
    <t xml:space="preserve">TX00648</t>
  </si>
  <si>
    <t xml:space="preserve">INV-2025-0573</t>
  </si>
  <si>
    <t xml:space="preserve">TX00649</t>
  </si>
  <si>
    <t xml:space="preserve">INV-2025-0535</t>
  </si>
  <si>
    <t xml:space="preserve">TX00650</t>
  </si>
  <si>
    <t xml:space="preserve">INV-2025-0613</t>
  </si>
  <si>
    <t xml:space="preserve">TX00651</t>
  </si>
  <si>
    <t xml:space="preserve">INV-2025-0584</t>
  </si>
  <si>
    <t xml:space="preserve">TX00652</t>
  </si>
  <si>
    <t xml:space="preserve">INV-2025-0559</t>
  </si>
  <si>
    <t xml:space="preserve">TX00653</t>
  </si>
  <si>
    <t xml:space="preserve">INV-2025-0530</t>
  </si>
  <si>
    <t xml:space="preserve">TX00654</t>
  </si>
  <si>
    <t xml:space="preserve">INV-2025-0548</t>
  </si>
  <si>
    <t xml:space="preserve">TX00655</t>
  </si>
  <si>
    <t xml:space="preserve">INV-2025-0595</t>
  </si>
  <si>
    <t xml:space="preserve">TX00656</t>
  </si>
  <si>
    <t xml:space="preserve">INV-2025-0526</t>
  </si>
  <si>
    <t xml:space="preserve">TX00657</t>
  </si>
  <si>
    <t xml:space="preserve">INV-2025-0590</t>
  </si>
  <si>
    <t xml:space="preserve">TX00658</t>
  </si>
  <si>
    <t xml:space="preserve">INV-2025-0616</t>
  </si>
  <si>
    <t xml:space="preserve">TX00659</t>
  </si>
  <si>
    <t xml:space="preserve">INV-2025-0521</t>
  </si>
  <si>
    <t xml:space="preserve">TX00660</t>
  </si>
  <si>
    <t xml:space="preserve">INV-2025-0517</t>
  </si>
  <si>
    <t xml:space="preserve">TX00661</t>
  </si>
  <si>
    <t xml:space="preserve">INV-2025-0552</t>
  </si>
  <si>
    <t xml:space="preserve">TX00662</t>
  </si>
  <si>
    <t xml:space="preserve">BILL-2025-0122</t>
  </si>
  <si>
    <t xml:space="preserve">TX00663</t>
  </si>
  <si>
    <t xml:space="preserve">TX00664</t>
  </si>
  <si>
    <t xml:space="preserve">2025-11</t>
  </si>
  <si>
    <t xml:space="preserve">TX00665</t>
  </si>
  <si>
    <t xml:space="preserve">INV-2025-0538</t>
  </si>
  <si>
    <t xml:space="preserve">TX00666</t>
  </si>
  <si>
    <t xml:space="preserve">INV-2025-0536</t>
  </si>
  <si>
    <t xml:space="preserve">TX00667</t>
  </si>
  <si>
    <t xml:space="preserve">INV-2025-0555</t>
  </si>
  <si>
    <t xml:space="preserve">TX00668</t>
  </si>
  <si>
    <t xml:space="preserve">INV-2025-0581</t>
  </si>
  <si>
    <t xml:space="preserve">TX00669</t>
  </si>
  <si>
    <t xml:space="preserve">INV-2025-0596</t>
  </si>
  <si>
    <t xml:space="preserve">TX00670</t>
  </si>
  <si>
    <t xml:space="preserve">INV-2025-0601</t>
  </si>
  <si>
    <t xml:space="preserve">TX00671</t>
  </si>
  <si>
    <t xml:space="preserve">INV-2025-0561</t>
  </si>
  <si>
    <t xml:space="preserve">TX00672</t>
  </si>
  <si>
    <t xml:space="preserve">INV-2025-0553</t>
  </si>
  <si>
    <t xml:space="preserve">TX00673</t>
  </si>
  <si>
    <t xml:space="preserve">INV-2025-0546</t>
  </si>
  <si>
    <t xml:space="preserve">TX00674</t>
  </si>
  <si>
    <t xml:space="preserve">INV-2025-0560</t>
  </si>
  <si>
    <t xml:space="preserve">TX00675</t>
  </si>
  <si>
    <t xml:space="preserve">INV-2025-0570</t>
  </si>
  <si>
    <t xml:space="preserve">TX00676</t>
  </si>
  <si>
    <t xml:space="preserve">INV-2025-0611</t>
  </si>
  <si>
    <t xml:space="preserve">TX00677</t>
  </si>
  <si>
    <t xml:space="preserve">INV-2025-0610</t>
  </si>
  <si>
    <t xml:space="preserve">TX00678</t>
  </si>
  <si>
    <t xml:space="preserve">INV-2025-0638</t>
  </si>
  <si>
    <t xml:space="preserve">TX00679</t>
  </si>
  <si>
    <t xml:space="preserve">BILL-2025-0120</t>
  </si>
  <si>
    <t xml:space="preserve">TX00680</t>
  </si>
  <si>
    <t xml:space="preserve">BILL-2025-0126</t>
  </si>
  <si>
    <t xml:space="preserve">TX00681</t>
  </si>
  <si>
    <t xml:space="preserve">BILL-2025-0125</t>
  </si>
  <si>
    <t xml:space="preserve">TX00682</t>
  </si>
  <si>
    <t xml:space="preserve">TX00683</t>
  </si>
  <si>
    <t xml:space="preserve">BILL-2025-0123</t>
  </si>
  <si>
    <t xml:space="preserve">TX00684</t>
  </si>
  <si>
    <t xml:space="preserve">Payroll (year-end bonus)</t>
  </si>
  <si>
    <t xml:space="preserve">TX00685</t>
  </si>
  <si>
    <t xml:space="preserve">TX00686</t>
  </si>
  <si>
    <t xml:space="preserve">INV-2025-0591</t>
  </si>
  <si>
    <t xml:space="preserve">TX00687</t>
  </si>
  <si>
    <t xml:space="preserve">INV-2025-0612</t>
  </si>
  <si>
    <t xml:space="preserve">TX00688</t>
  </si>
  <si>
    <t xml:space="preserve">TX00689</t>
  </si>
  <si>
    <t xml:space="preserve">INV-2025-0597</t>
  </si>
  <si>
    <t xml:space="preserve">TX00690</t>
  </si>
  <si>
    <t xml:space="preserve">TX00691</t>
  </si>
  <si>
    <t xml:space="preserve">INV-2025-0604</t>
  </si>
  <si>
    <t xml:space="preserve">TX00692</t>
  </si>
  <si>
    <t xml:space="preserve">INV-2025-0509</t>
  </si>
  <si>
    <t xml:space="preserve">TX00693</t>
  </si>
  <si>
    <t xml:space="preserve">INV-2025-0615</t>
  </si>
  <si>
    <t xml:space="preserve">TX00694</t>
  </si>
  <si>
    <t xml:space="preserve">INV-2025-0549</t>
  </si>
  <si>
    <t xml:space="preserve">TX00695</t>
  </si>
  <si>
    <t xml:space="preserve">TX00696</t>
  </si>
  <si>
    <t xml:space="preserve">INV-2025-0627</t>
  </si>
  <si>
    <t xml:space="preserve">TX00697</t>
  </si>
  <si>
    <t xml:space="preserve">INV-2025-0652</t>
  </si>
  <si>
    <t xml:space="preserve">TX00698</t>
  </si>
  <si>
    <t xml:space="preserve">INV-2025-0599</t>
  </si>
  <si>
    <t xml:space="preserve">TX00699</t>
  </si>
  <si>
    <t xml:space="preserve">INV-2025-0576</t>
  </si>
  <si>
    <t xml:space="preserve">TX00700</t>
  </si>
  <si>
    <t xml:space="preserve">INV-2025-0619</t>
  </si>
  <si>
    <t xml:space="preserve">TX00701</t>
  </si>
  <si>
    <t xml:space="preserve">TX00702</t>
  </si>
  <si>
    <t xml:space="preserve">INV-2025-0609</t>
  </si>
  <si>
    <t xml:space="preserve">TX00703</t>
  </si>
  <si>
    <t xml:space="preserve">INV-2025-0551</t>
  </si>
  <si>
    <t xml:space="preserve">TX00704</t>
  </si>
  <si>
    <t xml:space="preserve">INV-2025-0643</t>
  </si>
  <si>
    <t xml:space="preserve">TX00705</t>
  </si>
  <si>
    <t xml:space="preserve">INV-2025-0568</t>
  </si>
  <si>
    <t xml:space="preserve">TX00706</t>
  </si>
  <si>
    <t xml:space="preserve">TX00707</t>
  </si>
  <si>
    <t xml:space="preserve">INV-2025-0654</t>
  </si>
  <si>
    <t xml:space="preserve">TX00708</t>
  </si>
  <si>
    <t xml:space="preserve">INV-2025-0583</t>
  </si>
  <si>
    <t xml:space="preserve">TX00709</t>
  </si>
  <si>
    <t xml:space="preserve">INV-2025-0620</t>
  </si>
  <si>
    <t xml:space="preserve">TX00710</t>
  </si>
  <si>
    <t xml:space="preserve">TX00711</t>
  </si>
  <si>
    <t xml:space="preserve">BILL-2025-0127</t>
  </si>
  <si>
    <t xml:space="preserve">TX00712</t>
  </si>
  <si>
    <t xml:space="preserve">INV-2025-0498</t>
  </si>
  <si>
    <t xml:space="preserve">TX00713</t>
  </si>
  <si>
    <t xml:space="preserve">BILL-2025-0129</t>
  </si>
  <si>
    <t xml:space="preserve">TX00714</t>
  </si>
  <si>
    <t xml:space="preserve">BILL-2025-0116</t>
  </si>
  <si>
    <t xml:space="preserve">TX00715</t>
  </si>
  <si>
    <t xml:space="preserve">INV-2025-0630</t>
  </si>
  <si>
    <t xml:space="preserve">TX00716</t>
  </si>
  <si>
    <t xml:space="preserve">INV-2025-0635</t>
  </si>
  <si>
    <t xml:space="preserve">TX00717</t>
  </si>
  <si>
    <t xml:space="preserve">INV-2025-0639</t>
  </si>
  <si>
    <t xml:space="preserve">TX00718</t>
  </si>
  <si>
    <t xml:space="preserve">INV-2025-0640</t>
  </si>
  <si>
    <t xml:space="preserve">TX00719</t>
  </si>
  <si>
    <t xml:space="preserve">INV-2025-0662</t>
  </si>
  <si>
    <t xml:space="preserve">TX00720</t>
  </si>
  <si>
    <t xml:space="preserve">INV-2025-0634</t>
  </si>
  <si>
    <t xml:space="preserve">TX00721</t>
  </si>
  <si>
    <t xml:space="preserve">TX00722</t>
  </si>
  <si>
    <t xml:space="preserve">INV-2025-0602</t>
  </si>
  <si>
    <t xml:space="preserve">TX00723</t>
  </si>
  <si>
    <t xml:space="preserve">INV-2025-0588</t>
  </si>
  <si>
    <t xml:space="preserve">TX00724</t>
  </si>
  <si>
    <t xml:space="preserve">INV-2025-0664</t>
  </si>
  <si>
    <t xml:space="preserve">TX00725</t>
  </si>
  <si>
    <t xml:space="preserve">INV-2025-0647</t>
  </si>
  <si>
    <t xml:space="preserve">TX00726</t>
  </si>
  <si>
    <t xml:space="preserve">INV-2025-0600</t>
  </si>
  <si>
    <t xml:space="preserve">TX00727</t>
  </si>
  <si>
    <t xml:space="preserve">INV-2025-0587</t>
  </si>
  <si>
    <t xml:space="preserve">TX00728</t>
  </si>
  <si>
    <t xml:space="preserve">INV-2025-0527</t>
  </si>
  <si>
    <t xml:space="preserve">TX00729</t>
  </si>
  <si>
    <t xml:space="preserve">TX00730</t>
  </si>
  <si>
    <t xml:space="preserve">BILL-2025-0124</t>
  </si>
  <si>
    <t xml:space="preserve">TX00731</t>
  </si>
  <si>
    <t xml:space="preserve">INV-2025-0562</t>
  </si>
  <si>
    <t xml:space="preserve">TX00732</t>
  </si>
  <si>
    <t xml:space="preserve">BILL-2025-0130</t>
  </si>
  <si>
    <t xml:space="preserve">TX00733</t>
  </si>
  <si>
    <t xml:space="preserve">INV-2025-0582</t>
  </si>
  <si>
    <t xml:space="preserve">TX00734</t>
  </si>
  <si>
    <t xml:space="preserve">INV-2025-0618</t>
  </si>
  <si>
    <t xml:space="preserve">TX00735</t>
  </si>
  <si>
    <t xml:space="preserve">INV-2025-0594</t>
  </si>
  <si>
    <t xml:space="preserve">TX00736</t>
  </si>
  <si>
    <t xml:space="preserve">TX00737</t>
  </si>
  <si>
    <t xml:space="preserve">INV-2025-0622</t>
  </si>
  <si>
    <t xml:space="preserve">TX00738</t>
  </si>
  <si>
    <t xml:space="preserve">INV-2025-0653</t>
  </si>
  <si>
    <t xml:space="preserve">TX00739</t>
  </si>
  <si>
    <t xml:space="preserve">INV-2025-0625</t>
  </si>
  <si>
    <t xml:space="preserve">TX00740</t>
  </si>
  <si>
    <t xml:space="preserve">INV-2025-0658</t>
  </si>
  <si>
    <t xml:space="preserve">TX00741</t>
  </si>
  <si>
    <t xml:space="preserve">INV-2025-0685</t>
  </si>
  <si>
    <t xml:space="preserve">TX00742</t>
  </si>
  <si>
    <t xml:space="preserve">INV-2025-0650</t>
  </si>
  <si>
    <t xml:space="preserve">TX00743</t>
  </si>
  <si>
    <t xml:space="preserve">INV-2025-0606</t>
  </si>
  <si>
    <t xml:space="preserve">TX00744</t>
  </si>
  <si>
    <t xml:space="preserve">INV-2025-0663</t>
  </si>
  <si>
    <t xml:space="preserve">TX00745</t>
  </si>
  <si>
    <t xml:space="preserve">INV-2025-0675</t>
  </si>
  <si>
    <t xml:space="preserve">TX00746</t>
  </si>
  <si>
    <t xml:space="preserve">TX00747</t>
  </si>
  <si>
    <t xml:space="preserve">INV-2025-0678</t>
  </si>
  <si>
    <t xml:space="preserve">TX00748</t>
  </si>
  <si>
    <t xml:space="preserve">INV-2025-0577</t>
  </si>
  <si>
    <t xml:space="preserve">TX00749</t>
  </si>
  <si>
    <t xml:space="preserve">BILL-2025-0132</t>
  </si>
  <si>
    <t xml:space="preserve">TX00750</t>
  </si>
  <si>
    <t xml:space="preserve">INV-2025-0660</t>
  </si>
  <si>
    <t xml:space="preserve">TX00751</t>
  </si>
  <si>
    <t xml:space="preserve">INV-2025-0659</t>
  </si>
  <si>
    <t xml:space="preserve">TX00752</t>
  </si>
  <si>
    <t xml:space="preserve">2025-12</t>
  </si>
  <si>
    <t xml:space="preserve">TX00753</t>
  </si>
  <si>
    <t xml:space="preserve">INV-2025-0629</t>
  </si>
  <si>
    <t xml:space="preserve">TX00754</t>
  </si>
  <si>
    <t xml:space="preserve">INV-2025-0661</t>
  </si>
  <si>
    <t xml:space="preserve">TX00755</t>
  </si>
  <si>
    <t xml:space="preserve">INV-2025-0614</t>
  </si>
  <si>
    <t xml:space="preserve">TX00756</t>
  </si>
  <si>
    <t xml:space="preserve">INV-2025-0646</t>
  </si>
  <si>
    <t xml:space="preserve">TX00757</t>
  </si>
  <si>
    <t xml:space="preserve">INV-2025-0603</t>
  </si>
  <si>
    <t xml:space="preserve">TX00758</t>
  </si>
  <si>
    <t xml:space="preserve">INV-2025-0607</t>
  </si>
  <si>
    <t xml:space="preserve">TX00759</t>
  </si>
  <si>
    <t xml:space="preserve">TX00760</t>
  </si>
  <si>
    <t xml:space="preserve">BILL-2025-0133</t>
  </si>
  <si>
    <t xml:space="preserve">TX00761</t>
  </si>
  <si>
    <t xml:space="preserve">INV-2025-0657</t>
  </si>
  <si>
    <t xml:space="preserve">TX00762</t>
  </si>
  <si>
    <t xml:space="preserve">BILL-2025-0131</t>
  </si>
  <si>
    <t xml:space="preserve">TX00763</t>
  </si>
  <si>
    <t xml:space="preserve">BILL-2026-0135</t>
  </si>
  <si>
    <t xml:space="preserve">TX00764</t>
  </si>
  <si>
    <t xml:space="preserve">INV-2025-0624</t>
  </si>
  <si>
    <t xml:space="preserve">TX00765</t>
  </si>
  <si>
    <t xml:space="preserve">BILL-2026-0134</t>
  </si>
  <si>
    <t xml:space="preserve">TX00766</t>
  </si>
  <si>
    <t xml:space="preserve">TX00767</t>
  </si>
  <si>
    <t xml:space="preserve">INV-2025-0626</t>
  </si>
  <si>
    <t xml:space="preserve">TX00768</t>
  </si>
  <si>
    <t xml:space="preserve">INV-2025-0691</t>
  </si>
  <si>
    <t xml:space="preserve">TX00769</t>
  </si>
  <si>
    <t xml:space="preserve">INV-2025-0636</t>
  </si>
  <si>
    <t xml:space="preserve">TX00770</t>
  </si>
  <si>
    <t xml:space="preserve">INV-2025-0693</t>
  </si>
  <si>
    <t xml:space="preserve">TX00771</t>
  </si>
  <si>
    <t xml:space="preserve">INV-2025-0632</t>
  </si>
  <si>
    <t xml:space="preserve">TX00772</t>
  </si>
  <si>
    <t xml:space="preserve">INV-2025-0621</t>
  </si>
  <si>
    <t xml:space="preserve">TX00773</t>
  </si>
  <si>
    <t xml:space="preserve">INV-2025-0563</t>
  </si>
  <si>
    <t xml:space="preserve">TX00774</t>
  </si>
  <si>
    <t xml:space="preserve">INV-2025-0682</t>
  </si>
  <si>
    <t xml:space="preserve">TX00775</t>
  </si>
  <si>
    <t xml:space="preserve">TX00776</t>
  </si>
  <si>
    <t xml:space="preserve">TX00777</t>
  </si>
  <si>
    <t xml:space="preserve">INV-2025-0645</t>
  </si>
  <si>
    <t xml:space="preserve">TX00778</t>
  </si>
  <si>
    <t xml:space="preserve">BILL-2026-0138</t>
  </si>
  <si>
    <t xml:space="preserve">TX00779</t>
  </si>
  <si>
    <t xml:space="preserve">BILL-2026-0137</t>
  </si>
  <si>
    <t xml:space="preserve">TX00780</t>
  </si>
  <si>
    <t xml:space="preserve">TX00781</t>
  </si>
  <si>
    <t xml:space="preserve">INV-2025-0668</t>
  </si>
  <si>
    <t xml:space="preserve">TX00782</t>
  </si>
  <si>
    <t xml:space="preserve">BILL-2025-0128</t>
  </si>
  <si>
    <t xml:space="preserve">TX00783</t>
  </si>
  <si>
    <t xml:space="preserve">INV-2026-0696</t>
  </si>
  <si>
    <t xml:space="preserve">TX00784</t>
  </si>
  <si>
    <t xml:space="preserve">INV-2025-0644</t>
  </si>
  <si>
    <t xml:space="preserve">TX00785</t>
  </si>
  <si>
    <t xml:space="preserve">INV-2025-0628</t>
  </si>
  <si>
    <t xml:space="preserve">TX00786</t>
  </si>
  <si>
    <t xml:space="preserve">INV-2025-0681</t>
  </si>
  <si>
    <t xml:space="preserve">TX00787</t>
  </si>
  <si>
    <t xml:space="preserve">INV-2025-0669</t>
  </si>
  <si>
    <t xml:space="preserve">TX00788</t>
  </si>
  <si>
    <t xml:space="preserve">TX00789</t>
  </si>
  <si>
    <t xml:space="preserve">INV-2025-0579</t>
  </si>
  <si>
    <t xml:space="preserve">TX00790</t>
  </si>
  <si>
    <t xml:space="preserve">INV-2025-0684</t>
  </si>
  <si>
    <t xml:space="preserve">TX00791</t>
  </si>
  <si>
    <t xml:space="preserve">INV-2025-0649</t>
  </si>
  <si>
    <t xml:space="preserve">TX00792</t>
  </si>
  <si>
    <t xml:space="preserve">INV-2025-0686</t>
  </si>
  <si>
    <t xml:space="preserve">TX00793</t>
  </si>
  <si>
    <t xml:space="preserve">INV-2025-0688</t>
  </si>
  <si>
    <t xml:space="preserve">TX00794</t>
  </si>
  <si>
    <t xml:space="preserve">INV-2025-0673</t>
  </si>
  <si>
    <t xml:space="preserve">TX00795</t>
  </si>
  <si>
    <t xml:space="preserve">INV-2025-0655</t>
  </si>
  <si>
    <t xml:space="preserve">TX00796</t>
  </si>
  <si>
    <t xml:space="preserve">TX00797</t>
  </si>
  <si>
    <t xml:space="preserve">INV-2025-0680</t>
  </si>
  <si>
    <t xml:space="preserve">TX00798</t>
  </si>
  <si>
    <t xml:space="preserve">TX00799</t>
  </si>
  <si>
    <t xml:space="preserve">BILL-2026-0140</t>
  </si>
  <si>
    <t xml:space="preserve">TX00800</t>
  </si>
  <si>
    <t xml:space="preserve">INV-2025-0679</t>
  </si>
  <si>
    <t xml:space="preserve">TX00801</t>
  </si>
  <si>
    <t xml:space="preserve">INV-2025-0641</t>
  </si>
  <si>
    <t xml:space="preserve">TX00802</t>
  </si>
  <si>
    <t xml:space="preserve">INV-2025-0617</t>
  </si>
  <si>
    <t xml:space="preserve">TX00803</t>
  </si>
  <si>
    <t xml:space="preserve">INV-2025-0648</t>
  </si>
  <si>
    <t xml:space="preserve">TX00804</t>
  </si>
  <si>
    <t xml:space="preserve">INV-2025-0670</t>
  </si>
  <si>
    <t xml:space="preserve">TX00805</t>
  </si>
  <si>
    <t xml:space="preserve">INV-2025-0674</t>
  </si>
  <si>
    <t xml:space="preserve">TX00806</t>
  </si>
  <si>
    <t xml:space="preserve">INV-2025-0631</t>
  </si>
  <si>
    <t xml:space="preserve">TX00807</t>
  </si>
  <si>
    <t xml:space="preserve">INV-2026-0697</t>
  </si>
  <si>
    <t xml:space="preserve">TX00808</t>
  </si>
  <si>
    <t xml:space="preserve">TX00809</t>
  </si>
  <si>
    <t xml:space="preserve">INV-2026-0695</t>
  </si>
  <si>
    <t xml:space="preserve">TX00810</t>
  </si>
  <si>
    <t xml:space="preserve">INV-2025-0637</t>
  </si>
  <si>
    <t xml:space="preserve">TX00811</t>
  </si>
  <si>
    <t xml:space="preserve">INV-2025-0608</t>
  </si>
  <si>
    <t xml:space="preserve">TX00812</t>
  </si>
  <si>
    <t xml:space="preserve">TX00813</t>
  </si>
  <si>
    <t xml:space="preserve">INV-2025-0671</t>
  </si>
  <si>
    <t xml:space="preserve">TX00814</t>
  </si>
  <si>
    <t xml:space="preserve">INV-2026-0729</t>
  </si>
  <si>
    <t xml:space="preserve">TX00815</t>
  </si>
  <si>
    <t xml:space="preserve">INV-2026-0715</t>
  </si>
  <si>
    <t xml:space="preserve">TX00816</t>
  </si>
  <si>
    <t xml:space="preserve">BILL-2026-0136</t>
  </si>
  <si>
    <t xml:space="preserve">TX00817</t>
  </si>
  <si>
    <t xml:space="preserve">BILL-2026-0142</t>
  </si>
  <si>
    <t xml:space="preserve">TX00818</t>
  </si>
  <si>
    <t xml:space="preserve">INV-2025-0690</t>
  </si>
  <si>
    <t xml:space="preserve">TX00819</t>
  </si>
  <si>
    <t xml:space="preserve">INV-2025-0656</t>
  </si>
  <si>
    <t xml:space="preserve">TX00820</t>
  </si>
  <si>
    <t xml:space="preserve">INV-2025-0574</t>
  </si>
  <si>
    <t xml:space="preserve">TX00821</t>
  </si>
  <si>
    <t xml:space="preserve">INV-2026-0705</t>
  </si>
  <si>
    <t xml:space="preserve">TX00822</t>
  </si>
  <si>
    <t xml:space="preserve">INV-2025-0677</t>
  </si>
  <si>
    <t xml:space="preserve">TX00823</t>
  </si>
  <si>
    <t xml:space="preserve">INV-2026-0702</t>
  </si>
  <si>
    <t xml:space="preserve">TX00824</t>
  </si>
  <si>
    <t xml:space="preserve">INV-2026-0703</t>
  </si>
  <si>
    <t xml:space="preserve">TX00825</t>
  </si>
  <si>
    <t xml:space="preserve">2026-01</t>
  </si>
  <si>
    <t xml:space="preserve">TX00826</t>
  </si>
  <si>
    <t xml:space="preserve">INV-2026-0727</t>
  </si>
  <si>
    <t xml:space="preserve">TX00827</t>
  </si>
  <si>
    <t xml:space="preserve">INV-2025-0642</t>
  </si>
  <si>
    <t xml:space="preserve">TX00828</t>
  </si>
  <si>
    <t xml:space="preserve">INV-2026-0724</t>
  </si>
  <si>
    <t xml:space="preserve">TX00829</t>
  </si>
  <si>
    <t xml:space="preserve">INV-2025-0667</t>
  </si>
  <si>
    <t xml:space="preserve">TX00830</t>
  </si>
  <si>
    <t xml:space="preserve">TX00831</t>
  </si>
  <si>
    <t xml:space="preserve">INV-2026-0733</t>
  </si>
  <si>
    <t xml:space="preserve">TX00832</t>
  </si>
  <si>
    <t xml:space="preserve">INV-2026-0734</t>
  </si>
  <si>
    <t xml:space="preserve">TX00833</t>
  </si>
  <si>
    <t xml:space="preserve">INV-2026-0708</t>
  </si>
  <si>
    <t xml:space="preserve">TX00834</t>
  </si>
  <si>
    <t xml:space="preserve">INV-2026-0722</t>
  </si>
  <si>
    <t xml:space="preserve">TX00835</t>
  </si>
  <si>
    <t xml:space="preserve">BILL-2026-0144</t>
  </si>
  <si>
    <t xml:space="preserve">TX00836</t>
  </si>
  <si>
    <t xml:space="preserve">BILL-2026-0143</t>
  </si>
  <si>
    <t xml:space="preserve">TX00837</t>
  </si>
  <si>
    <t xml:space="preserve">TX00838</t>
  </si>
  <si>
    <t xml:space="preserve">INV-2025-0665</t>
  </si>
  <si>
    <t xml:space="preserve">TX00839</t>
  </si>
  <si>
    <t xml:space="preserve">INV-2026-0707</t>
  </si>
  <si>
    <t xml:space="preserve">TX00840</t>
  </si>
  <si>
    <t xml:space="preserve">INV-2025-0683</t>
  </si>
  <si>
    <t xml:space="preserve">TX00841</t>
  </si>
  <si>
    <t xml:space="preserve">INV-2026-0711</t>
  </si>
  <si>
    <t xml:space="preserve">TX00842</t>
  </si>
  <si>
    <t xml:space="preserve">INV-2025-0689</t>
  </si>
  <si>
    <t xml:space="preserve">TX00843</t>
  </si>
  <si>
    <t xml:space="preserve">INV-2026-0713</t>
  </si>
  <si>
    <t xml:space="preserve">TX00844</t>
  </si>
  <si>
    <t xml:space="preserve">INV-2026-0700</t>
  </si>
  <si>
    <t xml:space="preserve">TX00845</t>
  </si>
  <si>
    <t xml:space="preserve">TX00846</t>
  </si>
  <si>
    <t xml:space="preserve">INV-2025-0633</t>
  </si>
  <si>
    <t xml:space="preserve">TX00847</t>
  </si>
  <si>
    <t xml:space="preserve">INV-2026-0735</t>
  </si>
  <si>
    <t xml:space="preserve">TX00848</t>
  </si>
  <si>
    <t xml:space="preserve">TX00849</t>
  </si>
  <si>
    <t xml:space="preserve">INV-2026-0719</t>
  </si>
  <si>
    <t xml:space="preserve">TX00850</t>
  </si>
  <si>
    <t xml:space="preserve">BILL-2026-0147</t>
  </si>
  <si>
    <t xml:space="preserve">TX00851</t>
  </si>
  <si>
    <t xml:space="preserve">INV-2026-0694</t>
  </si>
  <si>
    <t xml:space="preserve">TX00852</t>
  </si>
  <si>
    <t xml:space="preserve">TX00853</t>
  </si>
  <si>
    <t xml:space="preserve">BILL-2026-0141</t>
  </si>
  <si>
    <t xml:space="preserve">TX00854</t>
  </si>
  <si>
    <t xml:space="preserve">INV-2025-0651</t>
  </si>
  <si>
    <t xml:space="preserve">TX00855</t>
  </si>
  <si>
    <t xml:space="preserve">BILL-2026-0146</t>
  </si>
  <si>
    <t xml:space="preserve">TX00856</t>
  </si>
  <si>
    <t xml:space="preserve">INV-2026-0752</t>
  </si>
  <si>
    <t xml:space="preserve">TX00857</t>
  </si>
  <si>
    <t xml:space="preserve">INV-2026-0710</t>
  </si>
  <si>
    <t xml:space="preserve">TX00858</t>
  </si>
  <si>
    <t xml:space="preserve">INV-2026-0714</t>
  </si>
  <si>
    <t xml:space="preserve">TX00859</t>
  </si>
  <si>
    <t xml:space="preserve">INV-2026-0720</t>
  </si>
  <si>
    <t xml:space="preserve">TX00860</t>
  </si>
  <si>
    <t xml:space="preserve">INV-2026-0716</t>
  </si>
  <si>
    <t xml:space="preserve">TX00861</t>
  </si>
  <si>
    <t xml:space="preserve">INV-2025-0666</t>
  </si>
  <si>
    <t xml:space="preserve">TX00862</t>
  </si>
  <si>
    <t xml:space="preserve">TX00863</t>
  </si>
  <si>
    <t xml:space="preserve">INV-2026-0726</t>
  </si>
  <si>
    <t xml:space="preserve">TX00864</t>
  </si>
  <si>
    <t xml:space="preserve">INV-2026-0737</t>
  </si>
  <si>
    <t xml:space="preserve">TX00865</t>
  </si>
  <si>
    <t xml:space="preserve">TX00866</t>
  </si>
  <si>
    <t xml:space="preserve">INV-2026-0699</t>
  </si>
  <si>
    <t xml:space="preserve">TX00867</t>
  </si>
  <si>
    <t xml:space="preserve">TX00868</t>
  </si>
  <si>
    <t xml:space="preserve">INV-2026-0725</t>
  </si>
  <si>
    <t xml:space="preserve">TX00869</t>
  </si>
  <si>
    <t xml:space="preserve">BILL-2026-0150</t>
  </si>
  <si>
    <t xml:space="preserve">TX00870</t>
  </si>
  <si>
    <t xml:space="preserve">INV-2026-0704</t>
  </si>
  <si>
    <t xml:space="preserve">TX00871</t>
  </si>
  <si>
    <t xml:space="preserve">BILL-2026-0149</t>
  </si>
  <si>
    <t xml:space="preserve">TX00872</t>
  </si>
  <si>
    <t xml:space="preserve">BILL-2026-0139</t>
  </si>
  <si>
    <t xml:space="preserve">TX00873</t>
  </si>
  <si>
    <t xml:space="preserve">INV-2026-0753</t>
  </si>
  <si>
    <t xml:space="preserve">TX00874</t>
  </si>
  <si>
    <t xml:space="preserve">INV-2025-0672</t>
  </si>
  <si>
    <t xml:space="preserve">TX00875</t>
  </si>
  <si>
    <t xml:space="preserve">INV-2026-0741</t>
  </si>
  <si>
    <t xml:space="preserve">TX00876</t>
  </si>
  <si>
    <t xml:space="preserve">INV-2026-0782</t>
  </si>
  <si>
    <t xml:space="preserve">TX00877</t>
  </si>
  <si>
    <t xml:space="preserve">TX00878</t>
  </si>
  <si>
    <t xml:space="preserve">TX00879</t>
  </si>
  <si>
    <t xml:space="preserve">INV-2025-0687</t>
  </si>
  <si>
    <t xml:space="preserve">TX00880</t>
  </si>
  <si>
    <t xml:space="preserve">INV-2026-0721</t>
  </si>
  <si>
    <t xml:space="preserve">TX00881</t>
  </si>
  <si>
    <t xml:space="preserve">INV-2026-0717</t>
  </si>
  <si>
    <t xml:space="preserve">TX00882</t>
  </si>
  <si>
    <t xml:space="preserve">INV-2026-0739</t>
  </si>
  <si>
    <t xml:space="preserve">TX00883</t>
  </si>
  <si>
    <t xml:space="preserve">INV-2026-0780</t>
  </si>
  <si>
    <t xml:space="preserve">TX00884</t>
  </si>
  <si>
    <t xml:space="preserve">INV-2026-0757</t>
  </si>
  <si>
    <t xml:space="preserve">TX00885</t>
  </si>
  <si>
    <t xml:space="preserve">INV-2026-0774</t>
  </si>
  <si>
    <t xml:space="preserve">TX00886</t>
  </si>
  <si>
    <t xml:space="preserve">TX00887</t>
  </si>
  <si>
    <t xml:space="preserve">INV-2026-0709</t>
  </si>
  <si>
    <t xml:space="preserve">TX00888</t>
  </si>
  <si>
    <t xml:space="preserve">BILL-2026-0152</t>
  </si>
  <si>
    <t xml:space="preserve">TX00889</t>
  </si>
  <si>
    <t xml:space="preserve">BILL-2026-0145</t>
  </si>
  <si>
    <t xml:space="preserve">TX00890</t>
  </si>
  <si>
    <t xml:space="preserve">INV-2026-0749</t>
  </si>
  <si>
    <t xml:space="preserve">TX00891</t>
  </si>
  <si>
    <t xml:space="preserve">INV-2026-0746</t>
  </si>
  <si>
    <t xml:space="preserve">TX00892</t>
  </si>
  <si>
    <t xml:space="preserve">Capex</t>
  </si>
  <si>
    <t xml:space="preserve">Sanding line upgrade</t>
  </si>
  <si>
    <t xml:space="preserve">TX00893</t>
  </si>
  <si>
    <t xml:space="preserve">INV-2026-0756</t>
  </si>
  <si>
    <t xml:space="preserve">TX00894</t>
  </si>
  <si>
    <t xml:space="preserve">INV-2026-0701</t>
  </si>
  <si>
    <t xml:space="preserve">TX00895</t>
  </si>
  <si>
    <t xml:space="preserve">INV-2025-0676</t>
  </si>
  <si>
    <t xml:space="preserve">TX00896</t>
  </si>
  <si>
    <t xml:space="preserve">INV-2025-0692</t>
  </si>
  <si>
    <t xml:space="preserve">TX00897</t>
  </si>
  <si>
    <t xml:space="preserve">INV-2026-0742</t>
  </si>
  <si>
    <t xml:space="preserve">TX00898</t>
  </si>
  <si>
    <t xml:space="preserve">INV-2026-0788</t>
  </si>
  <si>
    <t xml:space="preserve">TX00899</t>
  </si>
  <si>
    <t xml:space="preserve">2026-02</t>
  </si>
  <si>
    <t xml:space="preserve">TX00900</t>
  </si>
  <si>
    <t xml:space="preserve">TX00901</t>
  </si>
  <si>
    <t xml:space="preserve">INV-2026-0781</t>
  </si>
  <si>
    <t xml:space="preserve">TX00902</t>
  </si>
  <si>
    <t xml:space="preserve">BILL-2026-0153</t>
  </si>
  <si>
    <t xml:space="preserve">TX00903</t>
  </si>
  <si>
    <t xml:space="preserve">BILL-2026-0154</t>
  </si>
  <si>
    <t xml:space="preserve">TX00904</t>
  </si>
  <si>
    <t xml:space="preserve">INV-2026-0750</t>
  </si>
  <si>
    <t xml:space="preserve">TX00905</t>
  </si>
  <si>
    <t xml:space="preserve">INV-2026-0723</t>
  </si>
  <si>
    <t xml:space="preserve">TX00906</t>
  </si>
  <si>
    <t xml:space="preserve">INV-2026-0758</t>
  </si>
  <si>
    <t xml:space="preserve">TX00907</t>
  </si>
  <si>
    <t xml:space="preserve">INV-2026-0712</t>
  </si>
  <si>
    <t xml:space="preserve">TX00908</t>
  </si>
  <si>
    <t xml:space="preserve">INV-2026-0773</t>
  </si>
  <si>
    <t xml:space="preserve">TX00909</t>
  </si>
  <si>
    <t xml:space="preserve">INV-2026-0772</t>
  </si>
  <si>
    <t xml:space="preserve">TX00910</t>
  </si>
  <si>
    <t xml:space="preserve">INV-2026-0771</t>
  </si>
  <si>
    <t xml:space="preserve">TX00911</t>
  </si>
  <si>
    <t xml:space="preserve">INV-2026-0698</t>
  </si>
  <si>
    <t xml:space="preserve">TX00912</t>
  </si>
  <si>
    <t xml:space="preserve">INV-2026-0764</t>
  </si>
  <si>
    <t xml:space="preserve">TX00913</t>
  </si>
  <si>
    <t xml:space="preserve">INV-2026-0761</t>
  </si>
  <si>
    <t xml:space="preserve">TX00914</t>
  </si>
  <si>
    <t xml:space="preserve">INV-2026-0760</t>
  </si>
  <si>
    <t xml:space="preserve">TX00915</t>
  </si>
  <si>
    <t xml:space="preserve">TX00916</t>
  </si>
  <si>
    <t xml:space="preserve">INV-2026-0748</t>
  </si>
  <si>
    <t xml:space="preserve">TX00917</t>
  </si>
  <si>
    <t xml:space="preserve">TX00918</t>
  </si>
  <si>
    <t xml:space="preserve">TX00919</t>
  </si>
  <si>
    <t xml:space="preserve">TX00920</t>
  </si>
  <si>
    <t xml:space="preserve">INV-2026-0736</t>
  </si>
  <si>
    <t xml:space="preserve">TX00921</t>
  </si>
  <si>
    <t xml:space="preserve">BILL-2026-0156</t>
  </si>
  <si>
    <t xml:space="preserve">TX00922</t>
  </si>
  <si>
    <t xml:space="preserve">BILL-2026-0151</t>
  </si>
  <si>
    <t xml:space="preserve">TX00923</t>
  </si>
  <si>
    <t xml:space="preserve">BILL-2026-0157</t>
  </si>
  <si>
    <t xml:space="preserve">TX00924</t>
  </si>
  <si>
    <t xml:space="preserve">INV-2026-0776</t>
  </si>
  <si>
    <t xml:space="preserve">TX00925</t>
  </si>
  <si>
    <t xml:space="preserve">INV-2026-0778</t>
  </si>
  <si>
    <t xml:space="preserve">TX00926</t>
  </si>
  <si>
    <t xml:space="preserve">INV-2026-0779</t>
  </si>
  <si>
    <t xml:space="preserve">TX00927</t>
  </si>
  <si>
    <t xml:space="preserve">TX00928</t>
  </si>
  <si>
    <t xml:space="preserve">INV-2026-0743</t>
  </si>
  <si>
    <t xml:space="preserve">TX00929</t>
  </si>
  <si>
    <t xml:space="preserve">INV-2026-0728</t>
  </si>
  <si>
    <t xml:space="preserve">TX00930</t>
  </si>
  <si>
    <t xml:space="preserve">INV-2026-0786</t>
  </si>
  <si>
    <t xml:space="preserve">TX00931</t>
  </si>
  <si>
    <t xml:space="preserve">INV-2026-0785</t>
  </si>
  <si>
    <t xml:space="preserve">TX00932</t>
  </si>
  <si>
    <t xml:space="preserve">INV-2026-0784</t>
  </si>
  <si>
    <t xml:space="preserve">TX00933</t>
  </si>
  <si>
    <t xml:space="preserve">INV-2026-0783</t>
  </si>
  <si>
    <t xml:space="preserve">TX00934</t>
  </si>
  <si>
    <t xml:space="preserve">TX00935</t>
  </si>
  <si>
    <t xml:space="preserve">INV-2026-0770</t>
  </si>
  <si>
    <t xml:space="preserve">TX00936</t>
  </si>
  <si>
    <t xml:space="preserve">INV-2026-0767</t>
  </si>
  <si>
    <t xml:space="preserve">TX00937</t>
  </si>
  <si>
    <t xml:space="preserve">TX00938</t>
  </si>
  <si>
    <t xml:space="preserve">TX00939</t>
  </si>
  <si>
    <t xml:space="preserve">BILL-2026-0160</t>
  </si>
  <si>
    <t xml:space="preserve">TX00940</t>
  </si>
  <si>
    <t xml:space="preserve">INV-2026-0718</t>
  </si>
  <si>
    <t xml:space="preserve">TX00941</t>
  </si>
  <si>
    <t xml:space="preserve">BILL-2026-0148</t>
  </si>
  <si>
    <t xml:space="preserve">TX00942</t>
  </si>
  <si>
    <t xml:space="preserve">BILL-2026-0159</t>
  </si>
  <si>
    <t xml:space="preserve">TX00943</t>
  </si>
  <si>
    <t xml:space="preserve">TX00944</t>
  </si>
  <si>
    <t xml:space="preserve">INV-2026-0747</t>
  </si>
  <si>
    <t xml:space="preserve">TX00945</t>
  </si>
  <si>
    <t xml:space="preserve">INV-2026-0731</t>
  </si>
  <si>
    <t xml:space="preserve">TX00946</t>
  </si>
  <si>
    <t xml:space="preserve">INV-2026-0790</t>
  </si>
  <si>
    <t xml:space="preserve">TX00947</t>
  </si>
  <si>
    <t xml:space="preserve">INV-2026-0766</t>
  </si>
  <si>
    <t xml:space="preserve">TX00948</t>
  </si>
  <si>
    <t xml:space="preserve">INV-2026-0792</t>
  </si>
  <si>
    <t xml:space="preserve">TX00949</t>
  </si>
  <si>
    <t xml:space="preserve">INV-2026-0769</t>
  </si>
  <si>
    <t xml:space="preserve">TX00950</t>
  </si>
  <si>
    <t xml:space="preserve">INV-2026-0797</t>
  </si>
  <si>
    <t xml:space="preserve">TX00951</t>
  </si>
  <si>
    <t xml:space="preserve">INV-2026-0798</t>
  </si>
  <si>
    <t xml:space="preserve">TX00952</t>
  </si>
  <si>
    <t xml:space="preserve">INV-2026-0807</t>
  </si>
  <si>
    <t xml:space="preserve">TX00953</t>
  </si>
  <si>
    <t xml:space="preserve">INV-2026-0740</t>
  </si>
  <si>
    <t xml:space="preserve">TX00954</t>
  </si>
  <si>
    <t xml:space="preserve">INV-2026-0800</t>
  </si>
  <si>
    <t xml:space="preserve">TX00955</t>
  </si>
  <si>
    <t xml:space="preserve">INV-2026-0706</t>
  </si>
  <si>
    <t xml:space="preserve">TX00956</t>
  </si>
  <si>
    <t xml:space="preserve">INV-2026-0822</t>
  </si>
  <si>
    <t xml:space="preserve">TX00957</t>
  </si>
  <si>
    <t xml:space="preserve">INV-2026-0826</t>
  </si>
  <si>
    <t xml:space="preserve">TX00958</t>
  </si>
  <si>
    <t xml:space="preserve">INV-2026-0759</t>
  </si>
  <si>
    <t xml:space="preserve">TX00959</t>
  </si>
  <si>
    <t xml:space="preserve">INV-2026-0730</t>
  </si>
  <si>
    <t xml:space="preserve">TX00960</t>
  </si>
  <si>
    <t xml:space="preserve">TX00961</t>
  </si>
  <si>
    <t xml:space="preserve">TX00962</t>
  </si>
  <si>
    <t xml:space="preserve">BILL-2026-0162</t>
  </si>
  <si>
    <t xml:space="preserve">TX00963</t>
  </si>
  <si>
    <t xml:space="preserve">INV-2026-0803</t>
  </si>
  <si>
    <t xml:space="preserve">TX00964</t>
  </si>
  <si>
    <t xml:space="preserve">INV-2026-0831</t>
  </si>
  <si>
    <t xml:space="preserve">TX00965</t>
  </si>
  <si>
    <t xml:space="preserve">INV-2026-0802</t>
  </si>
  <si>
    <t xml:space="preserve">TX00966</t>
  </si>
  <si>
    <t xml:space="preserve">INV-2026-0793</t>
  </si>
  <si>
    <t xml:space="preserve">TX00967</t>
  </si>
  <si>
    <t xml:space="preserve">INV-2026-0745</t>
  </si>
  <si>
    <t xml:space="preserve">TX00968</t>
  </si>
  <si>
    <t xml:space="preserve">BILL-2026-0155</t>
  </si>
  <si>
    <t xml:space="preserve">TX00969</t>
  </si>
  <si>
    <t xml:space="preserve">INV-2026-0806</t>
  </si>
  <si>
    <t xml:space="preserve">TX00970</t>
  </si>
  <si>
    <t xml:space="preserve">INV-2026-0754</t>
  </si>
  <si>
    <t xml:space="preserve">TX00971</t>
  </si>
  <si>
    <t xml:space="preserve">INV-2026-0811</t>
  </si>
  <si>
    <t xml:space="preserve">TX00972</t>
  </si>
  <si>
    <t xml:space="preserve">INV-2026-0808</t>
  </si>
  <si>
    <t xml:space="preserve">TX00973</t>
  </si>
  <si>
    <t xml:space="preserve">INV-2026-0744</t>
  </si>
  <si>
    <t xml:space="preserve">TX00974</t>
  </si>
  <si>
    <t xml:space="preserve">INV-2026-0762</t>
  </si>
  <si>
    <t xml:space="preserve">TX00975</t>
  </si>
  <si>
    <t xml:space="preserve">INV-2026-0775</t>
  </si>
  <si>
    <t xml:space="preserve">TX00976</t>
  </si>
  <si>
    <t xml:space="preserve">INV-2026-0805</t>
  </si>
  <si>
    <t xml:space="preserve">TX00977</t>
  </si>
  <si>
    <t xml:space="preserve">TX00978</t>
  </si>
  <si>
    <t xml:space="preserve">INV-2026-0751</t>
  </si>
  <si>
    <t xml:space="preserve">TX00979</t>
  </si>
  <si>
    <t xml:space="preserve">INV-2026-0732</t>
  </si>
  <si>
    <t xml:space="preserve">TX00980</t>
  </si>
  <si>
    <t xml:space="preserve">2026-03</t>
  </si>
  <si>
    <t xml:space="preserve">TX00981</t>
  </si>
  <si>
    <t xml:space="preserve">INV-2026-0765</t>
  </si>
  <si>
    <t xml:space="preserve">TX00982</t>
  </si>
  <si>
    <t xml:space="preserve">INV-2026-0796</t>
  </si>
  <si>
    <t xml:space="preserve">TX00983</t>
  </si>
  <si>
    <t xml:space="preserve">INV-2026-0755</t>
  </si>
  <si>
    <t xml:space="preserve">TX00984</t>
  </si>
  <si>
    <t xml:space="preserve">INV-2026-0830</t>
  </si>
  <si>
    <t xml:space="preserve">TX00985</t>
  </si>
  <si>
    <t xml:space="preserve">INV-2026-0828</t>
  </si>
  <si>
    <t xml:space="preserve">TX00986</t>
  </si>
  <si>
    <t xml:space="preserve">INV-2026-0824</t>
  </si>
  <si>
    <t xml:space="preserve">TX00987</t>
  </si>
  <si>
    <t xml:space="preserve">INV-2026-0823</t>
  </si>
  <si>
    <t xml:space="preserve">TX00988</t>
  </si>
  <si>
    <t xml:space="preserve">INV-2026-0821</t>
  </si>
  <si>
    <t xml:space="preserve">TX00989</t>
  </si>
  <si>
    <t xml:space="preserve">INV-2026-0801</t>
  </si>
  <si>
    <t xml:space="preserve">TX00990</t>
  </si>
  <si>
    <t xml:space="preserve">INV-2026-0825</t>
  </si>
  <si>
    <t xml:space="preserve">TX00991</t>
  </si>
  <si>
    <t xml:space="preserve">INV-2026-0812</t>
  </si>
  <si>
    <t xml:space="preserve">TX00992</t>
  </si>
  <si>
    <t xml:space="preserve">TX00993</t>
  </si>
  <si>
    <t xml:space="preserve">INV-2026-0763</t>
  </si>
  <si>
    <t xml:space="preserve">TX00994</t>
  </si>
  <si>
    <t xml:space="preserve">BILL-2026-0163</t>
  </si>
  <si>
    <t xml:space="preserve">TX00995</t>
  </si>
  <si>
    <t xml:space="preserve">INV-2026-0872</t>
  </si>
  <si>
    <t xml:space="preserve">TX00996</t>
  </si>
  <si>
    <t xml:space="preserve">TX00997</t>
  </si>
  <si>
    <t xml:space="preserve">BILL-2026-0161</t>
  </si>
  <si>
    <t xml:space="preserve">TX00998</t>
  </si>
  <si>
    <t xml:space="preserve">BILL-2026-0164</t>
  </si>
  <si>
    <t xml:space="preserve">TX00999</t>
  </si>
  <si>
    <t xml:space="preserve">INV-2026-0819</t>
  </si>
  <si>
    <t xml:space="preserve">TX01000</t>
  </si>
  <si>
    <t xml:space="preserve">INV-2026-0832</t>
  </si>
  <si>
    <t xml:space="preserve">TX01001</t>
  </si>
  <si>
    <t xml:space="preserve">INV-2026-0813</t>
  </si>
  <si>
    <t xml:space="preserve">TX01002</t>
  </si>
  <si>
    <t xml:space="preserve">INV-2026-0815</t>
  </si>
  <si>
    <t xml:space="preserve">TX01003</t>
  </si>
  <si>
    <t xml:space="preserve">INV-2026-0804</t>
  </si>
  <si>
    <t xml:space="preserve">TX01004</t>
  </si>
  <si>
    <t xml:space="preserve">INV-2026-0840</t>
  </si>
  <si>
    <t xml:space="preserve">TX01005</t>
  </si>
  <si>
    <t xml:space="preserve">INV-2026-0820</t>
  </si>
  <si>
    <t xml:space="preserve">TX01006</t>
  </si>
  <si>
    <t xml:space="preserve">INV-2026-0834</t>
  </si>
  <si>
    <t xml:space="preserve">TX01007</t>
  </si>
  <si>
    <t xml:space="preserve">INV-2026-0858</t>
  </si>
  <si>
    <t xml:space="preserve">TX01008</t>
  </si>
  <si>
    <t xml:space="preserve">INV-2026-0787</t>
  </si>
  <si>
    <t xml:space="preserve">TX01009</t>
  </si>
  <si>
    <t xml:space="preserve">INV-2026-0863</t>
  </si>
  <si>
    <t xml:space="preserve">TX01010</t>
  </si>
  <si>
    <t xml:space="preserve">INV-2026-0768</t>
  </si>
  <si>
    <t xml:space="preserve">TX01011</t>
  </si>
  <si>
    <t xml:space="preserve">INV-2026-0738</t>
  </si>
  <si>
    <t xml:space="preserve">TX01012</t>
  </si>
  <si>
    <t xml:space="preserve">TX01013</t>
  </si>
  <si>
    <t xml:space="preserve">INV-2026-0799</t>
  </si>
  <si>
    <t xml:space="preserve">TX01014</t>
  </si>
  <si>
    <t xml:space="preserve">INV-2026-0860</t>
  </si>
  <si>
    <t xml:space="preserve">TX01015</t>
  </si>
  <si>
    <t xml:space="preserve">INV-2026-0795</t>
  </si>
  <si>
    <t xml:space="preserve">TX01016</t>
  </si>
  <si>
    <t xml:space="preserve">TX01017</t>
  </si>
  <si>
    <t xml:space="preserve">INV-2026-0791</t>
  </si>
  <si>
    <t xml:space="preserve">TX01018</t>
  </si>
  <si>
    <t xml:space="preserve">TX01019</t>
  </si>
  <si>
    <t xml:space="preserve">INV-2026-0843</t>
  </si>
  <si>
    <t xml:space="preserve">TX01020</t>
  </si>
  <si>
    <t xml:space="preserve">BILL-2026-0158</t>
  </si>
  <si>
    <t xml:space="preserve">TX01021</t>
  </si>
  <si>
    <t xml:space="preserve">BILL-2026-0166</t>
  </si>
  <si>
    <t xml:space="preserve">TX01022</t>
  </si>
  <si>
    <t xml:space="preserve">BILL-2026-0169</t>
  </si>
  <si>
    <t xml:space="preserve">TX01023</t>
  </si>
  <si>
    <t xml:space="preserve">BILL-2026-0167</t>
  </si>
  <si>
    <t xml:space="preserve">TX01024</t>
  </si>
  <si>
    <t xml:space="preserve">INV-2026-0857</t>
  </si>
  <si>
    <t xml:space="preserve">TX01025</t>
  </si>
  <si>
    <t xml:space="preserve">INV-2026-0853</t>
  </si>
  <si>
    <t xml:space="preserve">TX01026</t>
  </si>
  <si>
    <t xml:space="preserve">INV-2026-0851</t>
  </si>
  <si>
    <t xml:space="preserve">TX01027</t>
  </si>
  <si>
    <t xml:space="preserve">INV-2026-0850</t>
  </si>
  <si>
    <t xml:space="preserve">TX01028</t>
  </si>
  <si>
    <t xml:space="preserve">INV-2026-0847</t>
  </si>
  <si>
    <t xml:space="preserve">TX01029</t>
  </si>
  <si>
    <t xml:space="preserve">INV-2026-0846</t>
  </si>
  <si>
    <t xml:space="preserve">TX01030</t>
  </si>
  <si>
    <t xml:space="preserve">TX01031</t>
  </si>
  <si>
    <t xml:space="preserve">INV-2026-0874</t>
  </si>
  <si>
    <t xml:space="preserve">TX01032</t>
  </si>
  <si>
    <t xml:space="preserve">INV-2026-0869</t>
  </si>
  <si>
    <t xml:space="preserve">TX01033</t>
  </si>
  <si>
    <t xml:space="preserve">TX01034</t>
  </si>
  <si>
    <t xml:space="preserve">INV-2026-0833</t>
  </si>
  <si>
    <t xml:space="preserve">TX01035</t>
  </si>
  <si>
    <t xml:space="preserve">INV-2026-0877</t>
  </si>
  <si>
    <t xml:space="preserve">TX01036</t>
  </si>
  <si>
    <t xml:space="preserve">INV-2026-0794</t>
  </si>
  <si>
    <t xml:space="preserve">TX01037</t>
  </si>
  <si>
    <t xml:space="preserve">INV-2026-0814</t>
  </si>
  <si>
    <t xml:space="preserve">TX01038</t>
  </si>
  <si>
    <t xml:space="preserve">INV-2026-0777</t>
  </si>
  <si>
    <t xml:space="preserve">TX01039</t>
  </si>
  <si>
    <t xml:space="preserve">INV-2026-0859</t>
  </si>
  <si>
    <t xml:space="preserve">TX01040</t>
  </si>
  <si>
    <t xml:space="preserve">INV-2026-0879</t>
  </si>
  <si>
    <t xml:space="preserve">TX01041</t>
  </si>
  <si>
    <t xml:space="preserve">BILL-2026-0165</t>
  </si>
  <si>
    <t xml:space="preserve">TX01042</t>
  </si>
  <si>
    <t xml:space="preserve">BILL-2026-0170</t>
  </si>
  <si>
    <t xml:space="preserve">TX01043</t>
  </si>
  <si>
    <t xml:space="preserve">TX01044</t>
  </si>
  <si>
    <t xml:space="preserve">TX01045</t>
  </si>
  <si>
    <t xml:space="preserve">INV-2026-0789</t>
  </si>
  <si>
    <t xml:space="preserve">TX01046</t>
  </si>
  <si>
    <t xml:space="preserve">TX01047</t>
  </si>
  <si>
    <t xml:space="preserve">INV-2026-0854</t>
  </si>
  <si>
    <t xml:space="preserve">TX01048</t>
  </si>
  <si>
    <t xml:space="preserve">INV-2026-0890</t>
  </si>
  <si>
    <t xml:space="preserve">TX01049</t>
  </si>
  <si>
    <t xml:space="preserve">INV-2026-0882</t>
  </si>
  <si>
    <t xml:space="preserve">TX01050</t>
  </si>
  <si>
    <t xml:space="preserve">INV-2026-0897</t>
  </si>
  <si>
    <t xml:space="preserve">TX01051</t>
  </si>
  <si>
    <t xml:space="preserve">INV-2026-0810</t>
  </si>
  <si>
    <t xml:space="preserve">TX01052</t>
  </si>
  <si>
    <t xml:space="preserve">INV-2026-0841</t>
  </si>
  <si>
    <t xml:space="preserve">TX01053</t>
  </si>
  <si>
    <t xml:space="preserve">INV-2026-0875</t>
  </si>
  <si>
    <t xml:space="preserve">TX01054</t>
  </si>
  <si>
    <t xml:space="preserve">INV-2026-0827</t>
  </si>
  <si>
    <t xml:space="preserve">TX01055</t>
  </si>
  <si>
    <t xml:space="preserve">INV-2026-0870</t>
  </si>
  <si>
    <t xml:space="preserve">TX01056</t>
  </si>
  <si>
    <t xml:space="preserve">INV-2026-0839</t>
  </si>
  <si>
    <t xml:space="preserve">TX01057</t>
  </si>
  <si>
    <t xml:space="preserve">INV-2026-0883</t>
  </si>
  <si>
    <t xml:space="preserve">TX01058</t>
  </si>
  <si>
    <t xml:space="preserve">TX01059</t>
  </si>
  <si>
    <t xml:space="preserve">INV-2026-0816</t>
  </si>
  <si>
    <t xml:space="preserve">TX01060</t>
  </si>
  <si>
    <t xml:space="preserve">INV-2026-0844</t>
  </si>
  <si>
    <t xml:space="preserve">TX01061</t>
  </si>
  <si>
    <t xml:space="preserve">INV-2026-0856</t>
  </si>
  <si>
    <t xml:space="preserve">TX01062</t>
  </si>
  <si>
    <t xml:space="preserve">INV-2026-0903</t>
  </si>
  <si>
    <t xml:space="preserve">TX01063</t>
  </si>
  <si>
    <t xml:space="preserve">BILL-2026-0172</t>
  </si>
  <si>
    <t xml:space="preserve">TX01064</t>
  </si>
  <si>
    <t xml:space="preserve">INV-2026-0885</t>
  </si>
  <si>
    <t xml:space="preserve">TX01065</t>
  </si>
  <si>
    <t xml:space="preserve">INV-2026-0905</t>
  </si>
  <si>
    <t xml:space="preserve">TX01066</t>
  </si>
  <si>
    <t xml:space="preserve">INV-2026-0881</t>
  </si>
  <si>
    <t xml:space="preserve">TX01067</t>
  </si>
  <si>
    <t xml:space="preserve">INV-2026-0880</t>
  </si>
  <si>
    <t xml:space="preserve">TX01068</t>
  </si>
  <si>
    <t xml:space="preserve">2026-04</t>
  </si>
  <si>
    <t xml:space="preserve">TX01069</t>
  </si>
  <si>
    <t xml:space="preserve">TX01070</t>
  </si>
  <si>
    <t xml:space="preserve">INV-2026-0864</t>
  </si>
  <si>
    <t xml:space="preserve">TX01071</t>
  </si>
  <si>
    <t xml:space="preserve">INV-2026-0861</t>
  </si>
  <si>
    <t xml:space="preserve">TX01072</t>
  </si>
  <si>
    <t xml:space="preserve">INV-2026-0845</t>
  </si>
  <si>
    <t xml:space="preserve">TX01073</t>
  </si>
  <si>
    <t xml:space="preserve">INV-2026-0809</t>
  </si>
  <si>
    <t xml:space="preserve">TX01074</t>
  </si>
  <si>
    <t xml:space="preserve">BILL-2026-0171</t>
  </si>
  <si>
    <t xml:space="preserve">TX01075</t>
  </si>
  <si>
    <t xml:space="preserve">BILL-2026-0173</t>
  </si>
  <si>
    <t xml:space="preserve">TX01076</t>
  </si>
  <si>
    <t xml:space="preserve">BILL-2026-0175</t>
  </si>
  <si>
    <t xml:space="preserve">TX01077</t>
  </si>
  <si>
    <t xml:space="preserve">INV-2026-0852</t>
  </si>
  <si>
    <t xml:space="preserve">TX01078</t>
  </si>
  <si>
    <t xml:space="preserve">INV-2026-0888</t>
  </si>
  <si>
    <t xml:space="preserve">TX01079</t>
  </si>
  <si>
    <t xml:space="preserve">INV-2026-0836</t>
  </si>
  <si>
    <t xml:space="preserve">TX01080</t>
  </si>
  <si>
    <t xml:space="preserve">INV-2026-0829</t>
  </si>
  <si>
    <t xml:space="preserve">TX01081</t>
  </si>
  <si>
    <t xml:space="preserve">TX01082</t>
  </si>
  <si>
    <t xml:space="preserve">INV-2026-0904</t>
  </si>
  <si>
    <t xml:space="preserve">TX01083</t>
  </si>
  <si>
    <t xml:space="preserve">INV-2026-0899</t>
  </si>
  <si>
    <t xml:space="preserve">TX01084</t>
  </si>
  <si>
    <t xml:space="preserve">INV-2026-0893</t>
  </si>
  <si>
    <t xml:space="preserve">TX01085</t>
  </si>
  <si>
    <t xml:space="preserve">INV-2026-0894</t>
  </si>
  <si>
    <t xml:space="preserve">TX01086</t>
  </si>
  <si>
    <t xml:space="preserve">INV-2026-0868</t>
  </si>
  <si>
    <t xml:space="preserve">TX01087</t>
  </si>
  <si>
    <t xml:space="preserve">INV-2026-0848</t>
  </si>
  <si>
    <t xml:space="preserve">TX01088</t>
  </si>
  <si>
    <t xml:space="preserve">INV-2026-0837</t>
  </si>
  <si>
    <t xml:space="preserve">TX01089</t>
  </si>
  <si>
    <t xml:space="preserve">INV-2026-0866</t>
  </si>
  <si>
    <t xml:space="preserve">TX01090</t>
  </si>
  <si>
    <t xml:space="preserve">TX01091</t>
  </si>
  <si>
    <t xml:space="preserve">INV-2026-0884</t>
  </si>
  <si>
    <t xml:space="preserve">TX01092</t>
  </si>
  <si>
    <t xml:space="preserve">INV-2026-0921</t>
  </si>
  <si>
    <t xml:space="preserve">TX01093</t>
  </si>
  <si>
    <t xml:space="preserve">TX01094</t>
  </si>
  <si>
    <t xml:space="preserve">INV-2026-0817</t>
  </si>
  <si>
    <t xml:space="preserve">TX01095</t>
  </si>
  <si>
    <t xml:space="preserve">BILL-2026-0168</t>
  </si>
  <si>
    <t xml:space="preserve">TX01096</t>
  </si>
  <si>
    <t xml:space="preserve">BILL-2026-0177</t>
  </si>
  <si>
    <t xml:space="preserve">TX01097</t>
  </si>
  <si>
    <t xml:space="preserve">BILL-2026-0176</t>
  </si>
  <si>
    <t xml:space="preserve">TX01098</t>
  </si>
  <si>
    <t xml:space="preserve">TX01099</t>
  </si>
  <si>
    <t xml:space="preserve">INV-2026-0911</t>
  </si>
  <si>
    <t xml:space="preserve">TX01100</t>
  </si>
  <si>
    <t xml:space="preserve">INV-2026-0818</t>
  </si>
  <si>
    <t xml:space="preserve">TX01101</t>
  </si>
  <si>
    <t xml:space="preserve">TX01102</t>
  </si>
  <si>
    <t xml:space="preserve">INV-2026-0838</t>
  </si>
  <si>
    <t xml:space="preserve">TX01103</t>
  </si>
  <si>
    <t xml:space="preserve">INV-2026-0842</t>
  </si>
  <si>
    <t xml:space="preserve">TX01104</t>
  </si>
  <si>
    <t xml:space="preserve">INV-2026-0902</t>
  </si>
  <si>
    <t xml:space="preserve">TX01105</t>
  </si>
  <si>
    <t xml:space="preserve">INV-2026-0862</t>
  </si>
  <si>
    <t xml:space="preserve">TX01106</t>
  </si>
  <si>
    <t xml:space="preserve">INV-2026-0912</t>
  </si>
  <si>
    <t xml:space="preserve">TX01107</t>
  </si>
  <si>
    <t xml:space="preserve">INV-2026-0947</t>
  </si>
  <si>
    <t xml:space="preserve">TX01108</t>
  </si>
  <si>
    <t xml:space="preserve">INV-2026-0915</t>
  </si>
  <si>
    <t xml:space="preserve">TX01109</t>
  </si>
  <si>
    <t xml:space="preserve">INV-2026-0931</t>
  </si>
  <si>
    <t xml:space="preserve">TX01110</t>
  </si>
  <si>
    <t xml:space="preserve">TX01111</t>
  </si>
  <si>
    <t xml:space="preserve">TX01112</t>
  </si>
  <si>
    <t xml:space="preserve">INV-2026-0942</t>
  </si>
  <si>
    <t xml:space="preserve">TX01113</t>
  </si>
  <si>
    <t xml:space="preserve">BILL-2026-0181</t>
  </si>
  <si>
    <t xml:space="preserve">TX01114</t>
  </si>
  <si>
    <t xml:space="preserve">BILL-2026-0179</t>
  </si>
  <si>
    <t xml:space="preserve">TX01115</t>
  </si>
  <si>
    <t xml:space="preserve">INV-2026-0865</t>
  </si>
  <si>
    <t xml:space="preserve">TX01116</t>
  </si>
  <si>
    <t xml:space="preserve">INV-2026-0925</t>
  </si>
  <si>
    <t xml:space="preserve">TX01117</t>
  </si>
  <si>
    <t xml:space="preserve">INV-2026-0891</t>
  </si>
  <si>
    <t xml:space="preserve">TX01118</t>
  </si>
  <si>
    <t xml:space="preserve">TX01119</t>
  </si>
  <si>
    <t xml:space="preserve">INV-2026-0871</t>
  </si>
  <si>
    <t xml:space="preserve">TX01120</t>
  </si>
  <si>
    <t xml:space="preserve">INV-2026-0900</t>
  </si>
  <si>
    <t xml:space="preserve">TX01121</t>
  </si>
  <si>
    <t xml:space="preserve">TX01122</t>
  </si>
  <si>
    <t xml:space="preserve">INV-2026-0932</t>
  </si>
  <si>
    <t xml:space="preserve">TX01123</t>
  </si>
  <si>
    <t xml:space="preserve">INV-2026-0926</t>
  </si>
  <si>
    <t xml:space="preserve">TX01124</t>
  </si>
  <si>
    <t xml:space="preserve">INV-2026-0887</t>
  </si>
  <si>
    <t xml:space="preserve">TX01125</t>
  </si>
  <si>
    <t xml:space="preserve">INV-2026-0958</t>
  </si>
  <si>
    <t xml:space="preserve">TX01126</t>
  </si>
  <si>
    <t xml:space="preserve">INV-2026-0908</t>
  </si>
  <si>
    <t xml:space="preserve">TX01127</t>
  </si>
  <si>
    <t xml:space="preserve">INV-2026-0892</t>
  </si>
  <si>
    <t xml:space="preserve">TX01128</t>
  </si>
  <si>
    <t xml:space="preserve">TX01129</t>
  </si>
  <si>
    <t xml:space="preserve">INV-2026-0918</t>
  </si>
  <si>
    <t xml:space="preserve">TX01130</t>
  </si>
  <si>
    <t xml:space="preserve">INV-2026-0930</t>
  </si>
  <si>
    <t xml:space="preserve">TX01131</t>
  </si>
  <si>
    <t xml:space="preserve">INV-2026-0922</t>
  </si>
  <si>
    <t xml:space="preserve">TX01132</t>
  </si>
  <si>
    <t xml:space="preserve">INV-2026-0919</t>
  </si>
  <si>
    <t xml:space="preserve">TX01133</t>
  </si>
  <si>
    <t xml:space="preserve">INV-2026-0920</t>
  </si>
  <si>
    <t xml:space="preserve">TX01134</t>
  </si>
  <si>
    <t xml:space="preserve">INV-2026-0949</t>
  </si>
  <si>
    <t xml:space="preserve">TX01135</t>
  </si>
  <si>
    <t xml:space="preserve">INV-2026-0835</t>
  </si>
  <si>
    <t xml:space="preserve">TX01136</t>
  </si>
  <si>
    <t xml:space="preserve">BILL-2026-0174</t>
  </si>
  <si>
    <t xml:space="preserve">TX01137</t>
  </si>
  <si>
    <t xml:space="preserve">INV-2026-0867</t>
  </si>
  <si>
    <t xml:space="preserve">TX01138</t>
  </si>
  <si>
    <t xml:space="preserve">INV-2026-0878</t>
  </si>
  <si>
    <t xml:space="preserve">TX01139</t>
  </si>
  <si>
    <t xml:space="preserve">INV-2026-0935</t>
  </si>
  <si>
    <t xml:space="preserve">TX01140</t>
  </si>
  <si>
    <t xml:space="preserve">INV-2026-0939</t>
  </si>
  <si>
    <t xml:space="preserve">TX01141</t>
  </si>
  <si>
    <t xml:space="preserve">INV-2026-0849</t>
  </si>
  <si>
    <t xml:space="preserve">TX01142</t>
  </si>
  <si>
    <t xml:space="preserve">INV-2026-0929</t>
  </si>
  <si>
    <t xml:space="preserve">TX01143</t>
  </si>
  <si>
    <t xml:space="preserve">INV-2026-0855</t>
  </si>
  <si>
    <t xml:space="preserve">TX01144</t>
  </si>
  <si>
    <t xml:space="preserve">INV-2026-0927</t>
  </si>
  <si>
    <t xml:space="preserve">TX01145</t>
  </si>
  <si>
    <t xml:space="preserve">INV-2026-0889</t>
  </si>
  <si>
    <t xml:space="preserve">TX01146</t>
  </si>
  <si>
    <t xml:space="preserve">2026-05</t>
  </si>
  <si>
    <t xml:space="preserve">TX01147</t>
  </si>
  <si>
    <t xml:space="preserve">INV-2026-0916</t>
  </si>
  <si>
    <t xml:space="preserve">TX01148</t>
  </si>
  <si>
    <t xml:space="preserve">TX01149</t>
  </si>
  <si>
    <t xml:space="preserve">INV-2026-0967</t>
  </si>
  <si>
    <t xml:space="preserve">TX01150</t>
  </si>
  <si>
    <t xml:space="preserve">INV-2026-0896</t>
  </si>
  <si>
    <t xml:space="preserve">TX01151</t>
  </si>
  <si>
    <t xml:space="preserve">INV-2026-0928</t>
  </si>
  <si>
    <t xml:space="preserve">TX01152</t>
  </si>
  <si>
    <t xml:space="preserve">BILL-2026-0183</t>
  </si>
  <si>
    <t xml:space="preserve">TX01153</t>
  </si>
  <si>
    <t xml:space="preserve">BILL-2026-0182</t>
  </si>
  <si>
    <t xml:space="preserve">TX01154</t>
  </si>
  <si>
    <t xml:space="preserve">INV-2026-0906</t>
  </si>
  <si>
    <t xml:space="preserve">TX01155</t>
  </si>
  <si>
    <t xml:space="preserve">TX01156</t>
  </si>
  <si>
    <t xml:space="preserve">INV-2026-0913</t>
  </si>
  <si>
    <t xml:space="preserve">TX01157</t>
  </si>
  <si>
    <t xml:space="preserve">INV-2026-0968</t>
  </si>
  <si>
    <t xml:space="preserve">TX01158</t>
  </si>
  <si>
    <t xml:space="preserve">INV-2026-0898</t>
  </si>
  <si>
    <t xml:space="preserve">TX01159</t>
  </si>
  <si>
    <t xml:space="preserve">INV-2026-0876</t>
  </si>
  <si>
    <t xml:space="preserve">TX01160</t>
  </si>
  <si>
    <t xml:space="preserve">INV-2026-0933</t>
  </si>
  <si>
    <t xml:space="preserve">TX01161</t>
  </si>
  <si>
    <t xml:space="preserve">TX01162</t>
  </si>
  <si>
    <t xml:space="preserve">INV-2026-0981</t>
  </si>
  <si>
    <t xml:space="preserve">TX01163</t>
  </si>
  <si>
    <t xml:space="preserve">TX01164</t>
  </si>
  <si>
    <t xml:space="preserve">TX01165</t>
  </si>
  <si>
    <t xml:space="preserve">INV-2026-0907</t>
  </si>
  <si>
    <t xml:space="preserve">TX01166</t>
  </si>
  <si>
    <t xml:space="preserve">TX01167</t>
  </si>
  <si>
    <t xml:space="preserve">INV-2026-0970</t>
  </si>
  <si>
    <t xml:space="preserve">TX01168</t>
  </si>
  <si>
    <t xml:space="preserve">BILL-2026-0184</t>
  </si>
  <si>
    <t xml:space="preserve">TX01169</t>
  </si>
  <si>
    <t xml:space="preserve">BILL-2026-0180</t>
  </si>
  <si>
    <t xml:space="preserve">TX01170</t>
  </si>
  <si>
    <t xml:space="preserve">BILL-2026-0186</t>
  </si>
  <si>
    <t xml:space="preserve">TX01171</t>
  </si>
  <si>
    <t xml:space="preserve">INV-2026-0910</t>
  </si>
  <si>
    <t xml:space="preserve">TX01172</t>
  </si>
  <si>
    <t xml:space="preserve">TX01173</t>
  </si>
  <si>
    <t xml:space="preserve">INV-2026-0895</t>
  </si>
  <si>
    <t xml:space="preserve">TX01174</t>
  </si>
  <si>
    <t xml:space="preserve">INV-2026-0960</t>
  </si>
  <si>
    <t xml:space="preserve">TX01175</t>
  </si>
  <si>
    <t xml:space="preserve">INV-2026-0945</t>
  </si>
  <si>
    <t xml:space="preserve">TX01176</t>
  </si>
  <si>
    <t xml:space="preserve">INV-2026-0953</t>
  </si>
  <si>
    <t xml:space="preserve">TX01177</t>
  </si>
  <si>
    <t xml:space="preserve">INV-2026-0965</t>
  </si>
  <si>
    <t xml:space="preserve">TX01178</t>
  </si>
  <si>
    <t xml:space="preserve">TX01179</t>
  </si>
  <si>
    <t xml:space="preserve">INV-2026-0986</t>
  </si>
  <si>
    <t xml:space="preserve">TX01180</t>
  </si>
  <si>
    <t xml:space="preserve">INV-2026-0974</t>
  </si>
  <si>
    <t xml:space="preserve">TX01181</t>
  </si>
  <si>
    <t xml:space="preserve">INV-2026-0963</t>
  </si>
  <si>
    <t xml:space="preserve">TX01182</t>
  </si>
  <si>
    <t xml:space="preserve">INV-2026-0962</t>
  </si>
  <si>
    <t xml:space="preserve">TX01183</t>
  </si>
  <si>
    <t xml:space="preserve">TX01184</t>
  </si>
  <si>
    <t xml:space="preserve">TX01185</t>
  </si>
  <si>
    <t xml:space="preserve">BILL-2026-0189</t>
  </si>
  <si>
    <t xml:space="preserve">TX01186</t>
  </si>
  <si>
    <t xml:space="preserve">BILL-2026-0187</t>
  </si>
  <si>
    <t xml:space="preserve">TX01187</t>
  </si>
  <si>
    <t xml:space="preserve">BILL-2026-0178</t>
  </si>
  <si>
    <t xml:space="preserve">TX01188</t>
  </si>
  <si>
    <t xml:space="preserve">INV-2026-0923</t>
  </si>
  <si>
    <t xml:space="preserve">TX01189</t>
  </si>
  <si>
    <t xml:space="preserve">INV-2026-0996</t>
  </si>
  <si>
    <t xml:space="preserve">TX01190</t>
  </si>
  <si>
    <t xml:space="preserve">TX01191</t>
  </si>
  <si>
    <t xml:space="preserve">INV-2026-0956</t>
  </si>
  <si>
    <t xml:space="preserve">TX01192</t>
  </si>
  <si>
    <t xml:space="preserve">INV-2026-0975</t>
  </si>
  <si>
    <t xml:space="preserve">TX01193</t>
  </si>
  <si>
    <t xml:space="preserve">INV-2026-0959</t>
  </si>
  <si>
    <t xml:space="preserve">TX01194</t>
  </si>
  <si>
    <t xml:space="preserve">INV-2026-0973</t>
  </si>
  <si>
    <t xml:space="preserve">TX01195</t>
  </si>
  <si>
    <t xml:space="preserve">INV-2026-0952</t>
  </si>
  <si>
    <t xml:space="preserve">TX01196</t>
  </si>
  <si>
    <t xml:space="preserve">INV-2026-0886</t>
  </si>
  <si>
    <t xml:space="preserve">TX01197</t>
  </si>
  <si>
    <t xml:space="preserve">INV-2026-0938</t>
  </si>
  <si>
    <t xml:space="preserve">TX01198</t>
  </si>
  <si>
    <t xml:space="preserve">INV-2026-0917</t>
  </si>
  <si>
    <t xml:space="preserve">TX01199</t>
  </si>
  <si>
    <t xml:space="preserve">TX01200</t>
  </si>
  <si>
    <t xml:space="preserve">INV-2026-0954</t>
  </si>
  <si>
    <t xml:space="preserve">TX01201</t>
  </si>
  <si>
    <t xml:space="preserve">TX01202</t>
  </si>
  <si>
    <t xml:space="preserve">INV-2026-0934</t>
  </si>
  <si>
    <t xml:space="preserve">TX01203</t>
  </si>
  <si>
    <t xml:space="preserve">INV-2026-0901</t>
  </si>
  <si>
    <t xml:space="preserve">TX01204</t>
  </si>
  <si>
    <t xml:space="preserve">INV-2026-1000</t>
  </si>
  <si>
    <t xml:space="preserve">TX01205</t>
  </si>
  <si>
    <t xml:space="preserve">BILL-2026-0190</t>
  </si>
  <si>
    <t xml:space="preserve">TX01206</t>
  </si>
  <si>
    <t xml:space="preserve">BILL-2026-0185</t>
  </si>
  <si>
    <t xml:space="preserve">TX01207</t>
  </si>
  <si>
    <t xml:space="preserve">BILL-2026-0192</t>
  </si>
  <si>
    <t xml:space="preserve">TX01208</t>
  </si>
  <si>
    <t xml:space="preserve">INV-2026-0977</t>
  </si>
  <si>
    <t xml:space="preserve">TX01209</t>
  </si>
  <si>
    <t xml:space="preserve">INV-2026-0971</t>
  </si>
  <si>
    <t xml:space="preserve">TX01210</t>
  </si>
  <si>
    <t xml:space="preserve">INV-2026-0924</t>
  </si>
  <si>
    <t xml:space="preserve">TX01211</t>
  </si>
  <si>
    <t xml:space="preserve">INV-2026-0937</t>
  </si>
  <si>
    <t xml:space="preserve">TX01212</t>
  </si>
  <si>
    <t xml:space="preserve">INV-2026-0914</t>
  </si>
  <si>
    <t xml:space="preserve">TX01213</t>
  </si>
  <si>
    <t xml:space="preserve">INV-2026-0948</t>
  </si>
  <si>
    <t xml:space="preserve">TX01214</t>
  </si>
  <si>
    <t xml:space="preserve">INV-2026-0955</t>
  </si>
  <si>
    <t xml:space="preserve">TX01215</t>
  </si>
  <si>
    <t xml:space="preserve">INV-2026-1020</t>
  </si>
  <si>
    <t xml:space="preserve">TX01216</t>
  </si>
  <si>
    <t xml:space="preserve">INV-2026-0990</t>
  </si>
  <si>
    <t xml:space="preserve">TX01217</t>
  </si>
  <si>
    <t xml:space="preserve">TX01218</t>
  </si>
  <si>
    <t xml:space="preserve">INV-2026-0989</t>
  </si>
  <si>
    <t xml:space="preserve">TX01219</t>
  </si>
  <si>
    <t xml:space="preserve">BILL-2026-0193</t>
  </si>
  <si>
    <t xml:space="preserve">TX01220</t>
  </si>
  <si>
    <t xml:space="preserve">INV-2026-0909</t>
  </si>
  <si>
    <t xml:space="preserve">TX01221</t>
  </si>
  <si>
    <t xml:space="preserve">INV-2026-0940</t>
  </si>
  <si>
    <t xml:space="preserve">TX01222</t>
  </si>
  <si>
    <t xml:space="preserve">INV-2026-0978</t>
  </si>
  <si>
    <t xml:space="preserve">TX01223</t>
  </si>
  <si>
    <t xml:space="preserve">INV-2026-0946</t>
  </si>
  <si>
    <t xml:space="preserve">TX01224</t>
  </si>
  <si>
    <t xml:space="preserve">2026-06</t>
  </si>
  <si>
    <t xml:space="preserve">TX01225</t>
  </si>
  <si>
    <t xml:space="preserve">INV-2026-1028</t>
  </si>
  <si>
    <t xml:space="preserve">TX01226</t>
  </si>
  <si>
    <t xml:space="preserve">INV-2026-1016</t>
  </si>
  <si>
    <t xml:space="preserve">TX01227</t>
  </si>
  <si>
    <t xml:space="preserve">INV-2026-0993</t>
  </si>
  <si>
    <t xml:space="preserve">TX01228</t>
  </si>
  <si>
    <t xml:space="preserve">INV-2026-0936</t>
  </si>
  <si>
    <t xml:space="preserve">TX01229</t>
  </si>
  <si>
    <t xml:space="preserve">INV-2026-1005</t>
  </si>
  <si>
    <t xml:space="preserve">TX01230</t>
  </si>
  <si>
    <t xml:space="preserve">INV-2026-0984</t>
  </si>
  <si>
    <t xml:space="preserve">TX01231</t>
  </si>
  <si>
    <t xml:space="preserve">INV-2026-1015</t>
  </si>
  <si>
    <t xml:space="preserve">TX01232</t>
  </si>
  <si>
    <t xml:space="preserve">INV-2026-0976</t>
  </si>
  <si>
    <t xml:space="preserve">TX01233</t>
  </si>
  <si>
    <t xml:space="preserve">INV-2026-1030</t>
  </si>
  <si>
    <t xml:space="preserve">TX01234</t>
  </si>
  <si>
    <t xml:space="preserve">TX01235</t>
  </si>
  <si>
    <t xml:space="preserve">INV-2026-0985</t>
  </si>
  <si>
    <t xml:space="preserve">TX01236</t>
  </si>
  <si>
    <t xml:space="preserve">INV-2026-1037</t>
  </si>
  <si>
    <t xml:space="preserve">TX01237</t>
  </si>
  <si>
    <t xml:space="preserve">INV-2026-0950</t>
  </si>
  <si>
    <t xml:space="preserve">TX01238</t>
  </si>
  <si>
    <t xml:space="preserve">BILL-2026-0195</t>
  </si>
  <si>
    <t xml:space="preserve">TX01239</t>
  </si>
  <si>
    <t xml:space="preserve">BILL-2026-0199</t>
  </si>
  <si>
    <t xml:space="preserve">TX01240</t>
  </si>
  <si>
    <t xml:space="preserve">BILL-2026-0194</t>
  </si>
  <si>
    <t xml:space="preserve">TX01241</t>
  </si>
  <si>
    <t xml:space="preserve">BILL-2026-0191</t>
  </si>
  <si>
    <t xml:space="preserve">TX01242</t>
  </si>
  <si>
    <t xml:space="preserve">INV-2026-0972</t>
  </si>
  <si>
    <t xml:space="preserve">TX01243</t>
  </si>
  <si>
    <t xml:space="preserve">TX01244</t>
  </si>
  <si>
    <t xml:space="preserve">INV-2026-0966</t>
  </si>
  <si>
    <t xml:space="preserve">TX01245</t>
  </si>
  <si>
    <t xml:space="preserve">INV-2026-1002</t>
  </si>
  <si>
    <t xml:space="preserve">TX01246</t>
  </si>
  <si>
    <t xml:space="preserve">INV-2026-0957</t>
  </si>
  <si>
    <t xml:space="preserve">TX01247</t>
  </si>
  <si>
    <t xml:space="preserve">INV-2026-1046</t>
  </si>
  <si>
    <t xml:space="preserve">TX01248</t>
  </si>
  <si>
    <t xml:space="preserve">INV-2026-0992</t>
  </si>
  <si>
    <t xml:space="preserve">TX01249</t>
  </si>
  <si>
    <t xml:space="preserve">TX01250</t>
  </si>
  <si>
    <t xml:space="preserve">INV-2026-1022</t>
  </si>
  <si>
    <t xml:space="preserve">TX01251</t>
  </si>
  <si>
    <t xml:space="preserve">INV-2026-1021</t>
  </si>
  <si>
    <t xml:space="preserve">TX01252</t>
  </si>
  <si>
    <t xml:space="preserve">INV-2026-1036</t>
  </si>
  <si>
    <t xml:space="preserve">TX01253</t>
  </si>
  <si>
    <t xml:space="preserve">INV-2026-0983</t>
  </si>
  <si>
    <t xml:space="preserve">TX01254</t>
  </si>
  <si>
    <t xml:space="preserve">INV-2026-0951</t>
  </si>
  <si>
    <t xml:space="preserve">TX01255</t>
  </si>
  <si>
    <t xml:space="preserve">INV-2026-1013</t>
  </si>
  <si>
    <t xml:space="preserve">TX01256</t>
  </si>
  <si>
    <t xml:space="preserve">INV-2026-1003</t>
  </si>
  <si>
    <t xml:space="preserve">TX01257</t>
  </si>
  <si>
    <t xml:space="preserve">INV-2026-0997</t>
  </si>
  <si>
    <t xml:space="preserve">TX01258</t>
  </si>
  <si>
    <t xml:space="preserve">INV-2026-1023</t>
  </si>
  <si>
    <t xml:space="preserve">TX01259</t>
  </si>
  <si>
    <t xml:space="preserve">TX01260</t>
  </si>
  <si>
    <t xml:space="preserve">INV-2026-1006</t>
  </si>
  <si>
    <t xml:space="preserve">TX01261</t>
  </si>
  <si>
    <t xml:space="preserve">TX01262</t>
  </si>
  <si>
    <t xml:space="preserve">BILL-2026-0200</t>
  </si>
  <si>
    <t xml:space="preserve">TX01263</t>
  </si>
  <si>
    <t xml:space="preserve">BILL-2026-0188</t>
  </si>
  <si>
    <t xml:space="preserve">TX01264</t>
  </si>
  <si>
    <t xml:space="preserve">BILL-2026-0202</t>
  </si>
  <si>
    <t xml:space="preserve">TX01265</t>
  </si>
  <si>
    <t xml:space="preserve">INV-2026-0991</t>
  </si>
  <si>
    <t xml:space="preserve">TX01266</t>
  </si>
  <si>
    <t xml:space="preserve">INV-2026-1024</t>
  </si>
  <si>
    <t xml:space="preserve">TX01267</t>
  </si>
  <si>
    <t xml:space="preserve">INV-2026-0969</t>
  </si>
  <si>
    <t xml:space="preserve">TX01268</t>
  </si>
  <si>
    <t xml:space="preserve">TX01269</t>
  </si>
  <si>
    <t xml:space="preserve">INV-2026-1027</t>
  </si>
  <si>
    <t xml:space="preserve">TX01270</t>
  </si>
  <si>
    <t xml:space="preserve">INV-2026-0873</t>
  </si>
  <si>
    <t xml:space="preserve">TX01271</t>
  </si>
  <si>
    <t xml:space="preserve">INV-2026-0944</t>
  </si>
  <si>
    <t xml:space="preserve">TX01272</t>
  </si>
  <si>
    <t xml:space="preserve">INV-2026-1025</t>
  </si>
  <si>
    <t xml:space="preserve">TX01273</t>
  </si>
  <si>
    <t xml:space="preserve">TX01274</t>
  </si>
  <si>
    <t xml:space="preserve">INV-2026-0943</t>
  </si>
  <si>
    <t xml:space="preserve">TX01275</t>
  </si>
  <si>
    <t xml:space="preserve">INV-2026-0964</t>
  </si>
  <si>
    <t xml:space="preserve">TX01276</t>
  </si>
  <si>
    <t xml:space="preserve">INV-2026-0980</t>
  </si>
  <si>
    <t xml:space="preserve">TX01277</t>
  </si>
  <si>
    <t xml:space="preserve">TX01278</t>
  </si>
  <si>
    <t xml:space="preserve">BILL-2026-0196</t>
  </si>
  <si>
    <t xml:space="preserve">TX01279</t>
  </si>
  <si>
    <t xml:space="preserve">INV-2026-0982</t>
  </si>
  <si>
    <t xml:space="preserve">TX01280</t>
  </si>
  <si>
    <t xml:space="preserve">BILL-2026-0203</t>
  </si>
  <si>
    <t xml:space="preserve">TX01281</t>
  </si>
  <si>
    <t xml:space="preserve">INV-2026-1034</t>
  </si>
  <si>
    <t xml:space="preserve">TX01282</t>
  </si>
  <si>
    <t xml:space="preserve">INV-2026-1032</t>
  </si>
  <si>
    <t xml:space="preserve">TX01283</t>
  </si>
  <si>
    <t xml:space="preserve">INV-2026-1038</t>
  </si>
  <si>
    <t xml:space="preserve">TX01284</t>
  </si>
  <si>
    <t xml:space="preserve">INV-2026-0995</t>
  </si>
  <si>
    <t xml:space="preserve">TX01285</t>
  </si>
  <si>
    <t xml:space="preserve">INV-2026-1042</t>
  </si>
  <si>
    <t xml:space="preserve">TX01286</t>
  </si>
  <si>
    <t xml:space="preserve">TX01287</t>
  </si>
  <si>
    <t xml:space="preserve">INV-2026-1035</t>
  </si>
  <si>
    <t xml:space="preserve">TX01288</t>
  </si>
  <si>
    <t xml:space="preserve">TX01289</t>
  </si>
  <si>
    <t xml:space="preserve">INV-2026-1018</t>
  </si>
  <si>
    <t xml:space="preserve">TX01290</t>
  </si>
  <si>
    <t xml:space="preserve">BILL-2026-0197</t>
  </si>
  <si>
    <t xml:space="preserve">TX01291</t>
  </si>
  <si>
    <t xml:space="preserve">BILL-2026-0205</t>
  </si>
  <si>
    <t xml:space="preserve">TX01292</t>
  </si>
  <si>
    <t xml:space="preserve">INV-2026-1049</t>
  </si>
  <si>
    <t xml:space="preserve">TX01293</t>
  </si>
  <si>
    <t xml:space="preserve">INV-2026-0994</t>
  </si>
  <si>
    <t xml:space="preserve">TX01294</t>
  </si>
  <si>
    <t xml:space="preserve">INV-2026-1064</t>
  </si>
  <si>
    <t xml:space="preserve">TX01295</t>
  </si>
  <si>
    <t xml:space="preserve">INV-2026-0987</t>
  </si>
  <si>
    <t xml:space="preserve">TX01296</t>
  </si>
  <si>
    <t xml:space="preserve">INV-2026-1048</t>
  </si>
  <si>
    <t xml:space="preserve">TX01297</t>
  </si>
  <si>
    <t xml:space="preserve">2026-07</t>
  </si>
  <si>
    <t xml:space="preserve">TX01298</t>
  </si>
  <si>
    <t xml:space="preserve">INV-2026-1014</t>
  </si>
  <si>
    <t xml:space="preserve">TX01299</t>
  </si>
  <si>
    <t xml:space="preserve">INV-2026-1004</t>
  </si>
  <si>
    <t xml:space="preserve">TX01300</t>
  </si>
  <si>
    <t xml:space="preserve">INV-2026-1050</t>
  </si>
  <si>
    <t xml:space="preserve">TX01301</t>
  </si>
  <si>
    <t xml:space="preserve">INV-2026-1045</t>
  </si>
  <si>
    <t xml:space="preserve">TX01302</t>
  </si>
  <si>
    <t xml:space="preserve">TX01303</t>
  </si>
  <si>
    <t xml:space="preserve">INV-2026-1010</t>
  </si>
  <si>
    <t xml:space="preserve">TX01304</t>
  </si>
  <si>
    <t xml:space="preserve">INV-2026-0961</t>
  </si>
  <si>
    <t xml:space="preserve">TX01305</t>
  </si>
  <si>
    <t xml:space="preserve">BILL-2026-0208</t>
  </si>
  <si>
    <t xml:space="preserve">TX01306</t>
  </si>
  <si>
    <t xml:space="preserve">BILL-2026-0206</t>
  </si>
  <si>
    <t xml:space="preserve">TX01307</t>
  </si>
  <si>
    <t xml:space="preserve">BILL-2026-0204</t>
  </si>
  <si>
    <t xml:space="preserve">TX01308</t>
  </si>
  <si>
    <t xml:space="preserve">INV-2026-1078</t>
  </si>
  <si>
    <t xml:space="preserve">TX01309</t>
  </si>
  <si>
    <t xml:space="preserve">INV-2026-1053</t>
  </si>
  <si>
    <t xml:space="preserve">TX01310</t>
  </si>
  <si>
    <t xml:space="preserve">INV-2026-1056</t>
  </si>
  <si>
    <t xml:space="preserve">TX01311</t>
  </si>
  <si>
    <t xml:space="preserve">INV-2026-1084</t>
  </si>
  <si>
    <t xml:space="preserve">TX01312</t>
  </si>
  <si>
    <t xml:space="preserve">INV-2026-1080</t>
  </si>
  <si>
    <t xml:space="preserve">TX01313</t>
  </si>
  <si>
    <t xml:space="preserve">INV-2026-1017</t>
  </si>
  <si>
    <t xml:space="preserve">TX01314</t>
  </si>
  <si>
    <t xml:space="preserve">INV-2026-1081</t>
  </si>
  <si>
    <t xml:space="preserve">TX01315</t>
  </si>
  <si>
    <t xml:space="preserve">INV-2026-1029</t>
  </si>
  <si>
    <t xml:space="preserve">TX01316</t>
  </si>
  <si>
    <t xml:space="preserve">INV-2026-1057</t>
  </si>
  <si>
    <t xml:space="preserve">TX01317</t>
  </si>
  <si>
    <t xml:space="preserve">INV-2026-1059</t>
  </si>
  <si>
    <t xml:space="preserve">TX01318</t>
  </si>
  <si>
    <t xml:space="preserve">TX01319</t>
  </si>
  <si>
    <t xml:space="preserve">INV-2026-0988</t>
  </si>
  <si>
    <t xml:space="preserve">TX01320</t>
  </si>
  <si>
    <t xml:space="preserve">INV-2026-0941</t>
  </si>
  <si>
    <t xml:space="preserve">TX01321</t>
  </si>
  <si>
    <t xml:space="preserve">INV-2026-1001</t>
  </si>
  <si>
    <t xml:space="preserve">TX01322</t>
  </si>
  <si>
    <t xml:space="preserve">INV-2026-1090</t>
  </si>
  <si>
    <t xml:space="preserve">TX01323</t>
  </si>
  <si>
    <t xml:space="preserve">INV-2026-1088</t>
  </si>
  <si>
    <t xml:space="preserve">TX01324</t>
  </si>
  <si>
    <t xml:space="preserve">INV-2026-0999</t>
  </si>
  <si>
    <t xml:space="preserve">TX01325</t>
  </si>
  <si>
    <t xml:space="preserve">TX01326</t>
  </si>
  <si>
    <t xml:space="preserve">TX01327</t>
  </si>
  <si>
    <t xml:space="preserve">BILL-2026-0198</t>
  </si>
  <si>
    <t xml:space="preserve">TX01328</t>
  </si>
  <si>
    <t xml:space="preserve">INV-2026-1063</t>
  </si>
  <si>
    <t xml:space="preserve">TX01329</t>
  </si>
  <si>
    <t xml:space="preserve">BILL-2026-0201</t>
  </si>
  <si>
    <t xml:space="preserve">TX01330</t>
  </si>
  <si>
    <t xml:space="preserve">BILL-2026-0209</t>
  </si>
  <si>
    <t xml:space="preserve">TX01331</t>
  </si>
  <si>
    <t xml:space="preserve">INV-2026-1067</t>
  </si>
  <si>
    <t xml:space="preserve">TX01332</t>
  </si>
  <si>
    <t xml:space="preserve">BILL-2026-0211</t>
  </si>
  <si>
    <t xml:space="preserve">TX01333</t>
  </si>
  <si>
    <t xml:space="preserve">INV-2026-1012</t>
  </si>
  <si>
    <t xml:space="preserve">TX01334</t>
  </si>
  <si>
    <t xml:space="preserve">INV-2026-1070</t>
  </si>
  <si>
    <t xml:space="preserve">TX01335</t>
  </si>
  <si>
    <t xml:space="preserve">INV-2026-0979</t>
  </si>
  <si>
    <t xml:space="preserve">TX01336</t>
  </si>
  <si>
    <t xml:space="preserve">INV-2026-1082</t>
  </si>
  <si>
    <t xml:space="preserve">TX01337</t>
  </si>
  <si>
    <t xml:space="preserve">INV-2026-1075</t>
  </si>
  <si>
    <t xml:space="preserve">TX01338</t>
  </si>
  <si>
    <t xml:space="preserve">INV-2026-1077</t>
  </si>
  <si>
    <t xml:space="preserve">TX01339</t>
  </si>
  <si>
    <t xml:space="preserve">INV-2026-1033</t>
  </si>
  <si>
    <t xml:space="preserve">TX01340</t>
  </si>
  <si>
    <t xml:space="preserve">INV-2026-1040</t>
  </si>
  <si>
    <t xml:space="preserve">TX01341</t>
  </si>
  <si>
    <t xml:space="preserve">TX01342</t>
  </si>
  <si>
    <t xml:space="preserve">INV-2026-1072</t>
  </si>
  <si>
    <t xml:space="preserve">TX01343</t>
  </si>
  <si>
    <t xml:space="preserve">INV-2026-1099</t>
  </si>
  <si>
    <t xml:space="preserve">TX01344</t>
  </si>
  <si>
    <t xml:space="preserve">INV-2026-1074</t>
  </si>
  <si>
    <t xml:space="preserve">TX01345</t>
  </si>
  <si>
    <t xml:space="preserve">INV-2026-1044</t>
  </si>
  <si>
    <t xml:space="preserve">TX01346</t>
  </si>
  <si>
    <t xml:space="preserve">TX01347</t>
  </si>
  <si>
    <t xml:space="preserve">TX01348</t>
  </si>
  <si>
    <t xml:space="preserve">INV-2026-1008</t>
  </si>
  <si>
    <t xml:space="preserve">TX01349</t>
  </si>
  <si>
    <t xml:space="preserve">INV-2026-1047</t>
  </si>
  <si>
    <t xml:space="preserve">TX01350</t>
  </si>
  <si>
    <t xml:space="preserve">INV-2026-0998</t>
  </si>
  <si>
    <t xml:space="preserve">TX01351</t>
  </si>
  <si>
    <t xml:space="preserve">INV-2026-1097</t>
  </si>
  <si>
    <t xml:space="preserve">TX01352</t>
  </si>
  <si>
    <t xml:space="preserve">INV-2026-1065</t>
  </si>
  <si>
    <t xml:space="preserve">TX01353</t>
  </si>
  <si>
    <t xml:space="preserve">BILL-2026-0212</t>
  </si>
  <si>
    <t xml:space="preserve">TX01354</t>
  </si>
  <si>
    <t xml:space="preserve">INV-2026-1019</t>
  </si>
  <si>
    <t xml:space="preserve">TX01355</t>
  </si>
  <si>
    <t xml:space="preserve">TX01356</t>
  </si>
  <si>
    <t xml:space="preserve">INV-2026-1096</t>
  </si>
  <si>
    <t xml:space="preserve">TX01357</t>
  </si>
  <si>
    <t xml:space="preserve">BILL-2026-0213</t>
  </si>
  <si>
    <t xml:space="preserve">TX01358</t>
  </si>
  <si>
    <t xml:space="preserve">INV-2026-1007</t>
  </si>
  <si>
    <t xml:space="preserve">TX01359</t>
  </si>
  <si>
    <t xml:space="preserve">INV-2026-1098</t>
  </si>
  <si>
    <t xml:space="preserve">TX01360</t>
  </si>
  <si>
    <t xml:space="preserve">INV-2026-1051</t>
  </si>
  <si>
    <t xml:space="preserve">TX01361</t>
  </si>
  <si>
    <t xml:space="preserve">INV-2026-1083</t>
  </si>
  <si>
    <t xml:space="preserve">TX01362</t>
  </si>
  <si>
    <t xml:space="preserve">INV-2026-1109</t>
  </si>
  <si>
    <t xml:space="preserve">TX01363</t>
  </si>
  <si>
    <t xml:space="preserve">INV-2026-1071</t>
  </si>
  <si>
    <t xml:space="preserve">TX01364</t>
  </si>
  <si>
    <t xml:space="preserve">INV-2026-1058</t>
  </si>
  <si>
    <t xml:space="preserve">TX01365</t>
  </si>
  <si>
    <t xml:space="preserve">TX01366</t>
  </si>
  <si>
    <t xml:space="preserve">TX01367</t>
  </si>
  <si>
    <t xml:space="preserve">INV-2026-1009</t>
  </si>
  <si>
    <t xml:space="preserve">TX01368</t>
  </si>
  <si>
    <t xml:space="preserve">INV-2026-1052</t>
  </si>
  <si>
    <t xml:space="preserve">TX01369</t>
  </si>
  <si>
    <t xml:space="preserve">TX01370</t>
  </si>
  <si>
    <t xml:space="preserve">INV-2026-1086</t>
  </si>
  <si>
    <t xml:space="preserve">TX01371</t>
  </si>
  <si>
    <t xml:space="preserve">BILL-2026-0207</t>
  </si>
  <si>
    <t xml:space="preserve">TX01372</t>
  </si>
  <si>
    <t xml:space="preserve">BILL-2026-0215</t>
  </si>
  <si>
    <t xml:space="preserve">TX01373</t>
  </si>
  <si>
    <t xml:space="preserve">INV-2026-1095</t>
  </si>
  <si>
    <t xml:space="preserve">TX01374</t>
  </si>
  <si>
    <t xml:space="preserve">INV-2026-1100</t>
  </si>
  <si>
    <t xml:space="preserve">TX01375</t>
  </si>
  <si>
    <t xml:space="preserve">INV-2026-1073</t>
  </si>
  <si>
    <t xml:space="preserve">TX01376</t>
  </si>
  <si>
    <t xml:space="preserve">INV-2026-1076</t>
  </si>
  <si>
    <t xml:space="preserve">TX01377</t>
  </si>
  <si>
    <t xml:space="preserve">INV-2026-1062</t>
  </si>
  <si>
    <t xml:space="preserve">TX01378</t>
  </si>
  <si>
    <t xml:space="preserve">INV-2026-1011</t>
  </si>
  <si>
    <t xml:space="preserve">TX01379</t>
  </si>
  <si>
    <t xml:space="preserve">INV-2026-1041</t>
  </si>
  <si>
    <t xml:space="preserve">TX01380</t>
  </si>
  <si>
    <t xml:space="preserve">INV-2026-1069</t>
  </si>
  <si>
    <t xml:space="preserve">TX01381</t>
  </si>
  <si>
    <t xml:space="preserve">INV-2026-1039</t>
  </si>
  <si>
    <t xml:space="preserve">TX01382</t>
  </si>
  <si>
    <t xml:space="preserve">TX01383</t>
  </si>
  <si>
    <t xml:space="preserve">INV-2026-1054</t>
  </si>
  <si>
    <t xml:space="preserve">TX01384</t>
  </si>
  <si>
    <t xml:space="preserve">BILL-2026-0216</t>
  </si>
  <si>
    <t xml:space="preserve">TX01385</t>
  </si>
  <si>
    <t xml:space="preserve">2026-08</t>
  </si>
  <si>
    <t xml:space="preserve">TX01386</t>
  </si>
  <si>
    <t xml:space="preserve">INV-2026-1061</t>
  </si>
  <si>
    <t xml:space="preserve">TX01387</t>
  </si>
  <si>
    <t xml:space="preserve">INV-2026-1043</t>
  </si>
  <si>
    <t xml:space="preserve">TX01388</t>
  </si>
  <si>
    <t xml:space="preserve">INV-2026-1106</t>
  </si>
  <si>
    <t xml:space="preserve">TX01389</t>
  </si>
  <si>
    <t xml:space="preserve">INV-2026-1031</t>
  </si>
  <si>
    <t xml:space="preserve">TX01390</t>
  </si>
  <si>
    <t xml:space="preserve">INV-2026-1026</t>
  </si>
  <si>
    <t xml:space="preserve">TX01391</t>
  </si>
  <si>
    <t xml:space="preserve">INV-2026-1104</t>
  </si>
  <si>
    <t xml:space="preserve">TX01392</t>
  </si>
  <si>
    <t xml:space="preserve">INV-2026-1091</t>
  </si>
  <si>
    <t xml:space="preserve">TX01393</t>
  </si>
  <si>
    <t xml:space="preserve">INV-2026-1112</t>
  </si>
  <si>
    <t xml:space="preserve">TX01394</t>
  </si>
  <si>
    <t xml:space="preserve">INV-2026-1089</t>
  </si>
  <si>
    <t xml:space="preserve">TX01395</t>
  </si>
  <si>
    <t xml:space="preserve">INV-2026-1114</t>
  </si>
  <si>
    <t xml:space="preserve">TX01396</t>
  </si>
  <si>
    <t xml:space="preserve">INV-2026-1060</t>
  </si>
  <si>
    <t xml:space="preserve">TX01397</t>
  </si>
  <si>
    <t xml:space="preserve">TX01398</t>
  </si>
  <si>
    <t xml:space="preserve">INV-2026-1055</t>
  </si>
  <si>
    <t xml:space="preserve">TX01399</t>
  </si>
  <si>
    <t xml:space="preserve">TX01400</t>
  </si>
  <si>
    <t xml:space="preserve">BILL-2026-0214</t>
  </si>
  <si>
    <t xml:space="preserve">TX01401</t>
  </si>
  <si>
    <t xml:space="preserve">TX01402</t>
  </si>
  <si>
    <t xml:space="preserve">TX01403</t>
  </si>
  <si>
    <t xml:space="preserve">BILL-2026-0219</t>
  </si>
  <si>
    <t xml:space="preserve">TX01404</t>
  </si>
  <si>
    <t xml:space="preserve">BILL-2026-0217</t>
  </si>
  <si>
    <t xml:space="preserve">TX01405</t>
  </si>
  <si>
    <t xml:space="preserve">INV-2026-1092</t>
  </si>
  <si>
    <t xml:space="preserve">TX01406</t>
  </si>
  <si>
    <t xml:space="preserve">INV-2026-1138</t>
  </si>
  <si>
    <t xml:space="preserve">TX01407</t>
  </si>
  <si>
    <t xml:space="preserve">INV-2026-1115</t>
  </si>
  <si>
    <t xml:space="preserve">TX01408</t>
  </si>
  <si>
    <t xml:space="preserve">TX01409</t>
  </si>
  <si>
    <t xml:space="preserve">TX01410</t>
  </si>
  <si>
    <t xml:space="preserve">TX01411</t>
  </si>
  <si>
    <t xml:space="preserve">INV-2026-1079</t>
  </si>
  <si>
    <t xml:space="preserve">TX01412</t>
  </si>
  <si>
    <t xml:space="preserve">INV-2026-1132</t>
  </si>
  <si>
    <t xml:space="preserve">TX01413</t>
  </si>
  <si>
    <t xml:space="preserve">TX01414</t>
  </si>
  <si>
    <t xml:space="preserve">BILL-2026-0222</t>
  </si>
  <si>
    <t xml:space="preserve">TX01415</t>
  </si>
  <si>
    <t xml:space="preserve">BILL-2026-0220</t>
  </si>
  <si>
    <t xml:space="preserve">TX01416</t>
  </si>
  <si>
    <t xml:space="preserve">BILL-2026-0210</t>
  </si>
  <si>
    <t xml:space="preserve">customer_name</t>
  </si>
  <si>
    <t xml:space="preserve">segment</t>
  </si>
  <si>
    <t xml:space="preserve">country</t>
  </si>
  <si>
    <t xml:space="preserve">payment_method</t>
  </si>
  <si>
    <t xml:space="preserve">credit_limit_eur</t>
  </si>
  <si>
    <t xml:space="preserve">invoices_paid_12m</t>
  </si>
  <si>
    <t xml:space="preserve">open_balance_incl_vat</t>
  </si>
  <si>
    <t xml:space="preserve">of_which_overdue</t>
  </si>
  <si>
    <t xml:space="preserve">Hospitality (projects)</t>
  </si>
  <si>
    <t xml:space="preserve">FR</t>
  </si>
  <si>
    <t xml:space="preserve">Bank transfer</t>
  </si>
  <si>
    <t xml:space="preserve">Office fit-out contractor</t>
  </si>
  <si>
    <t xml:space="preserve">Furniture distributor</t>
  </si>
  <si>
    <t xml:space="preserve">LCR (bill of exchange)</t>
  </si>
  <si>
    <t xml:space="preserve">Public sector</t>
  </si>
  <si>
    <t xml:space="preserve">Bank transfer (Chorus Pro)</t>
  </si>
  <si>
    <t xml:space="preserve">Public sector (hospital)</t>
  </si>
  <si>
    <t xml:space="preserve">Direct corporate client</t>
  </si>
  <si>
    <t xml:space="preserve">Export distributor</t>
  </si>
  <si>
    <t xml:space="preserve">BE</t>
  </si>
  <si>
    <t xml:space="preserve">SEPA transfer</t>
  </si>
  <si>
    <t xml:space="preserve">Total</t>
  </si>
  <si>
    <t xml:space="preserve">invoice_id</t>
  </si>
  <si>
    <t xml:space="preserve">issue_date</t>
  </si>
  <si>
    <t xml:space="preserve">amount_ex_vat</t>
  </si>
  <si>
    <t xml:space="preserve">vat</t>
  </si>
  <si>
    <t xml:space="preserve">paid_date</t>
  </si>
  <si>
    <t xml:space="preserve">days_overdue_at_cutoff</t>
  </si>
  <si>
    <t xml:space="preserve">dispute_note</t>
  </si>
  <si>
    <t xml:space="preserve">INV-2025-0054</t>
  </si>
  <si>
    <t xml:space="preserve">Paid</t>
  </si>
  <si>
    <t xml:space="preserve">INV-2025-0055</t>
  </si>
  <si>
    <t xml:space="preserve">INV-2025-0056</t>
  </si>
  <si>
    <t xml:space="preserve">INV-2025-0057</t>
  </si>
  <si>
    <t xml:space="preserve">INV-2025-0059</t>
  </si>
  <si>
    <t xml:space="preserve">INV-2025-0060</t>
  </si>
  <si>
    <t xml:space="preserve">INV-2025-0061</t>
  </si>
  <si>
    <t xml:space="preserve">INV-2025-0062</t>
  </si>
  <si>
    <t xml:space="preserve">INV-2025-0063</t>
  </si>
  <si>
    <t xml:space="preserve">INV-2025-0064</t>
  </si>
  <si>
    <t xml:space="preserve">INV-2025-0065</t>
  </si>
  <si>
    <t xml:space="preserve">INV-2025-0066</t>
  </si>
  <si>
    <t xml:space="preserve">INV-2025-0067</t>
  </si>
  <si>
    <t xml:space="preserve">INV-2025-0068</t>
  </si>
  <si>
    <t xml:space="preserve">INV-2025-0069</t>
  </si>
  <si>
    <t xml:space="preserve">INV-2025-0070</t>
  </si>
  <si>
    <t xml:space="preserve">INV-2025-0071</t>
  </si>
  <si>
    <t xml:space="preserve">INV-2025-0072</t>
  </si>
  <si>
    <t xml:space="preserve">INV-2025-0073</t>
  </si>
  <si>
    <t xml:space="preserve">INV-2025-0074</t>
  </si>
  <si>
    <t xml:space="preserve">INV-2025-0075</t>
  </si>
  <si>
    <t xml:space="preserve">INV-2025-0076</t>
  </si>
  <si>
    <t xml:space="preserve">INV-2025-0077</t>
  </si>
  <si>
    <t xml:space="preserve">INV-2025-0078</t>
  </si>
  <si>
    <t xml:space="preserve">INV-2025-0079</t>
  </si>
  <si>
    <t xml:space="preserve">INV-2025-0080</t>
  </si>
  <si>
    <t xml:space="preserve">INV-2025-0081</t>
  </si>
  <si>
    <t xml:space="preserve">INV-2025-0082</t>
  </si>
  <si>
    <t xml:space="preserve">INV-2025-0086</t>
  </si>
  <si>
    <t xml:space="preserve">INV-2025-0087</t>
  </si>
  <si>
    <t xml:space="preserve">INV-2025-0089</t>
  </si>
  <si>
    <t xml:space="preserve">INV-2025-0090</t>
  </si>
  <si>
    <t xml:space="preserve">INV-2025-0091</t>
  </si>
  <si>
    <t xml:space="preserve">INV-2025-0094</t>
  </si>
  <si>
    <t xml:space="preserve">INV-2025-0095</t>
  </si>
  <si>
    <t xml:space="preserve">INV-2025-0096</t>
  </si>
  <si>
    <t xml:space="preserve">INV-2025-0097</t>
  </si>
  <si>
    <t xml:space="preserve">INV-2025-0099</t>
  </si>
  <si>
    <t xml:space="preserve">INV-2025-0100</t>
  </si>
  <si>
    <t xml:space="preserve">INV-2025-0101</t>
  </si>
  <si>
    <t xml:space="preserve">INV-2025-0102</t>
  </si>
  <si>
    <t xml:space="preserve">INV-2025-0104</t>
  </si>
  <si>
    <t xml:space="preserve">INV-2025-0105</t>
  </si>
  <si>
    <t xml:space="preserve">INV-2025-0106</t>
  </si>
  <si>
    <t xml:space="preserve">INV-2025-0107</t>
  </si>
  <si>
    <t xml:space="preserve">INV-2025-0108</t>
  </si>
  <si>
    <t xml:space="preserve">INV-2025-0111</t>
  </si>
  <si>
    <t xml:space="preserve">INV-2025-0112</t>
  </si>
  <si>
    <t xml:space="preserve">INV-2025-0113</t>
  </si>
  <si>
    <t xml:space="preserve">INV-2025-0116</t>
  </si>
  <si>
    <t xml:space="preserve">INV-2025-0117</t>
  </si>
  <si>
    <t xml:space="preserve">INV-2025-0119</t>
  </si>
  <si>
    <t xml:space="preserve">INV-2025-0121</t>
  </si>
  <si>
    <t xml:space="preserve">INV-2025-0123</t>
  </si>
  <si>
    <t xml:space="preserve">INV-2025-0124</t>
  </si>
  <si>
    <t xml:space="preserve">INV-2025-0132</t>
  </si>
  <si>
    <t xml:space="preserve">INV-2025-0137</t>
  </si>
  <si>
    <t xml:space="preserve">INV-2025-0140</t>
  </si>
  <si>
    <t xml:space="preserve">INV-2025-0147</t>
  </si>
  <si>
    <t xml:space="preserve">INV-2025-0149</t>
  </si>
  <si>
    <t xml:space="preserve">Hôtel Lumen Chambéry – 30% order deposit</t>
  </si>
  <si>
    <t xml:space="preserve">LUM-CHB</t>
  </si>
  <si>
    <t xml:space="preserve">Hôtel Lumen Chambéry – 40% on delivery</t>
  </si>
  <si>
    <t xml:space="preserve">Hôtel Lumen Chambéry – 30% on installation</t>
  </si>
  <si>
    <t xml:space="preserve">Azur Nice Port – 30% order deposit</t>
  </si>
  <si>
    <t xml:space="preserve">AZR-NIC</t>
  </si>
  <si>
    <t xml:space="preserve">Azur Nice Port – 40% on delivery</t>
  </si>
  <si>
    <t xml:space="preserve">Azur Nice Port – 30% on installation</t>
  </si>
  <si>
    <t xml:space="preserve">Hôtel Lumen Annecy – 30% order deposit</t>
  </si>
  <si>
    <t xml:space="preserve">LUM-ANN</t>
  </si>
  <si>
    <t xml:space="preserve">Customer claims 3 desks damaged in transport; credit note under review</t>
  </si>
  <si>
    <t xml:space="preserve">Invoice rejected in Chorus Pro: missing purchase-order number; to be re-submitted</t>
  </si>
  <si>
    <t xml:space="preserve">Invoices expected to be issued 12 Oct 2026 – 10 Jan 2027. Pipeline rows are expected but not yet ordered (probability 80%).</t>
  </si>
  <si>
    <t xml:space="preserve">order_id</t>
  </si>
  <si>
    <t xml:space="preserve">planned_invoice_date</t>
  </si>
  <si>
    <t xml:space="preserve">planned_due_date</t>
  </si>
  <si>
    <t xml:space="preserve">AZR-CAN</t>
  </si>
  <si>
    <t xml:space="preserve">supplier_id</t>
  </si>
  <si>
    <t xml:space="preserve">supplier_name</t>
  </si>
  <si>
    <t xml:space="preserve">billing_frequency</t>
  </si>
  <si>
    <t xml:space="preserve">vat_treatment</t>
  </si>
  <si>
    <t xml:space="preserve">open_bills_incl_vat</t>
  </si>
  <si>
    <t xml:space="preserve">committed_po_incl_vat</t>
  </si>
  <si>
    <t xml:space="preserve">Timber &amp; plywood</t>
  </si>
  <si>
    <t xml:space="preserve">DE</t>
  </si>
  <si>
    <t xml:space="preserve">Monthly</t>
  </si>
  <si>
    <t xml:space="preserve">Reverse-charge (intra-EU, no VAT paid)</t>
  </si>
  <si>
    <t xml:space="preserve">Steel frames &amp; legs</t>
  </si>
  <si>
    <t xml:space="preserve">Twice monthly</t>
  </si>
  <si>
    <t xml:space="preserve">20% VAT</t>
  </si>
  <si>
    <t xml:space="preserve">S03</t>
  </si>
  <si>
    <t xml:space="preserve">S04</t>
  </si>
  <si>
    <t xml:space="preserve">Weekly</t>
  </si>
  <si>
    <t xml:space="preserve">S05</t>
  </si>
  <si>
    <t xml:space="preserve">Water-based finishes</t>
  </si>
  <si>
    <t xml:space="preserve">S06</t>
  </si>
  <si>
    <t xml:space="preserve">Delivery &amp; installation transport</t>
  </si>
  <si>
    <t xml:space="preserve">bill_id</t>
  </si>
  <si>
    <t xml:space="preserve">bill_date</t>
  </si>
  <si>
    <t xml:space="preserve">BILL-2025-0011</t>
  </si>
  <si>
    <t xml:space="preserve">BILL-2025-0012</t>
  </si>
  <si>
    <t xml:space="preserve">BILL-2025-0013</t>
  </si>
  <si>
    <t xml:space="preserve">Timber &amp; plywood – Jan 2025 delivery</t>
  </si>
  <si>
    <t xml:space="preserve">BILL-2025-0014</t>
  </si>
  <si>
    <t xml:space="preserve">BILL-2025-0015</t>
  </si>
  <si>
    <t xml:space="preserve">BILL-2025-0016</t>
  </si>
  <si>
    <t xml:space="preserve">BILL-2025-0017</t>
  </si>
  <si>
    <t xml:space="preserve">BILL-2025-0018</t>
  </si>
  <si>
    <t xml:space="preserve">BILL-2025-0019</t>
  </si>
  <si>
    <t xml:space="preserve">BILL-2025-0020</t>
  </si>
  <si>
    <t xml:space="preserve">Transport Jan 2025</t>
  </si>
  <si>
    <t xml:space="preserve">BILL-2025-0021</t>
  </si>
  <si>
    <t xml:space="preserve">BILL-2025-0022</t>
  </si>
  <si>
    <t xml:space="preserve">BILL-2025-0023</t>
  </si>
  <si>
    <t xml:space="preserve">Timber &amp; plywood – Feb 2025 delivery</t>
  </si>
  <si>
    <t xml:space="preserve">BILL-2025-0025</t>
  </si>
  <si>
    <t xml:space="preserve">BILL-2025-0026</t>
  </si>
  <si>
    <t xml:space="preserve">BILL-2025-0028</t>
  </si>
  <si>
    <t xml:space="preserve">BILL-2025-0029</t>
  </si>
  <si>
    <t xml:space="preserve">BILL-2025-0030</t>
  </si>
  <si>
    <t xml:space="preserve">Transport Feb 2025</t>
  </si>
  <si>
    <t xml:space="preserve">BILL-2025-0032</t>
  </si>
  <si>
    <t xml:space="preserve">Timber &amp; plywood – Mar 2025 delivery</t>
  </si>
  <si>
    <t xml:space="preserve">Transport Mar 2025</t>
  </si>
  <si>
    <t xml:space="preserve">Timber &amp; plywood – Apr 2025 delivery</t>
  </si>
  <si>
    <t xml:space="preserve">Transport Apr 2025</t>
  </si>
  <si>
    <t xml:space="preserve">Timber &amp; plywood – May 2025 delivery</t>
  </si>
  <si>
    <t xml:space="preserve">Transport May 2025</t>
  </si>
  <si>
    <t xml:space="preserve">Timber &amp; plywood – Jun 2025 delivery</t>
  </si>
  <si>
    <t xml:space="preserve">Oak &amp; plywood – Hôtel Lumen Chambéry</t>
  </si>
  <si>
    <t xml:space="preserve">Transport Jun 2025</t>
  </si>
  <si>
    <t xml:space="preserve">Steel – Hôtel Lumen Chambéry</t>
  </si>
  <si>
    <t xml:space="preserve">Timber &amp; plywood – Jul 2025 delivery</t>
  </si>
  <si>
    <t xml:space="preserve">Transport Jul 2025</t>
  </si>
  <si>
    <t xml:space="preserve">Timber &amp; plywood – Aug 2025 delivery</t>
  </si>
  <si>
    <t xml:space="preserve">Transport Aug 2025</t>
  </si>
  <si>
    <t xml:space="preserve">Timber &amp; plywood – Sep 2025 delivery</t>
  </si>
  <si>
    <t xml:space="preserve">Transport Sep 2025</t>
  </si>
  <si>
    <t xml:space="preserve">Timber &amp; plywood – Oct 2025 delivery</t>
  </si>
  <si>
    <t xml:space="preserve">Transport Oct 2025</t>
  </si>
  <si>
    <t xml:space="preserve">Timber &amp; plywood – Nov 2025 delivery</t>
  </si>
  <si>
    <t xml:space="preserve">Transport Nov 2025</t>
  </si>
  <si>
    <t xml:space="preserve">Timber &amp; plywood – Dec 2025 delivery</t>
  </si>
  <si>
    <t xml:space="preserve">Oak – Azur Nice Port</t>
  </si>
  <si>
    <t xml:space="preserve">Transport Dec 2025</t>
  </si>
  <si>
    <t xml:space="preserve">Timber &amp; plywood – Jan 2026 delivery</t>
  </si>
  <si>
    <t xml:space="preserve">Transport Jan 2026</t>
  </si>
  <si>
    <t xml:space="preserve">Timber &amp; plywood – Feb 2026 delivery</t>
  </si>
  <si>
    <t xml:space="preserve">Transport Feb 2026</t>
  </si>
  <si>
    <t xml:space="preserve">Timber &amp; plywood – Mar 2026 delivery</t>
  </si>
  <si>
    <t xml:space="preserve">Transport Mar 2026</t>
  </si>
  <si>
    <t xml:space="preserve">Timber &amp; plywood – Apr 2026 delivery</t>
  </si>
  <si>
    <t xml:space="preserve">Transport Apr 2026</t>
  </si>
  <si>
    <t xml:space="preserve">Timber &amp; plywood – May 2026 delivery</t>
  </si>
  <si>
    <t xml:space="preserve">Transport May 2026</t>
  </si>
  <si>
    <t xml:space="preserve">Timber &amp; plywood – Jun 2026 delivery</t>
  </si>
  <si>
    <t xml:space="preserve">Oak &amp; plywood – Hôtel Lumen Annecy</t>
  </si>
  <si>
    <t xml:space="preserve">Transport Jun 2026</t>
  </si>
  <si>
    <t xml:space="preserve">Steel – Hôtel Lumen Annecy</t>
  </si>
  <si>
    <t xml:space="preserve">Felt – Hôtel Lumen Annecy</t>
  </si>
  <si>
    <t xml:space="preserve">Timber &amp; plywood – Jul 2026 delivery</t>
  </si>
  <si>
    <t xml:space="preserve">Transport Jul 2026</t>
  </si>
  <si>
    <t xml:space="preserve">Timber &amp; plywood – Aug 2026 delivery</t>
  </si>
  <si>
    <t xml:space="preserve">Transport Aug 2026</t>
  </si>
  <si>
    <t xml:space="preserve">Open – scheduled</t>
  </si>
  <si>
    <t xml:space="preserve">Timber &amp; plywood – Sep 2026 delivery</t>
  </si>
  <si>
    <t xml:space="preserve">Purchase orders already placed; their bills will be paid inside the forecast window.</t>
  </si>
  <si>
    <t xml:space="preserve">po_id</t>
  </si>
  <si>
    <t xml:space="preserve">po_status</t>
  </si>
  <si>
    <t xml:space="preserve">expected_bill_date</t>
  </si>
  <si>
    <t xml:space="preserve">Non-supplier payments due 12 Oct 2026 – 10 Jan 2027. Card spending uses the run-rate in Assumptions A09.</t>
  </si>
  <si>
    <t xml:space="preserve">payment_id</t>
  </si>
  <si>
    <t xml:space="preserve">note</t>
  </si>
  <si>
    <t xml:space="preserve">VAT payment (monthly CA3 return)</t>
  </si>
  <si>
    <t xml:space="preserve">Capex (planned, discretionary)</t>
  </si>
  <si>
    <t xml:space="preserve">period</t>
  </si>
  <si>
    <t xml:space="preserve">output_vat</t>
  </si>
  <si>
    <t xml:space="preserve">deductible_vat</t>
  </si>
  <si>
    <t xml:space="preserve">payment_date</t>
  </si>
  <si>
    <t xml:space="preserve">Accrual basis: revenue counted when invoiced, costs when incurred — NOT when cash moves. 13th-month bonus accrued monthly. Oct–Dec 2026 = forecast.</t>
  </si>
  <si>
    <t xml:space="preserve">month</t>
  </si>
  <si>
    <t xml:space="preserve">revenue</t>
  </si>
  <si>
    <t xml:space="preserve">materials</t>
  </si>
  <si>
    <t xml:space="preserve">transport</t>
  </si>
  <si>
    <t xml:space="preserve">staff_costs</t>
  </si>
  <si>
    <t xml:space="preserve">rent</t>
  </si>
  <si>
    <t xml:space="preserve">energy</t>
  </si>
  <si>
    <t xml:space="preserve">other_overheads</t>
  </si>
  <si>
    <t xml:space="preserve">ebitda</t>
  </si>
  <si>
    <t xml:space="preserve">depreciation</t>
  </si>
  <si>
    <t xml:space="preserve">interest</t>
  </si>
  <si>
    <t xml:space="preserve">profit_before_tax</t>
  </si>
  <si>
    <t xml:space="preserve">corporate_tax</t>
  </si>
  <si>
    <t xml:space="preserve">net_profit</t>
  </si>
  <si>
    <t xml:space="preserve">Actual</t>
  </si>
  <si>
    <t xml:space="preserve">2026-09</t>
  </si>
  <si>
    <t xml:space="preserve">2026-10</t>
  </si>
  <si>
    <t xml:space="preserve">Forecast</t>
  </si>
  <si>
    <t xml:space="preserve">2026-11</t>
  </si>
  <si>
    <t xml:space="preserve">2026-12</t>
  </si>
  <si>
    <t xml:space="preserve">Q4 2026 (forecast)</t>
  </si>
  <si>
    <t xml:space="preserve">Calendar 2026</t>
  </si>
</sst>
</file>

<file path=xl/styles.xml><?xml version="1.0" encoding="utf-8"?>
<styleSheet xmlns="http://schemas.openxmlformats.org/spreadsheetml/2006/main">
  <numFmts count="10">
    <numFmt numFmtId="164" formatCode="General"/>
    <numFmt numFmtId="165" formatCode="dd\ mmm"/>
    <numFmt numFmtId="166" formatCode="#,##0&quot; €&quot;;\-#,##0&quot; €&quot;;\-"/>
    <numFmt numFmtId="167" formatCode="@"/>
    <numFmt numFmtId="168" formatCode="0"/>
    <numFmt numFmtId="169" formatCode="0%"/>
    <numFmt numFmtId="170" formatCode="#,##0"/>
    <numFmt numFmtId="171" formatCode="dd/mm/yyyy"/>
    <numFmt numFmtId="172" formatCode="#,##0.00&quot; €&quot;;\-#,##0.00&quot; €&quot;;\-"/>
    <numFmt numFmtId="173"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i val="true"/>
      <sz val="9"/>
      <color rgb="FF666666"/>
      <name val="Arial"/>
      <family val="0"/>
      <charset val="1"/>
    </font>
    <font>
      <b val="true"/>
      <sz val="10"/>
      <name val="Arial"/>
      <family val="0"/>
      <charset val="1"/>
    </font>
    <font>
      <b val="true"/>
      <sz val="11"/>
      <color rgb="FF1F4E3D"/>
      <name val="Arial"/>
      <family val="0"/>
      <charset val="1"/>
    </font>
    <font>
      <sz val="10"/>
      <name val="Arial"/>
      <family val="0"/>
      <charset val="1"/>
    </font>
    <font>
      <b val="true"/>
      <sz val="15"/>
      <color rgb="FF1F4E3D"/>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5"/>
      <color rgb="FFC00000"/>
      <name val="Arial"/>
      <family val="0"/>
      <charset val="1"/>
    </font>
    <font>
      <sz val="10"/>
      <color rgb="FF008000"/>
      <name val="Arial"/>
      <family val="0"/>
      <charset val="1"/>
    </font>
    <font>
      <sz val="10"/>
      <color rgb="FF0000FF"/>
      <name val="Arial"/>
      <family val="0"/>
      <charset val="1"/>
    </font>
    <font>
      <u val="single"/>
      <sz val="10"/>
      <color rgb="FF0563C1"/>
      <name val="Arial"/>
      <family val="0"/>
      <charset val="1"/>
    </font>
    <font>
      <sz val="10"/>
      <name val="Arial"/>
      <family val="2"/>
    </font>
  </fonts>
  <fills count="7">
    <fill>
      <patternFill patternType="none"/>
    </fill>
    <fill>
      <patternFill patternType="gray125"/>
    </fill>
    <fill>
      <patternFill patternType="solid">
        <fgColor rgb="FFFFF2B3"/>
        <bgColor rgb="FFFCE8C8"/>
      </patternFill>
    </fill>
    <fill>
      <patternFill patternType="solid">
        <fgColor rgb="FF1F4E3D"/>
        <bgColor rgb="FF003366"/>
      </patternFill>
    </fill>
    <fill>
      <patternFill patternType="solid">
        <fgColor rgb="FFEEF4F1"/>
        <bgColor rgb="FFFFFFFF"/>
      </patternFill>
    </fill>
    <fill>
      <patternFill patternType="solid">
        <fgColor rgb="FFFCE8C8"/>
        <bgColor rgb="FFFFF2B3"/>
      </patternFill>
    </fill>
    <fill>
      <patternFill patternType="solid">
        <fgColor rgb="FFF8D7D7"/>
        <bgColor rgb="FFFCE8C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6" fontId="6" fillId="5"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8" fontId="15" fillId="0" borderId="0" xfId="0" applyFont="true" applyBorder="false" applyAlignment="true" applyProtection="false">
      <alignment horizontal="left" vertical="bottom" textRotation="0" wrapText="false" indent="0" shrinkToFit="false"/>
      <protection locked="true" hidden="false"/>
    </xf>
    <xf numFmtId="166" fontId="15" fillId="0" borderId="0" xfId="0" applyFont="true" applyBorder="false" applyAlignment="true" applyProtection="false">
      <alignment horizontal="left"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6" fontId="8" fillId="0" borderId="0" xfId="0" applyFont="true" applyBorder="false" applyAlignment="true" applyProtection="false">
      <alignment horizontal="general" vertical="top" textRotation="0" wrapText="true" indent="0" shrinkToFit="false"/>
      <protection locked="true" hidden="false"/>
    </xf>
    <xf numFmtId="164" fontId="16" fillId="2" borderId="0" xfId="0" applyFont="true" applyBorder="false" applyAlignment="true" applyProtection="false">
      <alignment horizontal="general" vertical="top" textRotation="0" wrapText="true" indent="0" shrinkToFit="false"/>
      <protection locked="true" hidden="false"/>
    </xf>
    <xf numFmtId="171" fontId="16" fillId="2" borderId="0" xfId="0" applyFont="true" applyBorder="false" applyAlignment="true" applyProtection="false">
      <alignment horizontal="general" vertical="top" textRotation="0" wrapText="tru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bottom" textRotation="0" wrapText="tru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6" fontId="16" fillId="2"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6" fontId="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color rgb="FFC00000"/>
        <sz val="10"/>
      </font>
      <fill>
        <patternFill>
          <bgColor rgb="FFF8D7D7"/>
        </patternFill>
      </fill>
    </dxf>
    <dxf>
      <font>
        <name val="Arial"/>
        <charset val="1"/>
        <family val="0"/>
        <b val="1"/>
        <color rgb="FFFFFFFF"/>
      </font>
      <fill>
        <patternFill>
          <bgColor rgb="FFC00000"/>
        </patternFill>
      </fill>
    </dxf>
    <dxf>
      <fill>
        <patternFill>
          <bgColor rgb="FFFCE8C8"/>
        </patternFill>
      </fill>
    </dxf>
    <dxf>
      <font>
        <name val="Arial"/>
        <charset val="1"/>
        <family val="0"/>
        <b val="1"/>
        <color rgb="FFC00000"/>
        <sz val="10"/>
      </font>
    </dxf>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EEF4F1"/>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7030A0"/>
      <rgbColor rgb="FFFFF2B3"/>
      <rgbColor rgb="FFEEF4F1"/>
      <rgbColor rgb="FF660066"/>
      <rgbColor rgb="FFE07B39"/>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CE8C8"/>
      <rgbColor rgb="FF99CCFF"/>
      <rgbColor rgb="FFFF99CC"/>
      <rgbColor rgb="FFCC99FF"/>
      <rgbColor rgb="FFF8D7D7"/>
      <rgbColor rgb="FF2E75B6"/>
      <rgbColor rgb="FF33CCCC"/>
      <rgbColor rgb="FF99CC00"/>
      <rgbColor rgb="FFFFCC00"/>
      <rgbColor rgb="FFC9A227"/>
      <rgbColor rgb="FFFF6600"/>
      <rgbColor rgb="FF666666"/>
      <rgbColor rgb="FF878787"/>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13-week closing cash: base vs delayed-payment scenarios</a:t>
            </a:r>
          </a:p>
        </c:rich>
      </c:tx>
      <c:overlay val="0"/>
      <c:spPr>
        <a:noFill/>
        <a:ln w="0">
          <a:noFill/>
        </a:ln>
      </c:spPr>
    </c:title>
    <c:autoTitleDeleted val="0"/>
    <c:plotArea>
      <c:lineChart>
        <c:grouping val="standard"/>
        <c:varyColors val="0"/>
        <c:ser>
          <c:idx val="0"/>
          <c:order val="0"/>
          <c:tx>
            <c:strRef>
              <c:f>"Base"</c:f>
              <c:strCache>
                <c:ptCount val="1"/>
                <c:pt idx="0">
                  <c:v>Base</c:v>
                </c:pt>
              </c:strCache>
            </c:strRef>
          </c:tx>
          <c:spPr>
            <a:solidFill>
              <a:srgbClr val="1f4e3d"/>
            </a:solidFill>
            <a:ln w="21960">
              <a:solidFill>
                <a:srgbClr val="1f4e3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Forecast_13W!$C$4:$O$4</c:f>
              <c:multiLvlStrCache>
                <c:ptCount val="1"/>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Forecast_13W!$C$36:$O$36</c:f>
              <c:numCache>
                <c:formatCode>#,##0" €";\-#,##0" €";\-</c:formatCode>
                <c:ptCount val="13"/>
                <c:pt idx="0">
                  <c:v>282840.5</c:v>
                </c:pt>
                <c:pt idx="1">
                  <c:v>449176.92</c:v>
                </c:pt>
                <c:pt idx="2">
                  <c:v>100857</c:v>
                </c:pt>
                <c:pt idx="3">
                  <c:v>170790.53</c:v>
                </c:pt>
                <c:pt idx="4">
                  <c:v>253974.51</c:v>
                </c:pt>
                <c:pt idx="5">
                  <c:v>118636.62</c:v>
                </c:pt>
                <c:pt idx="6">
                  <c:v>343376.38</c:v>
                </c:pt>
                <c:pt idx="7">
                  <c:v>164325.06</c:v>
                </c:pt>
                <c:pt idx="8">
                  <c:v>218700.52</c:v>
                </c:pt>
                <c:pt idx="9">
                  <c:v>271260.06</c:v>
                </c:pt>
                <c:pt idx="10">
                  <c:v>273349.58</c:v>
                </c:pt>
                <c:pt idx="11">
                  <c:v>219892.39</c:v>
                </c:pt>
                <c:pt idx="12">
                  <c:v>294944.63</c:v>
                </c:pt>
              </c:numCache>
            </c:numRef>
          </c:val>
          <c:smooth val="0"/>
        </c:ser>
        <c:ser>
          <c:idx val="1"/>
          <c:order val="1"/>
          <c:tx>
            <c:strRef>
              <c:f>"S1 – Lumen 45 days late"</c:f>
              <c:strCache>
                <c:ptCount val="1"/>
                <c:pt idx="0">
                  <c:v>S1 – Lumen 45 days late</c:v>
                </c:pt>
              </c:strCache>
            </c:strRef>
          </c:tx>
          <c:spPr>
            <a:solidFill>
              <a:srgbClr val="e07b39"/>
            </a:solidFill>
            <a:ln w="21960">
              <a:solidFill>
                <a:srgbClr val="e07b3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Forecast_13W!$C$4:$O$4</c:f>
              <c:multiLvlStrCache>
                <c:ptCount val="1"/>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Forecast_13W!$C$45:$O$45</c:f>
              <c:numCache>
                <c:formatCode>#,##0" €";\-#,##0" €";\-</c:formatCode>
                <c:ptCount val="13"/>
                <c:pt idx="0">
                  <c:v>282840.5</c:v>
                </c:pt>
                <c:pt idx="1">
                  <c:v>449176.92</c:v>
                </c:pt>
                <c:pt idx="2">
                  <c:v>100857</c:v>
                </c:pt>
                <c:pt idx="3">
                  <c:v>170790.53</c:v>
                </c:pt>
                <c:pt idx="4">
                  <c:v>253974.51</c:v>
                </c:pt>
                <c:pt idx="5">
                  <c:v>118636.62</c:v>
                </c:pt>
                <c:pt idx="6">
                  <c:v>112976.38</c:v>
                </c:pt>
                <c:pt idx="7">
                  <c:v>-66074.9400000001</c:v>
                </c:pt>
                <c:pt idx="8">
                  <c:v>-11699.4800000001</c:v>
                </c:pt>
                <c:pt idx="9">
                  <c:v>40860.0599999999</c:v>
                </c:pt>
                <c:pt idx="10">
                  <c:v>42949.5799999999</c:v>
                </c:pt>
                <c:pt idx="11">
                  <c:v>-10507.6100000001</c:v>
                </c:pt>
                <c:pt idx="12">
                  <c:v>64544.6299999999</c:v>
                </c:pt>
              </c:numCache>
            </c:numRef>
          </c:val>
          <c:smooth val="0"/>
        </c:ser>
        <c:ser>
          <c:idx val="2"/>
          <c:order val="2"/>
          <c:tx>
            <c:strRef>
              <c:f>"S2 – S1 + contractors slower"</c:f>
              <c:strCache>
                <c:ptCount val="1"/>
                <c:pt idx="0">
                  <c:v>S2 – S1 + contractors slower</c:v>
                </c:pt>
              </c:strCache>
            </c:strRef>
          </c:tx>
          <c:spPr>
            <a:solidFill>
              <a:srgbClr val="c00000"/>
            </a:solidFill>
            <a:ln w="2196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Forecast_13W!$C$4:$O$4</c:f>
              <c:multiLvlStrCache>
                <c:ptCount val="1"/>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Forecast_13W!$C$54:$O$54</c:f>
              <c:numCache>
                <c:formatCode>#,##0" €";\-#,##0" €";\-</c:formatCode>
                <c:ptCount val="13"/>
                <c:pt idx="0">
                  <c:v>271092.5</c:v>
                </c:pt>
                <c:pt idx="1">
                  <c:v>332416.92</c:v>
                </c:pt>
                <c:pt idx="2">
                  <c:v>-32655</c:v>
                </c:pt>
                <c:pt idx="3">
                  <c:v>33558.53</c:v>
                </c:pt>
                <c:pt idx="4">
                  <c:v>139770.51</c:v>
                </c:pt>
                <c:pt idx="5">
                  <c:v>1012.62</c:v>
                </c:pt>
                <c:pt idx="6">
                  <c:v>-38427.62</c:v>
                </c:pt>
                <c:pt idx="7">
                  <c:v>-200126.94</c:v>
                </c:pt>
                <c:pt idx="8">
                  <c:v>-138947.48</c:v>
                </c:pt>
                <c:pt idx="9">
                  <c:v>-161495.94</c:v>
                </c:pt>
                <c:pt idx="10">
                  <c:v>-175186.42</c:v>
                </c:pt>
                <c:pt idx="11">
                  <c:v>-197767.61</c:v>
                </c:pt>
                <c:pt idx="12">
                  <c:v>-114077.77</c:v>
                </c:pt>
              </c:numCache>
            </c:numRef>
          </c:val>
          <c:smooth val="0"/>
        </c:ser>
        <c:ser>
          <c:idx val="3"/>
          <c:order val="3"/>
          <c:tx>
            <c:strRef>
              <c:f>"€100k buffer"</c:f>
              <c:strCache>
                <c:ptCount val="1"/>
                <c:pt idx="0">
                  <c:v>€100k buffer</c:v>
                </c:pt>
              </c:strCache>
            </c:strRef>
          </c:tx>
          <c:spPr>
            <a:solidFill>
              <a:srgbClr val="7f7f7f"/>
            </a:solidFill>
            <a:ln w="2196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Forecast_13W!$C$4:$O$4</c:f>
              <c:multiLvlStrCache>
                <c:ptCount val="1"/>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Forecast_13W!$C$37:$O$37</c:f>
              <c:numCache>
                <c:formatCode>#,##0" €";\-#,##0" €";\-</c:formatCode>
                <c:ptCount val="13"/>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pt idx="12">
                  <c:v>100000</c:v>
                </c:pt>
              </c:numCache>
            </c:numRef>
          </c:val>
          <c:smooth val="0"/>
        </c:ser>
        <c:hiLowLines>
          <c:spPr>
            <a:ln w="0">
              <a:noFill/>
            </a:ln>
          </c:spPr>
        </c:hiLowLines>
        <c:marker val="0"/>
        <c:axId val="40234599"/>
        <c:axId val="80044455"/>
      </c:lineChart>
      <c:catAx>
        <c:axId val="4023459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044455"/>
        <c:crosses val="autoZero"/>
        <c:auto val="1"/>
        <c:lblAlgn val="ctr"/>
        <c:lblOffset val="100"/>
        <c:noMultiLvlLbl val="0"/>
      </c:catAx>
      <c:valAx>
        <c:axId val="80044455"/>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EUR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23459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84</xdr:row>
      <xdr:rowOff>145440</xdr:rowOff>
    </xdr:from>
    <xdr:to>
      <xdr:col>5</xdr:col>
      <xdr:colOff>675000</xdr:colOff>
      <xdr:row>101</xdr:row>
      <xdr:rowOff>146520</xdr:rowOff>
    </xdr:to>
    <xdr:graphicFrame>
      <xdr:nvGraphicFramePr>
        <xdr:cNvPr id="0" name="Chart 1"/>
        <xdr:cNvGraphicFramePr/>
      </xdr:nvGraphicFramePr>
      <xdr:xfrm>
        <a:off x="0" y="1619244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hyperlink" Target="https://rubypayeur.com/blog/loi-lme/" TargetMode="External"/><Relationship Id="rId2" Type="http://schemas.openxmlformats.org/officeDocument/2006/relationships/hyperlink" Target="https://rubypayeur.com/blog/loi-lme/" TargetMode="External"/><Relationship Id="rId3" Type="http://schemas.openxmlformats.org/officeDocument/2006/relationships/hyperlink" Target="https://www.code-commande-publique.com/delais-de-paiement-l2192-10-s" TargetMode="External"/><Relationship Id="rId4" Type="http://schemas.openxmlformats.org/officeDocument/2006/relationships/hyperlink" Target="https://www.banque-france.fr/system/files/2026-09/CP_RA-ODP_20260924.pdf" TargetMode="External"/><Relationship Id="rId5" Type="http://schemas.openxmlformats.org/officeDocument/2006/relationships/hyperlink" Target="https://www.banque-france.fr/system/files/2026-07/ODP2025_WEB.pdf" TargetMode="External"/><Relationship Id="rId6" Type="http://schemas.openxmlformats.org/officeDocument/2006/relationships/hyperlink" Target="https://www.banque-france.fr/system/files/2026-07/ODP2025_WEB.pdf" TargetMode="External"/><Relationship Id="rId7" Type="http://schemas.openxmlformats.org/officeDocument/2006/relationships/hyperlink" Target="https://www.banque-france.fr/system/files/2026-07/ODP2025_WEB.pdf" TargetMode="External"/><Relationship Id="rId8" Type="http://schemas.openxmlformats.org/officeDocument/2006/relationships/hyperlink" Target="https://www.swim.legal/blog/urssaf-societe-role-obligations-declarations-entreprises-2026" TargetMode="External"/><Relationship Id="rId9" Type="http://schemas.openxmlformats.org/officeDocument/2006/relationships/hyperlink" Target="https://www.swim.legal/blog/tva-ca3-declaration-echeances-lignes" TargetMode="External"/><Relationship Id="rId10" Type="http://schemas.openxmlformats.org/officeDocument/2006/relationships/hyperlink" Target="https://www.swim.legal/blog/tva-ca3-declaration-echeances-lignes" TargetMode="External"/><Relationship Id="rId11" Type="http://schemas.openxmlformats.org/officeDocument/2006/relationships/hyperlink" Target="https://bpifrance-creation.fr/entrepreneur/actualites/acompte-dimpot-societes" TargetMode="External"/><Relationship Id="rId12" Type="http://schemas.openxmlformats.org/officeDocument/2006/relationships/hyperlink" Target="https://www.kognitos.com/blog/13-week-cash-flow-forecasting-treasury-standard-how-ai-changes-it-2026/" TargetMode="External"/><Relationship Id="rId13" Type="http://schemas.openxmlformats.org/officeDocument/2006/relationships/hyperlink" Target="https://app.dealroom.co/companies/a352"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15.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B2: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4" customFormat="false" ht="35.05" hidden="false" customHeight="false" outlineLevel="0" collapsed="false">
      <c r="B4" s="3" t="s">
        <v>2</v>
      </c>
      <c r="C4" s="3" t="s">
        <v>3</v>
      </c>
    </row>
    <row r="6" customFormat="false" ht="15" hidden="false" customHeight="false" outlineLevel="0" collapsed="false">
      <c r="B6" s="4" t="s">
        <v>4</v>
      </c>
    </row>
    <row r="7" customFormat="false" ht="23.85" hidden="false" customHeight="false" outlineLevel="0" collapsed="false">
      <c r="B7" s="5" t="s">
        <v>5</v>
      </c>
      <c r="C7" s="6" t="s">
        <v>6</v>
      </c>
    </row>
    <row r="8" customFormat="false" ht="35.05" hidden="false" customHeight="false" outlineLevel="0" collapsed="false">
      <c r="B8" s="5" t="s">
        <v>7</v>
      </c>
      <c r="C8" s="6" t="s">
        <v>8</v>
      </c>
    </row>
    <row r="9" customFormat="false" ht="23.85" hidden="false" customHeight="false" outlineLevel="0" collapsed="false">
      <c r="B9" s="5" t="s">
        <v>9</v>
      </c>
      <c r="C9" s="6" t="s">
        <v>10</v>
      </c>
    </row>
    <row r="10" customFormat="false" ht="23.85" hidden="false" customHeight="false" outlineLevel="0" collapsed="false">
      <c r="B10" s="5" t="s">
        <v>11</v>
      </c>
      <c r="C10" s="6" t="s">
        <v>12</v>
      </c>
    </row>
    <row r="11" customFormat="false" ht="35.05" hidden="false" customHeight="false" outlineLevel="0" collapsed="false">
      <c r="B11" s="5" t="s">
        <v>13</v>
      </c>
      <c r="C11" s="6" t="s">
        <v>14</v>
      </c>
    </row>
    <row r="12" customFormat="false" ht="102.2" hidden="false" customHeight="false" outlineLevel="0" collapsed="false">
      <c r="B12" s="5" t="s">
        <v>15</v>
      </c>
      <c r="C12" s="6" t="s">
        <v>16</v>
      </c>
    </row>
    <row r="13" customFormat="false" ht="35.05" hidden="false" customHeight="false" outlineLevel="0" collapsed="false">
      <c r="B13" s="5" t="s">
        <v>17</v>
      </c>
      <c r="C13" s="6" t="s">
        <v>18</v>
      </c>
    </row>
    <row r="14" customFormat="false" ht="23.85" hidden="false" customHeight="false" outlineLevel="0" collapsed="false">
      <c r="B14" s="5" t="s">
        <v>19</v>
      </c>
      <c r="C14" s="6" t="s">
        <v>20</v>
      </c>
    </row>
    <row r="15" customFormat="false" ht="46.25" hidden="false" customHeight="false" outlineLevel="0" collapsed="false">
      <c r="B15" s="5" t="s">
        <v>21</v>
      </c>
      <c r="C15" s="6" t="s">
        <v>22</v>
      </c>
    </row>
    <row r="16" customFormat="false" ht="35.05" hidden="false" customHeight="false" outlineLevel="0" collapsed="false">
      <c r="B16" s="5" t="s">
        <v>23</v>
      </c>
      <c r="C16" s="6" t="s">
        <v>24</v>
      </c>
    </row>
    <row r="18" customFormat="false" ht="15" hidden="false" customHeight="false" outlineLevel="0" collapsed="false">
      <c r="B18" s="4" t="s">
        <v>25</v>
      </c>
    </row>
    <row r="19" customFormat="false" ht="15" hidden="false" customHeight="false" outlineLevel="0" collapsed="false">
      <c r="B19" s="5" t="s">
        <v>26</v>
      </c>
      <c r="C19" s="6" t="s">
        <v>27</v>
      </c>
    </row>
    <row r="20" customFormat="false" ht="15" hidden="false" customHeight="false" outlineLevel="0" collapsed="false">
      <c r="B20" s="5" t="s">
        <v>28</v>
      </c>
      <c r="C20" s="6" t="s">
        <v>29</v>
      </c>
    </row>
    <row r="21" customFormat="false" ht="91" hidden="false" customHeight="false" outlineLevel="0" collapsed="false">
      <c r="B21" s="5" t="s">
        <v>30</v>
      </c>
      <c r="C21" s="6" t="s">
        <v>31</v>
      </c>
    </row>
    <row r="22" customFormat="false" ht="35.05" hidden="false" customHeight="false" outlineLevel="0" collapsed="false">
      <c r="B22" s="5" t="s">
        <v>32</v>
      </c>
      <c r="C22" s="6" t="s">
        <v>33</v>
      </c>
    </row>
    <row r="24" customFormat="false" ht="15" hidden="false" customHeight="false" outlineLevel="0" collapsed="false">
      <c r="B24" s="4" t="s">
        <v>34</v>
      </c>
    </row>
    <row r="25" customFormat="false" ht="23.85" hidden="false" customHeight="false" outlineLevel="0" collapsed="false">
      <c r="B25" s="5" t="s">
        <v>35</v>
      </c>
      <c r="C25" s="6" t="s">
        <v>36</v>
      </c>
    </row>
    <row r="26" customFormat="false" ht="15" hidden="false" customHeight="false" outlineLevel="0" collapsed="false">
      <c r="B26" s="5" t="s">
        <v>37</v>
      </c>
      <c r="C26" s="6" t="s">
        <v>38</v>
      </c>
    </row>
    <row r="27" customFormat="false" ht="15" hidden="false" customHeight="false" outlineLevel="0" collapsed="false">
      <c r="B27" s="5" t="s">
        <v>39</v>
      </c>
      <c r="C27" s="6" t="s">
        <v>40</v>
      </c>
    </row>
    <row r="28" customFormat="false" ht="15" hidden="false" customHeight="false" outlineLevel="0" collapsed="false">
      <c r="B28" s="5" t="s">
        <v>41</v>
      </c>
      <c r="C28" s="6" t="s">
        <v>42</v>
      </c>
    </row>
    <row r="29" customFormat="false" ht="15" hidden="false" customHeight="false" outlineLevel="0" collapsed="false">
      <c r="B29" s="5" t="s">
        <v>43</v>
      </c>
      <c r="C29" s="6" t="s">
        <v>44</v>
      </c>
    </row>
    <row r="30" customFormat="false" ht="15" hidden="false" customHeight="false" outlineLevel="0" collapsed="false">
      <c r="B30" s="5" t="s">
        <v>45</v>
      </c>
      <c r="C30" s="6" t="s">
        <v>46</v>
      </c>
    </row>
    <row r="31" customFormat="false" ht="15" hidden="false" customHeight="false" outlineLevel="0" collapsed="false">
      <c r="B31" s="5" t="s">
        <v>47</v>
      </c>
      <c r="C31" s="6" t="s">
        <v>48</v>
      </c>
    </row>
    <row r="32" customFormat="false" ht="15" hidden="false" customHeight="false" outlineLevel="0" collapsed="false">
      <c r="B32" s="5" t="s">
        <v>49</v>
      </c>
      <c r="C32" s="6" t="s">
        <v>50</v>
      </c>
    </row>
    <row r="33" customFormat="false" ht="15" hidden="false" customHeight="false" outlineLevel="0" collapsed="false">
      <c r="B33" s="5" t="s">
        <v>51</v>
      </c>
      <c r="C33" s="6" t="s">
        <v>52</v>
      </c>
    </row>
    <row r="34" customFormat="false" ht="15" hidden="false" customHeight="false" outlineLevel="0" collapsed="false">
      <c r="B34" s="5" t="s">
        <v>53</v>
      </c>
      <c r="C34" s="6" t="s">
        <v>54</v>
      </c>
    </row>
    <row r="35" customFormat="false" ht="15" hidden="false" customHeight="false" outlineLevel="0" collapsed="false">
      <c r="B35" s="5" t="s">
        <v>55</v>
      </c>
      <c r="C35" s="6" t="s">
        <v>56</v>
      </c>
    </row>
    <row r="36" customFormat="false" ht="15" hidden="false" customHeight="false" outlineLevel="0" collapsed="false">
      <c r="B36" s="5" t="s">
        <v>57</v>
      </c>
      <c r="C36" s="6" t="s">
        <v>58</v>
      </c>
    </row>
    <row r="37" customFormat="false" ht="23.85" hidden="false" customHeight="false" outlineLevel="0" collapsed="false">
      <c r="B37" s="5" t="s">
        <v>59</v>
      </c>
      <c r="C37" s="6" t="s">
        <v>60</v>
      </c>
    </row>
    <row r="38" customFormat="false" ht="35.05" hidden="false" customHeight="false" outlineLevel="0" collapsed="false">
      <c r="B38" s="5" t="s">
        <v>61</v>
      </c>
      <c r="C38" s="6" t="s">
        <v>62</v>
      </c>
    </row>
    <row r="39" customFormat="false" ht="23.85" hidden="false" customHeight="false" outlineLevel="0" collapsed="false">
      <c r="B39" s="5" t="s">
        <v>63</v>
      </c>
      <c r="C39" s="6" t="s">
        <v>64</v>
      </c>
    </row>
    <row r="40" customFormat="false" ht="15" hidden="false" customHeight="false" outlineLevel="0" collapsed="false">
      <c r="B40" s="5" t="s">
        <v>65</v>
      </c>
      <c r="C40" s="6" t="s">
        <v>66</v>
      </c>
    </row>
    <row r="41" customFormat="false" ht="23.85" hidden="false" customHeight="false" outlineLevel="0" collapsed="false">
      <c r="B41" s="5" t="s">
        <v>67</v>
      </c>
      <c r="C41" s="6" t="s">
        <v>68</v>
      </c>
    </row>
    <row r="42" customFormat="false" ht="15" hidden="false" customHeight="false" outlineLevel="0" collapsed="false">
      <c r="B42" s="5" t="s">
        <v>69</v>
      </c>
      <c r="C42" s="6" t="s">
        <v>70</v>
      </c>
    </row>
    <row r="43" customFormat="false" ht="15" hidden="false" customHeight="false" outlineLevel="0" collapsed="false">
      <c r="B43" s="5" t="s">
        <v>71</v>
      </c>
      <c r="C43" s="6" t="s">
        <v>72</v>
      </c>
    </row>
    <row r="45" customFormat="false" ht="15" hidden="false" customHeight="false" outlineLevel="0" collapsed="false">
      <c r="B45" s="4" t="s">
        <v>73</v>
      </c>
    </row>
    <row r="46" customFormat="false" ht="23.85" hidden="false" customHeight="false" outlineLevel="0" collapsed="false">
      <c r="B46" s="5" t="s">
        <v>74</v>
      </c>
      <c r="C46" s="6" t="s">
        <v>75</v>
      </c>
    </row>
    <row r="47" customFormat="false" ht="15" hidden="false" customHeight="false" outlineLevel="0" collapsed="false">
      <c r="B47" s="5" t="s">
        <v>76</v>
      </c>
      <c r="C47" s="6" t="s">
        <v>77</v>
      </c>
    </row>
    <row r="48" customFormat="false" ht="15" hidden="false" customHeight="false" outlineLevel="0" collapsed="false">
      <c r="B48" s="5" t="s">
        <v>78</v>
      </c>
      <c r="C48" s="6" t="s">
        <v>79</v>
      </c>
    </row>
    <row r="49" customFormat="false" ht="35.05" hidden="false" customHeight="false" outlineLevel="0" collapsed="false">
      <c r="B49" s="5" t="s">
        <v>80</v>
      </c>
      <c r="C49" s="6"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P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16" min="3" style="0" width="13"/>
  </cols>
  <sheetData>
    <row r="1" customFormat="false" ht="18.55" hidden="false" customHeight="false" outlineLevel="0" collapsed="false">
      <c r="A1" s="7" t="s">
        <v>82</v>
      </c>
    </row>
    <row r="2" customFormat="false" ht="15" hidden="false" customHeight="false" outlineLevel="0" collapsed="false">
      <c r="A2" s="2" t="s">
        <v>83</v>
      </c>
    </row>
    <row r="4" customFormat="false" ht="15" hidden="false" customHeight="false" outlineLevel="0" collapsed="false">
      <c r="A4" s="8" t="s">
        <v>84</v>
      </c>
      <c r="B4" s="9"/>
      <c r="C4" s="10" t="n">
        <v>1</v>
      </c>
      <c r="D4" s="10" t="n">
        <v>2</v>
      </c>
      <c r="E4" s="10" t="n">
        <v>3</v>
      </c>
      <c r="F4" s="10" t="n">
        <v>4</v>
      </c>
      <c r="G4" s="10" t="n">
        <v>5</v>
      </c>
      <c r="H4" s="10" t="n">
        <v>6</v>
      </c>
      <c r="I4" s="10" t="n">
        <v>7</v>
      </c>
      <c r="J4" s="10" t="n">
        <v>8</v>
      </c>
      <c r="K4" s="10" t="n">
        <v>9</v>
      </c>
      <c r="L4" s="10" t="n">
        <v>10</v>
      </c>
      <c r="M4" s="10" t="n">
        <v>11</v>
      </c>
      <c r="N4" s="10" t="n">
        <v>12</v>
      </c>
      <c r="O4" s="10" t="n">
        <v>13</v>
      </c>
      <c r="P4" s="8" t="s">
        <v>85</v>
      </c>
    </row>
    <row r="5" customFormat="false" ht="15" hidden="false" customHeight="false" outlineLevel="0" collapsed="false">
      <c r="A5" s="11" t="s">
        <v>86</v>
      </c>
      <c r="C5" s="12" t="n">
        <f aca="false">Assumptions!$C$2+7*(C$4-1)</f>
        <v>46307</v>
      </c>
      <c r="D5" s="12" t="n">
        <f aca="false">Assumptions!$C$2+7*(D$4-1)</f>
        <v>46314</v>
      </c>
      <c r="E5" s="12" t="n">
        <f aca="false">Assumptions!$C$2+7*(E$4-1)</f>
        <v>46321</v>
      </c>
      <c r="F5" s="12" t="n">
        <f aca="false">Assumptions!$C$2+7*(F$4-1)</f>
        <v>46328</v>
      </c>
      <c r="G5" s="12" t="n">
        <f aca="false">Assumptions!$C$2+7*(G$4-1)</f>
        <v>46335</v>
      </c>
      <c r="H5" s="12" t="n">
        <f aca="false">Assumptions!$C$2+7*(H$4-1)</f>
        <v>46342</v>
      </c>
      <c r="I5" s="12" t="n">
        <f aca="false">Assumptions!$C$2+7*(I$4-1)</f>
        <v>46349</v>
      </c>
      <c r="J5" s="12" t="n">
        <f aca="false">Assumptions!$C$2+7*(J$4-1)</f>
        <v>46356</v>
      </c>
      <c r="K5" s="12" t="n">
        <f aca="false">Assumptions!$C$2+7*(K$4-1)</f>
        <v>46363</v>
      </c>
      <c r="L5" s="12" t="n">
        <f aca="false">Assumptions!$C$2+7*(L$4-1)</f>
        <v>46370</v>
      </c>
      <c r="M5" s="12" t="n">
        <f aca="false">Assumptions!$C$2+7*(M$4-1)</f>
        <v>46377</v>
      </c>
      <c r="N5" s="12" t="n">
        <f aca="false">Assumptions!$C$2+7*(N$4-1)</f>
        <v>46384</v>
      </c>
      <c r="O5" s="12" t="n">
        <f aca="false">Assumptions!$C$2+7*(O$4-1)</f>
        <v>46391</v>
      </c>
    </row>
    <row r="6" customFormat="false" ht="15" hidden="false" customHeight="false" outlineLevel="0" collapsed="false">
      <c r="A6" s="11" t="s">
        <v>87</v>
      </c>
      <c r="C6" s="12" t="n">
        <f aca="false">C5+6</f>
        <v>46313</v>
      </c>
      <c r="D6" s="12" t="n">
        <f aca="false">D5+6</f>
        <v>46320</v>
      </c>
      <c r="E6" s="12" t="n">
        <f aca="false">E5+6</f>
        <v>46327</v>
      </c>
      <c r="F6" s="12" t="n">
        <f aca="false">F5+6</f>
        <v>46334</v>
      </c>
      <c r="G6" s="12" t="n">
        <f aca="false">G5+6</f>
        <v>46341</v>
      </c>
      <c r="H6" s="12" t="n">
        <f aca="false">H5+6</f>
        <v>46348</v>
      </c>
      <c r="I6" s="12" t="n">
        <f aca="false">I5+6</f>
        <v>46355</v>
      </c>
      <c r="J6" s="12" t="n">
        <f aca="false">J5+6</f>
        <v>46362</v>
      </c>
      <c r="K6" s="12" t="n">
        <f aca="false">K5+6</f>
        <v>46369</v>
      </c>
      <c r="L6" s="12" t="n">
        <f aca="false">L5+6</f>
        <v>46376</v>
      </c>
      <c r="M6" s="12" t="n">
        <f aca="false">M5+6</f>
        <v>46383</v>
      </c>
      <c r="N6" s="12" t="n">
        <f aca="false">N5+6</f>
        <v>46390</v>
      </c>
      <c r="O6" s="12" t="n">
        <f aca="false">O5+6</f>
        <v>46397</v>
      </c>
    </row>
    <row r="8" customFormat="false" ht="15" hidden="false" customHeight="false" outlineLevel="0" collapsed="false">
      <c r="A8" s="4" t="s">
        <v>88</v>
      </c>
    </row>
    <row r="9" customFormat="false" ht="15" hidden="false" customHeight="false" outlineLevel="0" collapsed="false">
      <c r="A9" s="13" t="s">
        <v>89</v>
      </c>
      <c r="B9" s="2" t="s">
        <v>90</v>
      </c>
      <c r="C9" s="14" t="n">
        <f aca="false">Assumptions!$C$4</f>
        <v>381240.65</v>
      </c>
      <c r="D9" s="14" t="n">
        <f aca="false">C36</f>
        <v>282840.5</v>
      </c>
      <c r="E9" s="14" t="n">
        <f aca="false">D36</f>
        <v>449176.92</v>
      </c>
      <c r="F9" s="14" t="n">
        <f aca="false">E36</f>
        <v>100857</v>
      </c>
      <c r="G9" s="14" t="n">
        <f aca="false">F36</f>
        <v>170790.53</v>
      </c>
      <c r="H9" s="14" t="n">
        <f aca="false">G36</f>
        <v>253974.51</v>
      </c>
      <c r="I9" s="14" t="n">
        <f aca="false">H36</f>
        <v>118636.62</v>
      </c>
      <c r="J9" s="14" t="n">
        <f aca="false">I36</f>
        <v>343376.38</v>
      </c>
      <c r="K9" s="14" t="n">
        <f aca="false">J36</f>
        <v>164325.06</v>
      </c>
      <c r="L9" s="14" t="n">
        <f aca="false">K36</f>
        <v>218700.52</v>
      </c>
      <c r="M9" s="14" t="n">
        <f aca="false">L36</f>
        <v>271260.06</v>
      </c>
      <c r="N9" s="14" t="n">
        <f aca="false">M36</f>
        <v>273349.58</v>
      </c>
      <c r="O9" s="14" t="n">
        <f aca="false">N36</f>
        <v>219892.39</v>
      </c>
    </row>
    <row r="10" customFormat="false" ht="15" hidden="false" customHeight="false" outlineLevel="0" collapsed="false">
      <c r="A10" s="13" t="s">
        <v>91</v>
      </c>
    </row>
    <row r="11" customFormat="false" ht="15" hidden="false" customHeight="false" outlineLevel="0" collapsed="false">
      <c r="A11" s="11" t="s">
        <v>92</v>
      </c>
      <c r="B11" s="2" t="s">
        <v>93</v>
      </c>
      <c r="C11" s="15" t="n">
        <f aca="false">SUMIFS(Forecast_Lines!$J$4:$J$377,Forecast_Lines!$D$4:$D$377,"Receipt",Forecast_Lines!$E$4:$E$377,"Customer – Office fit-out contractor",Forecast_Lines!$U$4:$U$377,"Yes",Forecast_Lines!$O$4:$O$377,C$4)</f>
        <v>11748</v>
      </c>
      <c r="D11" s="15" t="n">
        <f aca="false">SUMIFS(Forecast_Lines!$J$4:$J$377,Forecast_Lines!$D$4:$D$377,"Receipt",Forecast_Lines!$E$4:$E$377,"Customer – Office fit-out contractor",Forecast_Lines!$U$4:$U$377,"Yes",Forecast_Lines!$O$4:$O$377,D$4)</f>
        <v>105012</v>
      </c>
      <c r="E11" s="15" t="n">
        <f aca="false">SUMIFS(Forecast_Lines!$J$4:$J$377,Forecast_Lines!$D$4:$D$377,"Receipt",Forecast_Lines!$E$4:$E$377,"Customer – Office fit-out contractor",Forecast_Lines!$U$4:$U$377,"Yes",Forecast_Lines!$O$4:$O$377,E$4)</f>
        <v>28500</v>
      </c>
      <c r="F11" s="15" t="n">
        <f aca="false">SUMIFS(Forecast_Lines!$J$4:$J$377,Forecast_Lines!$D$4:$D$377,"Receipt",Forecast_Lines!$E$4:$E$377,"Customer – Office fit-out contractor",Forecast_Lines!$U$4:$U$377,"Yes",Forecast_Lines!$O$4:$O$377,F$4)</f>
        <v>70368</v>
      </c>
      <c r="G11" s="15" t="n">
        <f aca="false">SUMIFS(Forecast_Lines!$J$4:$J$377,Forecast_Lines!$D$4:$D$377,"Receipt",Forecast_Lines!$E$4:$E$377,"Customer – Office fit-out contractor",Forecast_Lines!$U$4:$U$377,"Yes",Forecast_Lines!$O$4:$O$377,G$4)</f>
        <v>43836</v>
      </c>
      <c r="H11" s="15" t="n">
        <f aca="false">SUMIFS(Forecast_Lines!$J$4:$J$377,Forecast_Lines!$D$4:$D$377,"Receipt",Forecast_Lines!$E$4:$E$377,"Customer – Office fit-out contractor",Forecast_Lines!$U$4:$U$377,"Yes",Forecast_Lines!$O$4:$O$377,H$4)</f>
        <v>73788</v>
      </c>
      <c r="I11" s="15" t="n">
        <f aca="false">SUMIFS(Forecast_Lines!$J$4:$J$377,Forecast_Lines!$D$4:$D$377,"Receipt",Forecast_Lines!$E$4:$E$377,"Customer – Office fit-out contractor",Forecast_Lines!$U$4:$U$377,"Yes",Forecast_Lines!$O$4:$O$377,I$4)</f>
        <v>77616</v>
      </c>
      <c r="J11" s="15" t="n">
        <f aca="false">SUMIFS(Forecast_Lines!$J$4:$J$377,Forecast_Lines!$D$4:$D$377,"Receipt",Forecast_Lines!$E$4:$E$377,"Customer – Office fit-out contractor",Forecast_Lines!$U$4:$U$377,"Yes",Forecast_Lines!$O$4:$O$377,J$4)</f>
        <v>34728</v>
      </c>
      <c r="K11" s="15" t="n">
        <f aca="false">SUMIFS(Forecast_Lines!$J$4:$J$377,Forecast_Lines!$D$4:$D$377,"Receipt",Forecast_Lines!$E$4:$E$377,"Customer – Office fit-out contractor",Forecast_Lines!$U$4:$U$377,"Yes",Forecast_Lines!$O$4:$O$377,K$4)</f>
        <v>84144</v>
      </c>
      <c r="L11" s="15" t="n">
        <f aca="false">SUMIFS(Forecast_Lines!$J$4:$J$377,Forecast_Lines!$D$4:$D$377,"Receipt",Forecast_Lines!$E$4:$E$377,"Customer – Office fit-out contractor",Forecast_Lines!$U$4:$U$377,"Yes",Forecast_Lines!$O$4:$O$377,L$4)</f>
        <v>118212</v>
      </c>
      <c r="M11" s="15" t="n">
        <f aca="false">SUMIFS(Forecast_Lines!$J$4:$J$377,Forecast_Lines!$D$4:$D$377,"Receipt",Forecast_Lines!$E$4:$E$377,"Customer – Office fit-out contractor",Forecast_Lines!$U$4:$U$377,"Yes",Forecast_Lines!$O$4:$O$377,M$4)</f>
        <v>68064</v>
      </c>
      <c r="N11" s="15" t="n">
        <f aca="false">SUMIFS(Forecast_Lines!$J$4:$J$377,Forecast_Lines!$D$4:$D$377,"Receipt",Forecast_Lines!$E$4:$E$377,"Customer – Office fit-out contractor",Forecast_Lines!$U$4:$U$377,"Yes",Forecast_Lines!$O$4:$O$377,N$4)</f>
        <v>80976</v>
      </c>
      <c r="O11" s="15" t="n">
        <f aca="false">SUMIFS(Forecast_Lines!$J$4:$J$377,Forecast_Lines!$D$4:$D$377,"Receipt",Forecast_Lines!$E$4:$E$377,"Customer – Office fit-out contractor",Forecast_Lines!$U$4:$U$377,"Yes",Forecast_Lines!$O$4:$O$377,O$4)</f>
        <v>82622.4</v>
      </c>
      <c r="P11" s="15" t="n">
        <f aca="false">SUM(C11:O11)</f>
        <v>879614.4</v>
      </c>
    </row>
    <row r="12" customFormat="false" ht="15" hidden="false" customHeight="false" outlineLevel="0" collapsed="false">
      <c r="A12" s="11" t="s">
        <v>94</v>
      </c>
      <c r="B12" s="2" t="s">
        <v>93</v>
      </c>
      <c r="C12" s="15" t="n">
        <f aca="false">SUMIFS(Forecast_Lines!$J$4:$J$377,Forecast_Lines!$D$4:$D$377,"Receipt",Forecast_Lines!$E$4:$E$377,"Customer – Furniture distributor",Forecast_Lines!$U$4:$U$377,"Yes",Forecast_Lines!$O$4:$O$377,C$4)</f>
        <v>7836</v>
      </c>
      <c r="D12" s="15" t="n">
        <f aca="false">SUMIFS(Forecast_Lines!$J$4:$J$377,Forecast_Lines!$D$4:$D$377,"Receipt",Forecast_Lines!$E$4:$E$377,"Customer – Furniture distributor",Forecast_Lines!$U$4:$U$377,"Yes",Forecast_Lines!$O$4:$O$377,D$4)</f>
        <v>49944</v>
      </c>
      <c r="E12" s="15" t="n">
        <f aca="false">SUMIFS(Forecast_Lines!$J$4:$J$377,Forecast_Lines!$D$4:$D$377,"Receipt",Forecast_Lines!$E$4:$E$377,"Customer – Furniture distributor",Forecast_Lines!$U$4:$U$377,"Yes",Forecast_Lines!$O$4:$O$377,E$4)</f>
        <v>36456</v>
      </c>
      <c r="F12" s="15" t="n">
        <f aca="false">SUMIFS(Forecast_Lines!$J$4:$J$377,Forecast_Lines!$D$4:$D$377,"Receipt",Forecast_Lines!$E$4:$E$377,"Customer – Furniture distributor",Forecast_Lines!$U$4:$U$377,"Yes",Forecast_Lines!$O$4:$O$377,F$4)</f>
        <v>47616</v>
      </c>
      <c r="G12" s="15" t="n">
        <f aca="false">SUMIFS(Forecast_Lines!$J$4:$J$377,Forecast_Lines!$D$4:$D$377,"Receipt",Forecast_Lines!$E$4:$E$377,"Customer – Furniture distributor",Forecast_Lines!$U$4:$U$377,"Yes",Forecast_Lines!$O$4:$O$377,G$4)</f>
        <v>47196</v>
      </c>
      <c r="H12" s="15" t="n">
        <f aca="false">SUMIFS(Forecast_Lines!$J$4:$J$377,Forecast_Lines!$D$4:$D$377,"Receipt",Forecast_Lines!$E$4:$E$377,"Customer – Furniture distributor",Forecast_Lines!$U$4:$U$377,"Yes",Forecast_Lines!$O$4:$O$377,H$4)</f>
        <v>23904</v>
      </c>
      <c r="I12" s="15" t="n">
        <f aca="false">SUMIFS(Forecast_Lines!$J$4:$J$377,Forecast_Lines!$D$4:$D$377,"Receipt",Forecast_Lines!$E$4:$E$377,"Customer – Furniture distributor",Forecast_Lines!$U$4:$U$377,"Yes",Forecast_Lines!$O$4:$O$377,I$4)</f>
        <v>27588</v>
      </c>
      <c r="J12" s="15" t="n">
        <f aca="false">SUMIFS(Forecast_Lines!$J$4:$J$377,Forecast_Lines!$D$4:$D$377,"Receipt",Forecast_Lines!$E$4:$E$377,"Customer – Furniture distributor",Forecast_Lines!$U$4:$U$377,"Yes",Forecast_Lines!$O$4:$O$377,J$4)</f>
        <v>42696</v>
      </c>
      <c r="K12" s="15" t="n">
        <f aca="false">SUMIFS(Forecast_Lines!$J$4:$J$377,Forecast_Lines!$D$4:$D$377,"Receipt",Forecast_Lines!$E$4:$E$377,"Customer – Furniture distributor",Forecast_Lines!$U$4:$U$377,"Yes",Forecast_Lines!$O$4:$O$377,K$4)</f>
        <v>52392</v>
      </c>
      <c r="L12" s="15" t="n">
        <f aca="false">SUMIFS(Forecast_Lines!$J$4:$J$377,Forecast_Lines!$D$4:$D$377,"Receipt",Forecast_Lines!$E$4:$E$377,"Customer – Furniture distributor",Forecast_Lines!$U$4:$U$377,"Yes",Forecast_Lines!$O$4:$O$377,L$4)</f>
        <v>58968</v>
      </c>
      <c r="M12" s="15" t="n">
        <f aca="false">SUMIFS(Forecast_Lines!$J$4:$J$377,Forecast_Lines!$D$4:$D$377,"Receipt",Forecast_Lines!$E$4:$E$377,"Customer – Furniture distributor",Forecast_Lines!$U$4:$U$377,"Yes",Forecast_Lines!$O$4:$O$377,M$4)</f>
        <v>47928</v>
      </c>
      <c r="N12" s="15" t="n">
        <f aca="false">SUMIFS(Forecast_Lines!$J$4:$J$377,Forecast_Lines!$D$4:$D$377,"Receipt",Forecast_Lines!$E$4:$E$377,"Customer – Furniture distributor",Forecast_Lines!$U$4:$U$377,"Yes",Forecast_Lines!$O$4:$O$377,N$4)</f>
        <v>29388</v>
      </c>
      <c r="O12" s="15" t="n">
        <f aca="false">SUMIFS(Forecast_Lines!$J$4:$J$377,Forecast_Lines!$D$4:$D$377,"Receipt",Forecast_Lines!$E$4:$E$377,"Customer – Furniture distributor",Forecast_Lines!$U$4:$U$377,"Yes",Forecast_Lines!$O$4:$O$377,O$4)</f>
        <v>36216</v>
      </c>
      <c r="P12" s="15" t="n">
        <f aca="false">SUM(C12:O12)</f>
        <v>508128</v>
      </c>
    </row>
    <row r="13" customFormat="false" ht="15" hidden="false" customHeight="false" outlineLevel="0" collapsed="false">
      <c r="A13" s="11" t="s">
        <v>95</v>
      </c>
      <c r="B13" s="2" t="s">
        <v>93</v>
      </c>
      <c r="C13" s="15" t="n">
        <f aca="false">SUMIFS(Forecast_Lines!$J$4:$J$377,Forecast_Lines!$D$4:$D$377,"Receipt",Forecast_Lines!$E$4:$E$377,"Customer – Public sector",Forecast_Lines!$U$4:$U$377,"Yes",Forecast_Lines!$O$4:$O$377,C$4)</f>
        <v>0</v>
      </c>
      <c r="D13" s="15" t="n">
        <f aca="false">SUMIFS(Forecast_Lines!$J$4:$J$377,Forecast_Lines!$D$4:$D$377,"Receipt",Forecast_Lines!$E$4:$E$377,"Customer – Public sector",Forecast_Lines!$U$4:$U$377,"Yes",Forecast_Lines!$O$4:$O$377,D$4)</f>
        <v>0</v>
      </c>
      <c r="E13" s="15" t="n">
        <f aca="false">SUMIFS(Forecast_Lines!$J$4:$J$377,Forecast_Lines!$D$4:$D$377,"Receipt",Forecast_Lines!$E$4:$E$377,"Customer – Public sector",Forecast_Lines!$U$4:$U$377,"Yes",Forecast_Lines!$O$4:$O$377,E$4)</f>
        <v>14520</v>
      </c>
      <c r="F13" s="15" t="n">
        <f aca="false">SUMIFS(Forecast_Lines!$J$4:$J$377,Forecast_Lines!$D$4:$D$377,"Receipt",Forecast_Lines!$E$4:$E$377,"Customer – Public sector",Forecast_Lines!$U$4:$U$377,"Yes",Forecast_Lines!$O$4:$O$377,F$4)</f>
        <v>29448</v>
      </c>
      <c r="G13" s="15" t="n">
        <f aca="false">SUMIFS(Forecast_Lines!$J$4:$J$377,Forecast_Lines!$D$4:$D$377,"Receipt",Forecast_Lines!$E$4:$E$377,"Customer – Public sector",Forecast_Lines!$U$4:$U$377,"Yes",Forecast_Lines!$O$4:$O$377,G$4)</f>
        <v>0</v>
      </c>
      <c r="H13" s="15" t="n">
        <f aca="false">SUMIFS(Forecast_Lines!$J$4:$J$377,Forecast_Lines!$D$4:$D$377,"Receipt",Forecast_Lines!$E$4:$E$377,"Customer – Public sector",Forecast_Lines!$U$4:$U$377,"Yes",Forecast_Lines!$O$4:$O$377,H$4)</f>
        <v>37440</v>
      </c>
      <c r="I13" s="15" t="n">
        <f aca="false">SUMIFS(Forecast_Lines!$J$4:$J$377,Forecast_Lines!$D$4:$D$377,"Receipt",Forecast_Lines!$E$4:$E$377,"Customer – Public sector",Forecast_Lines!$U$4:$U$377,"Yes",Forecast_Lines!$O$4:$O$377,I$4)</f>
        <v>0</v>
      </c>
      <c r="J13" s="15" t="n">
        <f aca="false">SUMIFS(Forecast_Lines!$J$4:$J$377,Forecast_Lines!$D$4:$D$377,"Receipt",Forecast_Lines!$E$4:$E$377,"Customer – Public sector",Forecast_Lines!$U$4:$U$377,"Yes",Forecast_Lines!$O$4:$O$377,J$4)</f>
        <v>8436</v>
      </c>
      <c r="K13" s="15" t="n">
        <f aca="false">SUMIFS(Forecast_Lines!$J$4:$J$377,Forecast_Lines!$D$4:$D$377,"Receipt",Forecast_Lines!$E$4:$E$377,"Customer – Public sector",Forecast_Lines!$U$4:$U$377,"Yes",Forecast_Lines!$O$4:$O$377,K$4)</f>
        <v>0</v>
      </c>
      <c r="L13" s="15" t="n">
        <f aca="false">SUMIFS(Forecast_Lines!$J$4:$J$377,Forecast_Lines!$D$4:$D$377,"Receipt",Forecast_Lines!$E$4:$E$377,"Customer – Public sector",Forecast_Lines!$U$4:$U$377,"Yes",Forecast_Lines!$O$4:$O$377,L$4)</f>
        <v>9804</v>
      </c>
      <c r="M13" s="15" t="n">
        <f aca="false">SUMIFS(Forecast_Lines!$J$4:$J$377,Forecast_Lines!$D$4:$D$377,"Receipt",Forecast_Lines!$E$4:$E$377,"Customer – Public sector",Forecast_Lines!$U$4:$U$377,"Yes",Forecast_Lines!$O$4:$O$377,M$4)</f>
        <v>14244</v>
      </c>
      <c r="N13" s="15" t="n">
        <f aca="false">SUMIFS(Forecast_Lines!$J$4:$J$377,Forecast_Lines!$D$4:$D$377,"Receipt",Forecast_Lines!$E$4:$E$377,"Customer – Public sector",Forecast_Lines!$U$4:$U$377,"Yes",Forecast_Lines!$O$4:$O$377,N$4)</f>
        <v>0</v>
      </c>
      <c r="O13" s="15" t="n">
        <f aca="false">SUMIFS(Forecast_Lines!$J$4:$J$377,Forecast_Lines!$D$4:$D$377,"Receipt",Forecast_Lines!$E$4:$E$377,"Customer – Public sector",Forecast_Lines!$U$4:$U$377,"Yes",Forecast_Lines!$O$4:$O$377,O$4)</f>
        <v>17472</v>
      </c>
      <c r="P13" s="15" t="n">
        <f aca="false">SUM(C13:O13)</f>
        <v>131364</v>
      </c>
    </row>
    <row r="14" customFormat="false" ht="15" hidden="false" customHeight="false" outlineLevel="0" collapsed="false">
      <c r="A14" s="11" t="s">
        <v>96</v>
      </c>
      <c r="B14" s="2" t="s">
        <v>93</v>
      </c>
      <c r="C14" s="15" t="n">
        <f aca="false">SUMIFS(Forecast_Lines!$J$4:$J$377,Forecast_Lines!$D$4:$D$377,"Receipt",Forecast_Lines!$E$4:$E$377,"Customer – Public sector (hospital)",Forecast_Lines!$U$4:$U$377,"Yes",Forecast_Lines!$O$4:$O$377,C$4)</f>
        <v>0</v>
      </c>
      <c r="D14" s="15" t="n">
        <f aca="false">SUMIFS(Forecast_Lines!$J$4:$J$377,Forecast_Lines!$D$4:$D$377,"Receipt",Forecast_Lines!$E$4:$E$377,"Customer – Public sector (hospital)",Forecast_Lines!$U$4:$U$377,"Yes",Forecast_Lines!$O$4:$O$377,D$4)</f>
        <v>0</v>
      </c>
      <c r="E14" s="15" t="n">
        <f aca="false">SUMIFS(Forecast_Lines!$J$4:$J$377,Forecast_Lines!$D$4:$D$377,"Receipt",Forecast_Lines!$E$4:$E$377,"Customer – Public sector (hospital)",Forecast_Lines!$U$4:$U$377,"Yes",Forecast_Lines!$O$4:$O$377,E$4)</f>
        <v>0</v>
      </c>
      <c r="F14" s="15" t="n">
        <f aca="false">SUMIFS(Forecast_Lines!$J$4:$J$377,Forecast_Lines!$D$4:$D$377,"Receipt",Forecast_Lines!$E$4:$E$377,"Customer – Public sector (hospital)",Forecast_Lines!$U$4:$U$377,"Yes",Forecast_Lines!$O$4:$O$377,F$4)</f>
        <v>0</v>
      </c>
      <c r="G14" s="15" t="n">
        <f aca="false">SUMIFS(Forecast_Lines!$J$4:$J$377,Forecast_Lines!$D$4:$D$377,"Receipt",Forecast_Lines!$E$4:$E$377,"Customer – Public sector (hospital)",Forecast_Lines!$U$4:$U$377,"Yes",Forecast_Lines!$O$4:$O$377,G$4)</f>
        <v>0</v>
      </c>
      <c r="H14" s="15" t="n">
        <f aca="false">SUMIFS(Forecast_Lines!$J$4:$J$377,Forecast_Lines!$D$4:$D$377,"Receipt",Forecast_Lines!$E$4:$E$377,"Customer – Public sector (hospital)",Forecast_Lines!$U$4:$U$377,"Yes",Forecast_Lines!$O$4:$O$377,H$4)</f>
        <v>0</v>
      </c>
      <c r="I14" s="15" t="n">
        <f aca="false">SUMIFS(Forecast_Lines!$J$4:$J$377,Forecast_Lines!$D$4:$D$377,"Receipt",Forecast_Lines!$E$4:$E$377,"Customer – Public sector (hospital)",Forecast_Lines!$U$4:$U$377,"Yes",Forecast_Lines!$O$4:$O$377,I$4)</f>
        <v>35172</v>
      </c>
      <c r="J14" s="15" t="n">
        <f aca="false">SUMIFS(Forecast_Lines!$J$4:$J$377,Forecast_Lines!$D$4:$D$377,"Receipt",Forecast_Lines!$E$4:$E$377,"Customer – Public sector (hospital)",Forecast_Lines!$U$4:$U$377,"Yes",Forecast_Lines!$O$4:$O$377,J$4)</f>
        <v>0</v>
      </c>
      <c r="K14" s="15" t="n">
        <f aca="false">SUMIFS(Forecast_Lines!$J$4:$J$377,Forecast_Lines!$D$4:$D$377,"Receipt",Forecast_Lines!$E$4:$E$377,"Customer – Public sector (hospital)",Forecast_Lines!$U$4:$U$377,"Yes",Forecast_Lines!$O$4:$O$377,K$4)</f>
        <v>0</v>
      </c>
      <c r="L14" s="15" t="n">
        <f aca="false">SUMIFS(Forecast_Lines!$J$4:$J$377,Forecast_Lines!$D$4:$D$377,"Receipt",Forecast_Lines!$E$4:$E$377,"Customer – Public sector (hospital)",Forecast_Lines!$U$4:$U$377,"Yes",Forecast_Lines!$O$4:$O$377,L$4)</f>
        <v>0</v>
      </c>
      <c r="M14" s="15" t="n">
        <f aca="false">SUMIFS(Forecast_Lines!$J$4:$J$377,Forecast_Lines!$D$4:$D$377,"Receipt",Forecast_Lines!$E$4:$E$377,"Customer – Public sector (hospital)",Forecast_Lines!$U$4:$U$377,"Yes",Forecast_Lines!$O$4:$O$377,M$4)</f>
        <v>0</v>
      </c>
      <c r="N14" s="15" t="n">
        <f aca="false">SUMIFS(Forecast_Lines!$J$4:$J$377,Forecast_Lines!$D$4:$D$377,"Receipt",Forecast_Lines!$E$4:$E$377,"Customer – Public sector (hospital)",Forecast_Lines!$U$4:$U$377,"Yes",Forecast_Lines!$O$4:$O$377,N$4)</f>
        <v>5472</v>
      </c>
      <c r="O14" s="15" t="n">
        <f aca="false">SUMIFS(Forecast_Lines!$J$4:$J$377,Forecast_Lines!$D$4:$D$377,"Receipt",Forecast_Lines!$E$4:$E$377,"Customer – Public sector (hospital)",Forecast_Lines!$U$4:$U$377,"Yes",Forecast_Lines!$O$4:$O$377,O$4)</f>
        <v>31236</v>
      </c>
      <c r="P14" s="15" t="n">
        <f aca="false">SUM(C14:O14)</f>
        <v>71880</v>
      </c>
    </row>
    <row r="15" customFormat="false" ht="15" hidden="false" customHeight="false" outlineLevel="0" collapsed="false">
      <c r="A15" s="11" t="s">
        <v>97</v>
      </c>
      <c r="B15" s="2" t="s">
        <v>93</v>
      </c>
      <c r="C15" s="15" t="n">
        <f aca="false">SUMIFS(Forecast_Lines!$J$4:$J$377,Forecast_Lines!$D$4:$D$377,"Receipt",Forecast_Lines!$E$4:$E$377,"Customer – Hospitality (projects)",Forecast_Lines!$U$4:$U$377,"Yes",Forecast_Lines!$O$4:$O$377,C$4)</f>
        <v>0</v>
      </c>
      <c r="D15" s="15" t="n">
        <f aca="false">SUMIFS(Forecast_Lines!$J$4:$J$377,Forecast_Lines!$D$4:$D$377,"Receipt",Forecast_Lines!$E$4:$E$377,"Customer – Hospitality (projects)",Forecast_Lines!$U$4:$U$377,"Yes",Forecast_Lines!$O$4:$O$377,D$4)</f>
        <v>0</v>
      </c>
      <c r="E15" s="15" t="n">
        <f aca="false">SUMIFS(Forecast_Lines!$J$4:$J$377,Forecast_Lines!$D$4:$D$377,"Receipt",Forecast_Lines!$E$4:$E$377,"Customer – Hospitality (projects)",Forecast_Lines!$U$4:$U$377,"Yes",Forecast_Lines!$O$4:$O$377,E$4)</f>
        <v>0</v>
      </c>
      <c r="F15" s="15" t="n">
        <f aca="false">SUMIFS(Forecast_Lines!$J$4:$J$377,Forecast_Lines!$D$4:$D$377,"Receipt",Forecast_Lines!$E$4:$E$377,"Customer – Hospitality (projects)",Forecast_Lines!$U$4:$U$377,"Yes",Forecast_Lines!$O$4:$O$377,F$4)</f>
        <v>0</v>
      </c>
      <c r="G15" s="15" t="n">
        <f aca="false">SUMIFS(Forecast_Lines!$J$4:$J$377,Forecast_Lines!$D$4:$D$377,"Receipt",Forecast_Lines!$E$4:$E$377,"Customer – Hospitality (projects)",Forecast_Lines!$U$4:$U$377,"Yes",Forecast_Lines!$O$4:$O$377,G$4)</f>
        <v>0</v>
      </c>
      <c r="H15" s="15" t="n">
        <f aca="false">SUMIFS(Forecast_Lines!$J$4:$J$377,Forecast_Lines!$D$4:$D$377,"Receipt",Forecast_Lines!$E$4:$E$377,"Customer – Hospitality (projects)",Forecast_Lines!$U$4:$U$377,"Yes",Forecast_Lines!$O$4:$O$377,H$4)</f>
        <v>0</v>
      </c>
      <c r="I15" s="15" t="n">
        <f aca="false">SUMIFS(Forecast_Lines!$J$4:$J$377,Forecast_Lines!$D$4:$D$377,"Receipt",Forecast_Lines!$E$4:$E$377,"Customer – Hospitality (projects)",Forecast_Lines!$U$4:$U$377,"Yes",Forecast_Lines!$O$4:$O$377,I$4)</f>
        <v>230400</v>
      </c>
      <c r="J15" s="15" t="n">
        <f aca="false">SUMIFS(Forecast_Lines!$J$4:$J$377,Forecast_Lines!$D$4:$D$377,"Receipt",Forecast_Lines!$E$4:$E$377,"Customer – Hospitality (projects)",Forecast_Lines!$U$4:$U$377,"Yes",Forecast_Lines!$O$4:$O$377,J$4)</f>
        <v>0</v>
      </c>
      <c r="K15" s="15" t="n">
        <f aca="false">SUMIFS(Forecast_Lines!$J$4:$J$377,Forecast_Lines!$D$4:$D$377,"Receipt",Forecast_Lines!$E$4:$E$377,"Customer – Hospitality (projects)",Forecast_Lines!$U$4:$U$377,"Yes",Forecast_Lines!$O$4:$O$377,K$4)</f>
        <v>0</v>
      </c>
      <c r="L15" s="15" t="n">
        <f aca="false">SUMIFS(Forecast_Lines!$J$4:$J$377,Forecast_Lines!$D$4:$D$377,"Receipt",Forecast_Lines!$E$4:$E$377,"Customer – Hospitality (projects)",Forecast_Lines!$U$4:$U$377,"Yes",Forecast_Lines!$O$4:$O$377,L$4)</f>
        <v>0</v>
      </c>
      <c r="M15" s="15" t="n">
        <f aca="false">SUMIFS(Forecast_Lines!$J$4:$J$377,Forecast_Lines!$D$4:$D$377,"Receipt",Forecast_Lines!$E$4:$E$377,"Customer – Hospitality (projects)",Forecast_Lines!$U$4:$U$377,"Yes",Forecast_Lines!$O$4:$O$377,M$4)</f>
        <v>0</v>
      </c>
      <c r="N15" s="15" t="n">
        <f aca="false">SUMIFS(Forecast_Lines!$J$4:$J$377,Forecast_Lines!$D$4:$D$377,"Receipt",Forecast_Lines!$E$4:$E$377,"Customer – Hospitality (projects)",Forecast_Lines!$U$4:$U$377,"Yes",Forecast_Lines!$O$4:$O$377,N$4)</f>
        <v>129600</v>
      </c>
      <c r="O15" s="15" t="n">
        <f aca="false">SUMIFS(Forecast_Lines!$J$4:$J$377,Forecast_Lines!$D$4:$D$377,"Receipt",Forecast_Lines!$E$4:$E$377,"Customer – Hospitality (projects)",Forecast_Lines!$U$4:$U$377,"Yes",Forecast_Lines!$O$4:$O$377,O$4)</f>
        <v>0</v>
      </c>
      <c r="P15" s="15" t="n">
        <f aca="false">SUM(C15:O15)</f>
        <v>360000</v>
      </c>
    </row>
    <row r="16" customFormat="false" ht="15" hidden="false" customHeight="false" outlineLevel="0" collapsed="false">
      <c r="A16" s="11" t="s">
        <v>98</v>
      </c>
      <c r="B16" s="2" t="s">
        <v>93</v>
      </c>
      <c r="C16" s="15" t="n">
        <f aca="false">SUMIFS(Forecast_Lines!$J$4:$J$377,Forecast_Lines!$D$4:$D$377,"Receipt",Forecast_Lines!$E$4:$E$377,"Customer – Export distributor",Forecast_Lines!$U$4:$U$377,"Yes",Forecast_Lines!$O$4:$O$377,C$4)</f>
        <v>21030</v>
      </c>
      <c r="D16" s="15" t="n">
        <f aca="false">SUMIFS(Forecast_Lines!$J$4:$J$377,Forecast_Lines!$D$4:$D$377,"Receipt",Forecast_Lines!$E$4:$E$377,"Customer – Export distributor",Forecast_Lines!$U$4:$U$377,"Yes",Forecast_Lines!$O$4:$O$377,D$4)</f>
        <v>0</v>
      </c>
      <c r="E16" s="15" t="n">
        <f aca="false">SUMIFS(Forecast_Lines!$J$4:$J$377,Forecast_Lines!$D$4:$D$377,"Receipt",Forecast_Lines!$E$4:$E$377,"Customer – Export distributor",Forecast_Lines!$U$4:$U$377,"Yes",Forecast_Lines!$O$4:$O$377,E$4)</f>
        <v>0</v>
      </c>
      <c r="F16" s="15" t="n">
        <f aca="false">SUMIFS(Forecast_Lines!$J$4:$J$377,Forecast_Lines!$D$4:$D$377,"Receipt",Forecast_Lines!$E$4:$E$377,"Customer – Export distributor",Forecast_Lines!$U$4:$U$377,"Yes",Forecast_Lines!$O$4:$O$377,F$4)</f>
        <v>0</v>
      </c>
      <c r="G16" s="15" t="n">
        <f aca="false">SUMIFS(Forecast_Lines!$J$4:$J$377,Forecast_Lines!$D$4:$D$377,"Receipt",Forecast_Lines!$E$4:$E$377,"Customer – Export distributor",Forecast_Lines!$U$4:$U$377,"Yes",Forecast_Lines!$O$4:$O$377,G$4)</f>
        <v>13160</v>
      </c>
      <c r="H16" s="15" t="n">
        <f aca="false">SUMIFS(Forecast_Lines!$J$4:$J$377,Forecast_Lines!$D$4:$D$377,"Receipt",Forecast_Lines!$E$4:$E$377,"Customer – Export distributor",Forecast_Lines!$U$4:$U$377,"Yes",Forecast_Lines!$O$4:$O$377,H$4)</f>
        <v>13020</v>
      </c>
      <c r="I16" s="15" t="n">
        <f aca="false">SUMIFS(Forecast_Lines!$J$4:$J$377,Forecast_Lines!$D$4:$D$377,"Receipt",Forecast_Lines!$E$4:$E$377,"Customer – Export distributor",Forecast_Lines!$U$4:$U$377,"Yes",Forecast_Lines!$O$4:$O$377,I$4)</f>
        <v>6820</v>
      </c>
      <c r="J16" s="15" t="n">
        <f aca="false">SUMIFS(Forecast_Lines!$J$4:$J$377,Forecast_Lines!$D$4:$D$377,"Receipt",Forecast_Lines!$E$4:$E$377,"Customer – Export distributor",Forecast_Lines!$U$4:$U$377,"Yes",Forecast_Lines!$O$4:$O$377,J$4)</f>
        <v>10970</v>
      </c>
      <c r="K16" s="15" t="n">
        <f aca="false">SUMIFS(Forecast_Lines!$J$4:$J$377,Forecast_Lines!$D$4:$D$377,"Receipt",Forecast_Lines!$E$4:$E$377,"Customer – Export distributor",Forecast_Lines!$U$4:$U$377,"Yes",Forecast_Lines!$O$4:$O$377,K$4)</f>
        <v>5150</v>
      </c>
      <c r="L16" s="15" t="n">
        <f aca="false">SUMIFS(Forecast_Lines!$J$4:$J$377,Forecast_Lines!$D$4:$D$377,"Receipt",Forecast_Lines!$E$4:$E$377,"Customer – Export distributor",Forecast_Lines!$U$4:$U$377,"Yes",Forecast_Lines!$O$4:$O$377,L$4)</f>
        <v>25800</v>
      </c>
      <c r="M16" s="15" t="n">
        <f aca="false">SUMIFS(Forecast_Lines!$J$4:$J$377,Forecast_Lines!$D$4:$D$377,"Receipt",Forecast_Lines!$E$4:$E$377,"Customer – Export distributor",Forecast_Lines!$U$4:$U$377,"Yes",Forecast_Lines!$O$4:$O$377,M$4)</f>
        <v>6920</v>
      </c>
      <c r="N16" s="15" t="n">
        <f aca="false">SUMIFS(Forecast_Lines!$J$4:$J$377,Forecast_Lines!$D$4:$D$377,"Receipt",Forecast_Lines!$E$4:$E$377,"Customer – Export distributor",Forecast_Lines!$U$4:$U$377,"Yes",Forecast_Lines!$O$4:$O$377,N$4)</f>
        <v>8010</v>
      </c>
      <c r="O16" s="15" t="n">
        <f aca="false">SUMIFS(Forecast_Lines!$J$4:$J$377,Forecast_Lines!$D$4:$D$377,"Receipt",Forecast_Lines!$E$4:$E$377,"Customer – Export distributor",Forecast_Lines!$U$4:$U$377,"Yes",Forecast_Lines!$O$4:$O$377,O$4)</f>
        <v>15980</v>
      </c>
      <c r="P16" s="15" t="n">
        <f aca="false">SUM(C16:O16)</f>
        <v>126860</v>
      </c>
    </row>
    <row r="17" customFormat="false" ht="15" hidden="false" customHeight="false" outlineLevel="0" collapsed="false">
      <c r="A17" s="11" t="s">
        <v>99</v>
      </c>
      <c r="B17" s="2" t="s">
        <v>93</v>
      </c>
      <c r="C17" s="15" t="n">
        <f aca="false">SUMIFS(Forecast_Lines!$J$4:$J$377,Forecast_Lines!$D$4:$D$377,"Receipt",Forecast_Lines!$E$4:$E$377,"Customer – Direct corporate client",Forecast_Lines!$U$4:$U$377,"Yes",Forecast_Lines!$O$4:$O$377,C$4)</f>
        <v>2808</v>
      </c>
      <c r="D17" s="15" t="n">
        <f aca="false">SUMIFS(Forecast_Lines!$J$4:$J$377,Forecast_Lines!$D$4:$D$377,"Receipt",Forecast_Lines!$E$4:$E$377,"Customer – Direct corporate client",Forecast_Lines!$U$4:$U$377,"Yes",Forecast_Lines!$O$4:$O$377,D$4)</f>
        <v>22092</v>
      </c>
      <c r="E17" s="15" t="n">
        <f aca="false">SUMIFS(Forecast_Lines!$J$4:$J$377,Forecast_Lines!$D$4:$D$377,"Receipt",Forecast_Lines!$E$4:$E$377,"Customer – Direct corporate client",Forecast_Lines!$U$4:$U$377,"Yes",Forecast_Lines!$O$4:$O$377,E$4)</f>
        <v>11508</v>
      </c>
      <c r="F17" s="15" t="n">
        <f aca="false">SUMIFS(Forecast_Lines!$J$4:$J$377,Forecast_Lines!$D$4:$D$377,"Receipt",Forecast_Lines!$E$4:$E$377,"Customer – Direct corporate client",Forecast_Lines!$U$4:$U$377,"Yes",Forecast_Lines!$O$4:$O$377,F$4)</f>
        <v>0</v>
      </c>
      <c r="G17" s="15" t="n">
        <f aca="false">SUMIFS(Forecast_Lines!$J$4:$J$377,Forecast_Lines!$D$4:$D$377,"Receipt",Forecast_Lines!$E$4:$E$377,"Customer – Direct corporate client",Forecast_Lines!$U$4:$U$377,"Yes",Forecast_Lines!$O$4:$O$377,G$4)</f>
        <v>8004</v>
      </c>
      <c r="H17" s="15" t="n">
        <f aca="false">SUMIFS(Forecast_Lines!$J$4:$J$377,Forecast_Lines!$D$4:$D$377,"Receipt",Forecast_Lines!$E$4:$E$377,"Customer – Direct corporate client",Forecast_Lines!$U$4:$U$377,"Yes",Forecast_Lines!$O$4:$O$377,H$4)</f>
        <v>7680</v>
      </c>
      <c r="I17" s="15" t="n">
        <f aca="false">SUMIFS(Forecast_Lines!$J$4:$J$377,Forecast_Lines!$D$4:$D$377,"Receipt",Forecast_Lines!$E$4:$E$377,"Customer – Direct corporate client",Forecast_Lines!$U$4:$U$377,"Yes",Forecast_Lines!$O$4:$O$377,I$4)</f>
        <v>13416</v>
      </c>
      <c r="J17" s="15" t="n">
        <f aca="false">SUMIFS(Forecast_Lines!$J$4:$J$377,Forecast_Lines!$D$4:$D$377,"Receipt",Forecast_Lines!$E$4:$E$377,"Customer – Direct corporate client",Forecast_Lines!$U$4:$U$377,"Yes",Forecast_Lines!$O$4:$O$377,J$4)</f>
        <v>3804</v>
      </c>
      <c r="K17" s="15" t="n">
        <f aca="false">SUMIFS(Forecast_Lines!$J$4:$J$377,Forecast_Lines!$D$4:$D$377,"Receipt",Forecast_Lines!$E$4:$E$377,"Customer – Direct corporate client",Forecast_Lines!$U$4:$U$377,"Yes",Forecast_Lines!$O$4:$O$377,K$4)</f>
        <v>3804</v>
      </c>
      <c r="L17" s="15" t="n">
        <f aca="false">SUMIFS(Forecast_Lines!$J$4:$J$377,Forecast_Lines!$D$4:$D$377,"Receipt",Forecast_Lines!$E$4:$E$377,"Customer – Direct corporate client",Forecast_Lines!$U$4:$U$377,"Yes",Forecast_Lines!$O$4:$O$377,L$4)</f>
        <v>0</v>
      </c>
      <c r="M17" s="15" t="n">
        <f aca="false">SUMIFS(Forecast_Lines!$J$4:$J$377,Forecast_Lines!$D$4:$D$377,"Receipt",Forecast_Lines!$E$4:$E$377,"Customer – Direct corporate client",Forecast_Lines!$U$4:$U$377,"Yes",Forecast_Lines!$O$4:$O$377,M$4)</f>
        <v>21552</v>
      </c>
      <c r="N17" s="15" t="n">
        <f aca="false">SUMIFS(Forecast_Lines!$J$4:$J$377,Forecast_Lines!$D$4:$D$377,"Receipt",Forecast_Lines!$E$4:$E$377,"Customer – Direct corporate client",Forecast_Lines!$U$4:$U$377,"Yes",Forecast_Lines!$O$4:$O$377,N$4)</f>
        <v>10464</v>
      </c>
      <c r="O17" s="15" t="n">
        <f aca="false">SUMIFS(Forecast_Lines!$J$4:$J$377,Forecast_Lines!$D$4:$D$377,"Receipt",Forecast_Lines!$E$4:$E$377,"Customer – Direct corporate client",Forecast_Lines!$U$4:$U$377,"Yes",Forecast_Lines!$O$4:$O$377,O$4)</f>
        <v>3753.6</v>
      </c>
      <c r="P17" s="15" t="n">
        <f aca="false">SUM(C17:O17)</f>
        <v>108885.6</v>
      </c>
    </row>
    <row r="18" customFormat="false" ht="15" hidden="false" customHeight="false" outlineLevel="0" collapsed="false">
      <c r="A18" s="13" t="s">
        <v>100</v>
      </c>
      <c r="B18" s="2"/>
      <c r="C18" s="14" t="n">
        <f aca="false">SUM(C11:C17)</f>
        <v>43422</v>
      </c>
      <c r="D18" s="14" t="n">
        <f aca="false">SUM(D11:D17)</f>
        <v>177048</v>
      </c>
      <c r="E18" s="14" t="n">
        <f aca="false">SUM(E11:E17)</f>
        <v>90984</v>
      </c>
      <c r="F18" s="14" t="n">
        <f aca="false">SUM(F11:F17)</f>
        <v>147432</v>
      </c>
      <c r="G18" s="14" t="n">
        <f aca="false">SUM(G11:G17)</f>
        <v>112196</v>
      </c>
      <c r="H18" s="14" t="n">
        <f aca="false">SUM(H11:H17)</f>
        <v>155832</v>
      </c>
      <c r="I18" s="14" t="n">
        <f aca="false">SUM(I11:I17)</f>
        <v>391012</v>
      </c>
      <c r="J18" s="14" t="n">
        <f aca="false">SUM(J11:J17)</f>
        <v>100634</v>
      </c>
      <c r="K18" s="14" t="n">
        <f aca="false">SUM(K11:K17)</f>
        <v>145490</v>
      </c>
      <c r="L18" s="14" t="n">
        <f aca="false">SUM(L11:L17)</f>
        <v>212784</v>
      </c>
      <c r="M18" s="14" t="n">
        <f aca="false">SUM(M11:M17)</f>
        <v>158708</v>
      </c>
      <c r="N18" s="14" t="n">
        <f aca="false">SUM(N11:N17)</f>
        <v>263910</v>
      </c>
      <c r="O18" s="14" t="n">
        <f aca="false">SUM(O11:O17)</f>
        <v>187280</v>
      </c>
      <c r="P18" s="14" t="n">
        <f aca="false">SUM(C18:O18)</f>
        <v>2186732</v>
      </c>
    </row>
    <row r="19" customFormat="false" ht="15" hidden="false" customHeight="false" outlineLevel="0" collapsed="false">
      <c r="A19" s="13" t="s">
        <v>101</v>
      </c>
    </row>
    <row r="20" customFormat="false" ht="15" hidden="false" customHeight="false" outlineLevel="0" collapsed="false">
      <c r="A20" s="11" t="s">
        <v>102</v>
      </c>
      <c r="B20" s="2" t="s">
        <v>93</v>
      </c>
      <c r="C20" s="15" t="n">
        <f aca="false">SUMIFS(Forecast_Lines!$J$4:$J$377,Forecast_Lines!$D$4:$D$377,"Payment",Forecast_Lines!$E$4:$E$377,"Supplier payment",Forecast_Lines!$O$4:$O$377,C$4)</f>
        <v>-47282.15</v>
      </c>
      <c r="D20" s="15" t="n">
        <f aca="false">SUMIFS(Forecast_Lines!$J$4:$J$377,Forecast_Lines!$D$4:$D$377,"Payment",Forecast_Lines!$E$4:$E$377,"Supplier payment",Forecast_Lines!$O$4:$O$377,D$4)</f>
        <v>-6011.58</v>
      </c>
      <c r="E20" s="15" t="n">
        <f aca="false">SUMIFS(Forecast_Lines!$J$4:$J$377,Forecast_Lines!$D$4:$D$377,"Payment",Forecast_Lines!$E$4:$E$377,"Supplier payment",Forecast_Lines!$O$4:$O$377,E$4)</f>
        <v>-218823.92</v>
      </c>
      <c r="F20" s="15" t="n">
        <f aca="false">SUMIFS(Forecast_Lines!$J$4:$J$377,Forecast_Lines!$D$4:$D$377,"Payment",Forecast_Lines!$E$4:$E$377,"Supplier payment",Forecast_Lines!$O$4:$O$377,F$4)</f>
        <v>-61018.47</v>
      </c>
      <c r="G20" s="15" t="n">
        <f aca="false">SUMIFS(Forecast_Lines!$J$4:$J$377,Forecast_Lines!$D$4:$D$377,"Payment",Forecast_Lines!$E$4:$E$377,"Supplier payment",Forecast_Lines!$O$4:$O$377,G$4)</f>
        <v>-6312.02</v>
      </c>
      <c r="H20" s="15" t="n">
        <f aca="false">SUMIFS(Forecast_Lines!$J$4:$J$377,Forecast_Lines!$D$4:$D$377,"Payment",Forecast_Lines!$E$4:$E$377,"Supplier payment",Forecast_Lines!$O$4:$O$377,H$4)</f>
        <v>-200469.89</v>
      </c>
      <c r="I20" s="15" t="n">
        <f aca="false">SUMIFS(Forecast_Lines!$J$4:$J$377,Forecast_Lines!$D$4:$D$377,"Payment",Forecast_Lines!$E$4:$E$377,"Supplier payment",Forecast_Lines!$O$4:$O$377,I$4)</f>
        <v>-24992.24</v>
      </c>
      <c r="J20" s="15" t="n">
        <f aca="false">SUMIFS(Forecast_Lines!$J$4:$J$377,Forecast_Lines!$D$4:$D$377,"Payment",Forecast_Lines!$E$4:$E$377,"Supplier payment",Forecast_Lines!$O$4:$O$377,J$4)</f>
        <v>-166105.32</v>
      </c>
      <c r="K20" s="15" t="n">
        <f aca="false">SUMIFS(Forecast_Lines!$J$4:$J$377,Forecast_Lines!$D$4:$D$377,"Payment",Forecast_Lines!$E$4:$E$377,"Supplier payment",Forecast_Lines!$O$4:$O$377,K$4)</f>
        <v>-59514.54</v>
      </c>
      <c r="L20" s="15" t="n">
        <f aca="false">SUMIFS(Forecast_Lines!$J$4:$J$377,Forecast_Lines!$D$4:$D$377,"Payment",Forecast_Lines!$E$4:$E$377,"Supplier payment",Forecast_Lines!$O$4:$O$377,L$4)</f>
        <v>-38824.46</v>
      </c>
      <c r="M20" s="15" t="n">
        <f aca="false">SUMIFS(Forecast_Lines!$J$4:$J$377,Forecast_Lines!$D$4:$D$377,"Payment",Forecast_Lines!$E$4:$E$377,"Supplier payment",Forecast_Lines!$O$4:$O$377,M$4)</f>
        <v>-62498.48</v>
      </c>
      <c r="N20" s="15" t="n">
        <f aca="false">SUMIFS(Forecast_Lines!$J$4:$J$377,Forecast_Lines!$D$4:$D$377,"Payment",Forecast_Lines!$E$4:$E$377,"Supplier payment",Forecast_Lines!$O$4:$O$377,N$4)</f>
        <v>-137567.19</v>
      </c>
      <c r="O20" s="15" t="n">
        <f aca="false">SUMIFS(Forecast_Lines!$J$4:$J$377,Forecast_Lines!$D$4:$D$377,"Payment",Forecast_Lines!$E$4:$E$377,"Supplier payment",Forecast_Lines!$O$4:$O$377,O$4)</f>
        <v>-50387.76</v>
      </c>
      <c r="P20" s="15" t="n">
        <f aca="false">SUM(C20:O20)</f>
        <v>-1079808.02</v>
      </c>
    </row>
    <row r="21" customFormat="false" ht="15" hidden="false" customHeight="false" outlineLevel="0" collapsed="false">
      <c r="A21" s="11" t="s">
        <v>103</v>
      </c>
      <c r="B21" s="2" t="s">
        <v>93</v>
      </c>
      <c r="C21" s="15" t="n">
        <f aca="false">SUMIFS(Forecast_Lines!$J$4:$J$377,Forecast_Lines!$D$4:$D$377,"Payment",Forecast_Lines!$E$4:$E$377,"Payroll",Forecast_Lines!$O$4:$O$377,C$4)</f>
        <v>0</v>
      </c>
      <c r="D21" s="15" t="n">
        <f aca="false">SUMIFS(Forecast_Lines!$J$4:$J$377,Forecast_Lines!$D$4:$D$377,"Payment",Forecast_Lines!$E$4:$E$377,"Payroll",Forecast_Lines!$O$4:$O$377,D$4)</f>
        <v>0</v>
      </c>
      <c r="E21" s="15" t="n">
        <f aca="false">SUMIFS(Forecast_Lines!$J$4:$J$377,Forecast_Lines!$D$4:$D$377,"Payment",Forecast_Lines!$E$4:$E$377,"Payroll",Forecast_Lines!$O$4:$O$377,E$4)</f>
        <v>-106000</v>
      </c>
      <c r="F21" s="15" t="n">
        <f aca="false">SUMIFS(Forecast_Lines!$J$4:$J$377,Forecast_Lines!$D$4:$D$377,"Payment",Forecast_Lines!$E$4:$E$377,"Payroll",Forecast_Lines!$O$4:$O$377,F$4)</f>
        <v>0</v>
      </c>
      <c r="G21" s="15" t="n">
        <f aca="false">SUMIFS(Forecast_Lines!$J$4:$J$377,Forecast_Lines!$D$4:$D$377,"Payment",Forecast_Lines!$E$4:$E$377,"Payroll",Forecast_Lines!$O$4:$O$377,G$4)</f>
        <v>0</v>
      </c>
      <c r="H21" s="15" t="n">
        <f aca="false">SUMIFS(Forecast_Lines!$J$4:$J$377,Forecast_Lines!$D$4:$D$377,"Payment",Forecast_Lines!$E$4:$E$377,"Payroll",Forecast_Lines!$O$4:$O$377,H$4)</f>
        <v>0</v>
      </c>
      <c r="I21" s="15" t="n">
        <f aca="false">SUMIFS(Forecast_Lines!$J$4:$J$377,Forecast_Lines!$D$4:$D$377,"Payment",Forecast_Lines!$E$4:$E$377,"Payroll",Forecast_Lines!$O$4:$O$377,I$4)</f>
        <v>0</v>
      </c>
      <c r="J21" s="15" t="n">
        <f aca="false">SUMIFS(Forecast_Lines!$J$4:$J$377,Forecast_Lines!$D$4:$D$377,"Payment",Forecast_Lines!$E$4:$E$377,"Payroll",Forecast_Lines!$O$4:$O$377,J$4)</f>
        <v>-106000</v>
      </c>
      <c r="K21" s="15" t="n">
        <f aca="false">SUMIFS(Forecast_Lines!$J$4:$J$377,Forecast_Lines!$D$4:$D$377,"Payment",Forecast_Lines!$E$4:$E$377,"Payroll",Forecast_Lines!$O$4:$O$377,K$4)</f>
        <v>0</v>
      </c>
      <c r="L21" s="15" t="n">
        <f aca="false">SUMIFS(Forecast_Lines!$J$4:$J$377,Forecast_Lines!$D$4:$D$377,"Payment",Forecast_Lines!$E$4:$E$377,"Payroll",Forecast_Lines!$O$4:$O$377,L$4)</f>
        <v>0</v>
      </c>
      <c r="M21" s="15" t="n">
        <f aca="false">SUMIFS(Forecast_Lines!$J$4:$J$377,Forecast_Lines!$D$4:$D$377,"Payment",Forecast_Lines!$E$4:$E$377,"Payroll",Forecast_Lines!$O$4:$O$377,M$4)</f>
        <v>0</v>
      </c>
      <c r="N21" s="15" t="n">
        <f aca="false">SUMIFS(Forecast_Lines!$J$4:$J$377,Forecast_Lines!$D$4:$D$377,"Payment",Forecast_Lines!$E$4:$E$377,"Payroll",Forecast_Lines!$O$4:$O$377,N$4)</f>
        <v>-178000</v>
      </c>
      <c r="O21" s="15" t="n">
        <f aca="false">SUMIFS(Forecast_Lines!$J$4:$J$377,Forecast_Lines!$D$4:$D$377,"Payment",Forecast_Lines!$E$4:$E$377,"Payroll",Forecast_Lines!$O$4:$O$377,O$4)</f>
        <v>0</v>
      </c>
      <c r="P21" s="15" t="n">
        <f aca="false">SUM(C21:O21)</f>
        <v>-390000</v>
      </c>
    </row>
    <row r="22" customFormat="false" ht="15" hidden="false" customHeight="false" outlineLevel="0" collapsed="false">
      <c r="A22" s="11" t="s">
        <v>104</v>
      </c>
      <c r="B22" s="2" t="s">
        <v>93</v>
      </c>
      <c r="C22" s="15" t="n">
        <f aca="false">SUMIFS(Forecast_Lines!$J$4:$J$377,Forecast_Lines!$D$4:$D$377,"Payment",Forecast_Lines!$E$4:$E$377,"VAT payment",Forecast_Lines!$O$4:$O$377,C$4)</f>
        <v>0</v>
      </c>
      <c r="D22" s="15" t="n">
        <f aca="false">SUMIFS(Forecast_Lines!$J$4:$J$377,Forecast_Lines!$D$4:$D$377,"Payment",Forecast_Lines!$E$4:$E$377,"VAT payment",Forecast_Lines!$O$4:$O$377,D$4)</f>
        <v>0</v>
      </c>
      <c r="E22" s="15" t="n">
        <f aca="false">SUMIFS(Forecast_Lines!$J$4:$J$377,Forecast_Lines!$D$4:$D$377,"Payment",Forecast_Lines!$E$4:$E$377,"VAT payment",Forecast_Lines!$O$4:$O$377,E$4)</f>
        <v>-109780</v>
      </c>
      <c r="F22" s="15" t="n">
        <f aca="false">SUMIFS(Forecast_Lines!$J$4:$J$377,Forecast_Lines!$D$4:$D$377,"Payment",Forecast_Lines!$E$4:$E$377,"VAT payment",Forecast_Lines!$O$4:$O$377,F$4)</f>
        <v>0</v>
      </c>
      <c r="G22" s="15" t="n">
        <f aca="false">SUMIFS(Forecast_Lines!$J$4:$J$377,Forecast_Lines!$D$4:$D$377,"Payment",Forecast_Lines!$E$4:$E$377,"VAT payment",Forecast_Lines!$O$4:$O$377,G$4)</f>
        <v>0</v>
      </c>
      <c r="H22" s="15" t="n">
        <f aca="false">SUMIFS(Forecast_Lines!$J$4:$J$377,Forecast_Lines!$D$4:$D$377,"Payment",Forecast_Lines!$E$4:$E$377,"VAT payment",Forecast_Lines!$O$4:$O$377,H$4)</f>
        <v>0</v>
      </c>
      <c r="I22" s="15" t="n">
        <f aca="false">SUMIFS(Forecast_Lines!$J$4:$J$377,Forecast_Lines!$D$4:$D$377,"Payment",Forecast_Lines!$E$4:$E$377,"VAT payment",Forecast_Lines!$O$4:$O$377,I$4)</f>
        <v>-102020</v>
      </c>
      <c r="J22" s="15" t="n">
        <f aca="false">SUMIFS(Forecast_Lines!$J$4:$J$377,Forecast_Lines!$D$4:$D$377,"Payment",Forecast_Lines!$E$4:$E$377,"VAT payment",Forecast_Lines!$O$4:$O$377,J$4)</f>
        <v>0</v>
      </c>
      <c r="K22" s="15" t="n">
        <f aca="false">SUMIFS(Forecast_Lines!$J$4:$J$377,Forecast_Lines!$D$4:$D$377,"Payment",Forecast_Lines!$E$4:$E$377,"VAT payment",Forecast_Lines!$O$4:$O$377,K$4)</f>
        <v>0</v>
      </c>
      <c r="L22" s="15" t="n">
        <f aca="false">SUMIFS(Forecast_Lines!$J$4:$J$377,Forecast_Lines!$D$4:$D$377,"Payment",Forecast_Lines!$E$4:$E$377,"VAT payment",Forecast_Lines!$O$4:$O$377,L$4)</f>
        <v>0</v>
      </c>
      <c r="M22" s="15" t="n">
        <f aca="false">SUMIFS(Forecast_Lines!$J$4:$J$377,Forecast_Lines!$D$4:$D$377,"Payment",Forecast_Lines!$E$4:$E$377,"VAT payment",Forecast_Lines!$O$4:$O$377,M$4)</f>
        <v>-89420</v>
      </c>
      <c r="N22" s="15" t="n">
        <f aca="false">SUMIFS(Forecast_Lines!$J$4:$J$377,Forecast_Lines!$D$4:$D$377,"Payment",Forecast_Lines!$E$4:$E$377,"VAT payment",Forecast_Lines!$O$4:$O$377,N$4)</f>
        <v>0</v>
      </c>
      <c r="O22" s="15" t="n">
        <f aca="false">SUMIFS(Forecast_Lines!$J$4:$J$377,Forecast_Lines!$D$4:$D$377,"Payment",Forecast_Lines!$E$4:$E$377,"VAT payment",Forecast_Lines!$O$4:$O$377,O$4)</f>
        <v>0</v>
      </c>
      <c r="P22" s="15" t="n">
        <f aca="false">SUM(C22:O22)</f>
        <v>-301220</v>
      </c>
    </row>
    <row r="23" customFormat="false" ht="15" hidden="false" customHeight="false" outlineLevel="0" collapsed="false">
      <c r="A23" s="11" t="s">
        <v>105</v>
      </c>
      <c r="B23" s="2" t="s">
        <v>93</v>
      </c>
      <c r="C23" s="15" t="n">
        <f aca="false">SUMIFS(Forecast_Lines!$J$4:$J$377,Forecast_Lines!$D$4:$D$377,"Payment",Forecast_Lines!$E$4:$E$377,"Social charges &amp; income tax withheld",Forecast_Lines!$O$4:$O$377,C$4)</f>
        <v>-86000</v>
      </c>
      <c r="D23" s="15" t="n">
        <f aca="false">SUMIFS(Forecast_Lines!$J$4:$J$377,Forecast_Lines!$D$4:$D$377,"Payment",Forecast_Lines!$E$4:$E$377,"Social charges &amp; income tax withheld",Forecast_Lines!$O$4:$O$377,D$4)</f>
        <v>0</v>
      </c>
      <c r="E23" s="15" t="n">
        <f aca="false">SUMIFS(Forecast_Lines!$J$4:$J$377,Forecast_Lines!$D$4:$D$377,"Payment",Forecast_Lines!$E$4:$E$377,"Social charges &amp; income tax withheld",Forecast_Lines!$O$4:$O$377,E$4)</f>
        <v>0</v>
      </c>
      <c r="F23" s="15" t="n">
        <f aca="false">SUMIFS(Forecast_Lines!$J$4:$J$377,Forecast_Lines!$D$4:$D$377,"Payment",Forecast_Lines!$E$4:$E$377,"Social charges &amp; income tax withheld",Forecast_Lines!$O$4:$O$377,F$4)</f>
        <v>0</v>
      </c>
      <c r="G23" s="15" t="n">
        <f aca="false">SUMIFS(Forecast_Lines!$J$4:$J$377,Forecast_Lines!$D$4:$D$377,"Payment",Forecast_Lines!$E$4:$E$377,"Social charges &amp; income tax withheld",Forecast_Lines!$O$4:$O$377,G$4)</f>
        <v>0</v>
      </c>
      <c r="H23" s="15" t="n">
        <f aca="false">SUMIFS(Forecast_Lines!$J$4:$J$377,Forecast_Lines!$D$4:$D$377,"Payment",Forecast_Lines!$E$4:$E$377,"Social charges &amp; income tax withheld",Forecast_Lines!$O$4:$O$377,H$4)</f>
        <v>-86000</v>
      </c>
      <c r="I23" s="15" t="n">
        <f aca="false">SUMIFS(Forecast_Lines!$J$4:$J$377,Forecast_Lines!$D$4:$D$377,"Payment",Forecast_Lines!$E$4:$E$377,"Social charges &amp; income tax withheld",Forecast_Lines!$O$4:$O$377,I$4)</f>
        <v>0</v>
      </c>
      <c r="J23" s="15" t="n">
        <f aca="false">SUMIFS(Forecast_Lines!$J$4:$J$377,Forecast_Lines!$D$4:$D$377,"Payment",Forecast_Lines!$E$4:$E$377,"Social charges &amp; income tax withheld",Forecast_Lines!$O$4:$O$377,J$4)</f>
        <v>0</v>
      </c>
      <c r="K23" s="15" t="n">
        <f aca="false">SUMIFS(Forecast_Lines!$J$4:$J$377,Forecast_Lines!$D$4:$D$377,"Payment",Forecast_Lines!$E$4:$E$377,"Social charges &amp; income tax withheld",Forecast_Lines!$O$4:$O$377,K$4)</f>
        <v>0</v>
      </c>
      <c r="L23" s="15" t="n">
        <f aca="false">SUMIFS(Forecast_Lines!$J$4:$J$377,Forecast_Lines!$D$4:$D$377,"Payment",Forecast_Lines!$E$4:$E$377,"Social charges &amp; income tax withheld",Forecast_Lines!$O$4:$O$377,L$4)</f>
        <v>-86000</v>
      </c>
      <c r="M23" s="15" t="n">
        <f aca="false">SUMIFS(Forecast_Lines!$J$4:$J$377,Forecast_Lines!$D$4:$D$377,"Payment",Forecast_Lines!$E$4:$E$377,"Social charges &amp; income tax withheld",Forecast_Lines!$O$4:$O$377,M$4)</f>
        <v>0</v>
      </c>
      <c r="N23" s="15" t="n">
        <f aca="false">SUMIFS(Forecast_Lines!$J$4:$J$377,Forecast_Lines!$D$4:$D$377,"Payment",Forecast_Lines!$E$4:$E$377,"Social charges &amp; income tax withheld",Forecast_Lines!$O$4:$O$377,N$4)</f>
        <v>0</v>
      </c>
      <c r="O23" s="15" t="n">
        <f aca="false">SUMIFS(Forecast_Lines!$J$4:$J$377,Forecast_Lines!$D$4:$D$377,"Payment",Forecast_Lines!$E$4:$E$377,"Social charges &amp; income tax withheld",Forecast_Lines!$O$4:$O$377,O$4)</f>
        <v>0</v>
      </c>
      <c r="P23" s="15" t="n">
        <f aca="false">SUM(C23:O23)</f>
        <v>-258000</v>
      </c>
    </row>
    <row r="24" customFormat="false" ht="15" hidden="false" customHeight="false" outlineLevel="0" collapsed="false">
      <c r="A24" s="11" t="s">
        <v>106</v>
      </c>
      <c r="B24" s="2" t="s">
        <v>93</v>
      </c>
      <c r="C24" s="15" t="n">
        <f aca="false">SUMIFS(Forecast_Lines!$J$4:$J$377,Forecast_Lines!$D$4:$D$377,"Payment",Forecast_Lines!$E$4:$E$377,"Card &amp; sundry spending",Forecast_Lines!$O$4:$O$377,C$4)</f>
        <v>-4700</v>
      </c>
      <c r="D24" s="15" t="n">
        <f aca="false">SUMIFS(Forecast_Lines!$J$4:$J$377,Forecast_Lines!$D$4:$D$377,"Payment",Forecast_Lines!$E$4:$E$377,"Card &amp; sundry spending",Forecast_Lines!$O$4:$O$377,D$4)</f>
        <v>-4700</v>
      </c>
      <c r="E24" s="15" t="n">
        <f aca="false">SUMIFS(Forecast_Lines!$J$4:$J$377,Forecast_Lines!$D$4:$D$377,"Payment",Forecast_Lines!$E$4:$E$377,"Card &amp; sundry spending",Forecast_Lines!$O$4:$O$377,E$4)</f>
        <v>-4700</v>
      </c>
      <c r="F24" s="15" t="n">
        <f aca="false">SUMIFS(Forecast_Lines!$J$4:$J$377,Forecast_Lines!$D$4:$D$377,"Payment",Forecast_Lines!$E$4:$E$377,"Card &amp; sundry spending",Forecast_Lines!$O$4:$O$377,F$4)</f>
        <v>-4700</v>
      </c>
      <c r="G24" s="15" t="n">
        <f aca="false">SUMIFS(Forecast_Lines!$J$4:$J$377,Forecast_Lines!$D$4:$D$377,"Payment",Forecast_Lines!$E$4:$E$377,"Card &amp; sundry spending",Forecast_Lines!$O$4:$O$377,G$4)</f>
        <v>-4700</v>
      </c>
      <c r="H24" s="15" t="n">
        <f aca="false">SUMIFS(Forecast_Lines!$J$4:$J$377,Forecast_Lines!$D$4:$D$377,"Payment",Forecast_Lines!$E$4:$E$377,"Card &amp; sundry spending",Forecast_Lines!$O$4:$O$377,H$4)</f>
        <v>-4700</v>
      </c>
      <c r="I24" s="15" t="n">
        <f aca="false">SUMIFS(Forecast_Lines!$J$4:$J$377,Forecast_Lines!$D$4:$D$377,"Payment",Forecast_Lines!$E$4:$E$377,"Card &amp; sundry spending",Forecast_Lines!$O$4:$O$377,I$4)</f>
        <v>-4700</v>
      </c>
      <c r="J24" s="15" t="n">
        <f aca="false">SUMIFS(Forecast_Lines!$J$4:$J$377,Forecast_Lines!$D$4:$D$377,"Payment",Forecast_Lines!$E$4:$E$377,"Card &amp; sundry spending",Forecast_Lines!$O$4:$O$377,J$4)</f>
        <v>-4700</v>
      </c>
      <c r="K24" s="15" t="n">
        <f aca="false">SUMIFS(Forecast_Lines!$J$4:$J$377,Forecast_Lines!$D$4:$D$377,"Payment",Forecast_Lines!$E$4:$E$377,"Card &amp; sundry spending",Forecast_Lines!$O$4:$O$377,K$4)</f>
        <v>-4700</v>
      </c>
      <c r="L24" s="15" t="n">
        <f aca="false">SUMIFS(Forecast_Lines!$J$4:$J$377,Forecast_Lines!$D$4:$D$377,"Payment",Forecast_Lines!$E$4:$E$377,"Card &amp; sundry spending",Forecast_Lines!$O$4:$O$377,L$4)</f>
        <v>-4700</v>
      </c>
      <c r="M24" s="15" t="n">
        <f aca="false">SUMIFS(Forecast_Lines!$J$4:$J$377,Forecast_Lines!$D$4:$D$377,"Payment",Forecast_Lines!$E$4:$E$377,"Card &amp; sundry spending",Forecast_Lines!$O$4:$O$377,M$4)</f>
        <v>-4700</v>
      </c>
      <c r="N24" s="15" t="n">
        <f aca="false">SUMIFS(Forecast_Lines!$J$4:$J$377,Forecast_Lines!$D$4:$D$377,"Payment",Forecast_Lines!$E$4:$E$377,"Card &amp; sundry spending",Forecast_Lines!$O$4:$O$377,N$4)</f>
        <v>-1800</v>
      </c>
      <c r="O24" s="15" t="n">
        <f aca="false">SUMIFS(Forecast_Lines!$J$4:$J$377,Forecast_Lines!$D$4:$D$377,"Payment",Forecast_Lines!$E$4:$E$377,"Card &amp; sundry spending",Forecast_Lines!$O$4:$O$377,O$4)</f>
        <v>-4700</v>
      </c>
      <c r="P24" s="15" t="n">
        <f aca="false">SUM(C24:O24)</f>
        <v>-58200</v>
      </c>
    </row>
    <row r="25" customFormat="false" ht="15" hidden="false" customHeight="false" outlineLevel="0" collapsed="false">
      <c r="A25" s="11" t="s">
        <v>107</v>
      </c>
      <c r="B25" s="2" t="s">
        <v>93</v>
      </c>
      <c r="C25" s="15" t="n">
        <f aca="false">SUMIFS(Forecast_Lines!$J$4:$J$377,Forecast_Lines!$D$4:$D$377,"Payment",Forecast_Lines!$E$4:$E$377,"Energy",Forecast_Lines!$O$4:$O$377,C$4)</f>
        <v>0</v>
      </c>
      <c r="D25" s="15" t="n">
        <f aca="false">SUMIFS(Forecast_Lines!$J$4:$J$377,Forecast_Lines!$D$4:$D$377,"Payment",Forecast_Lines!$E$4:$E$377,"Energy",Forecast_Lines!$O$4:$O$377,D$4)</f>
        <v>0</v>
      </c>
      <c r="E25" s="15" t="n">
        <f aca="false">SUMIFS(Forecast_Lines!$J$4:$J$377,Forecast_Lines!$D$4:$D$377,"Payment",Forecast_Lines!$E$4:$E$377,"Energy",Forecast_Lines!$O$4:$O$377,E$4)</f>
        <v>0</v>
      </c>
      <c r="F25" s="15" t="n">
        <f aca="false">SUMIFS(Forecast_Lines!$J$4:$J$377,Forecast_Lines!$D$4:$D$377,"Payment",Forecast_Lines!$E$4:$E$377,"Energy",Forecast_Lines!$O$4:$O$377,F$4)</f>
        <v>0</v>
      </c>
      <c r="G25" s="15" t="n">
        <f aca="false">SUMIFS(Forecast_Lines!$J$4:$J$377,Forecast_Lines!$D$4:$D$377,"Payment",Forecast_Lines!$E$4:$E$377,"Energy",Forecast_Lines!$O$4:$O$377,G$4)</f>
        <v>-14160</v>
      </c>
      <c r="H25" s="15" t="n">
        <f aca="false">SUMIFS(Forecast_Lines!$J$4:$J$377,Forecast_Lines!$D$4:$D$377,"Payment",Forecast_Lines!$E$4:$E$377,"Energy",Forecast_Lines!$O$4:$O$377,H$4)</f>
        <v>0</v>
      </c>
      <c r="I25" s="15" t="n">
        <f aca="false">SUMIFS(Forecast_Lines!$J$4:$J$377,Forecast_Lines!$D$4:$D$377,"Payment",Forecast_Lines!$E$4:$E$377,"Energy",Forecast_Lines!$O$4:$O$377,I$4)</f>
        <v>0</v>
      </c>
      <c r="J25" s="15" t="n">
        <f aca="false">SUMIFS(Forecast_Lines!$J$4:$J$377,Forecast_Lines!$D$4:$D$377,"Payment",Forecast_Lines!$E$4:$E$377,"Energy",Forecast_Lines!$O$4:$O$377,J$4)</f>
        <v>0</v>
      </c>
      <c r="K25" s="15" t="n">
        <f aca="false">SUMIFS(Forecast_Lines!$J$4:$J$377,Forecast_Lines!$D$4:$D$377,"Payment",Forecast_Lines!$E$4:$E$377,"Energy",Forecast_Lines!$O$4:$O$377,K$4)</f>
        <v>-14160</v>
      </c>
      <c r="L25" s="15" t="n">
        <f aca="false">SUMIFS(Forecast_Lines!$J$4:$J$377,Forecast_Lines!$D$4:$D$377,"Payment",Forecast_Lines!$E$4:$E$377,"Energy",Forecast_Lines!$O$4:$O$377,L$4)</f>
        <v>0</v>
      </c>
      <c r="M25" s="15" t="n">
        <f aca="false">SUMIFS(Forecast_Lines!$J$4:$J$377,Forecast_Lines!$D$4:$D$377,"Payment",Forecast_Lines!$E$4:$E$377,"Energy",Forecast_Lines!$O$4:$O$377,M$4)</f>
        <v>0</v>
      </c>
      <c r="N25" s="15" t="n">
        <f aca="false">SUMIFS(Forecast_Lines!$J$4:$J$377,Forecast_Lines!$D$4:$D$377,"Payment",Forecast_Lines!$E$4:$E$377,"Energy",Forecast_Lines!$O$4:$O$377,N$4)</f>
        <v>0</v>
      </c>
      <c r="O25" s="15" t="n">
        <f aca="false">SUMIFS(Forecast_Lines!$J$4:$J$377,Forecast_Lines!$D$4:$D$377,"Payment",Forecast_Lines!$E$4:$E$377,"Energy",Forecast_Lines!$O$4:$O$377,O$4)</f>
        <v>-14160</v>
      </c>
      <c r="P25" s="15" t="n">
        <f aca="false">SUM(C25:O25)</f>
        <v>-42480</v>
      </c>
    </row>
    <row r="26" customFormat="false" ht="15" hidden="false" customHeight="false" outlineLevel="0" collapsed="false">
      <c r="A26" s="11" t="s">
        <v>108</v>
      </c>
      <c r="B26" s="2" t="s">
        <v>93</v>
      </c>
      <c r="C26" s="15" t="n">
        <f aca="false">SUMIFS(Forecast_Lines!$J$4:$J$377,Forecast_Lines!$D$4:$D$377,"Payment",Forecast_Lines!$E$4:$E$377,"Capex (discretionary)",Forecast_Lines!$O$4:$O$377,C$4)</f>
        <v>0</v>
      </c>
      <c r="D26" s="15" t="n">
        <f aca="false">SUMIFS(Forecast_Lines!$J$4:$J$377,Forecast_Lines!$D$4:$D$377,"Payment",Forecast_Lines!$E$4:$E$377,"Capex (discretionary)",Forecast_Lines!$O$4:$O$377,D$4)</f>
        <v>0</v>
      </c>
      <c r="E26" s="15" t="n">
        <f aca="false">SUMIFS(Forecast_Lines!$J$4:$J$377,Forecast_Lines!$D$4:$D$377,"Payment",Forecast_Lines!$E$4:$E$377,"Capex (discretionary)",Forecast_Lines!$O$4:$O$377,E$4)</f>
        <v>0</v>
      </c>
      <c r="F26" s="15" t="n">
        <f aca="false">SUMIFS(Forecast_Lines!$J$4:$J$377,Forecast_Lines!$D$4:$D$377,"Payment",Forecast_Lines!$E$4:$E$377,"Capex (discretionary)",Forecast_Lines!$O$4:$O$377,F$4)</f>
        <v>0</v>
      </c>
      <c r="G26" s="15" t="n">
        <f aca="false">SUMIFS(Forecast_Lines!$J$4:$J$377,Forecast_Lines!$D$4:$D$377,"Payment",Forecast_Lines!$E$4:$E$377,"Capex (discretionary)",Forecast_Lines!$O$4:$O$377,G$4)</f>
        <v>0</v>
      </c>
      <c r="H26" s="15" t="n">
        <f aca="false">SUMIFS(Forecast_Lines!$J$4:$J$377,Forecast_Lines!$D$4:$D$377,"Payment",Forecast_Lines!$E$4:$E$377,"Capex (discretionary)",Forecast_Lines!$O$4:$O$377,H$4)</f>
        <v>0</v>
      </c>
      <c r="I26" s="15" t="n">
        <f aca="false">SUMIFS(Forecast_Lines!$J$4:$J$377,Forecast_Lines!$D$4:$D$377,"Payment",Forecast_Lines!$E$4:$E$377,"Capex (discretionary)",Forecast_Lines!$O$4:$O$377,I$4)</f>
        <v>-34560</v>
      </c>
      <c r="J26" s="15" t="n">
        <f aca="false">SUMIFS(Forecast_Lines!$J$4:$J$377,Forecast_Lines!$D$4:$D$377,"Payment",Forecast_Lines!$E$4:$E$377,"Capex (discretionary)",Forecast_Lines!$O$4:$O$377,J$4)</f>
        <v>0</v>
      </c>
      <c r="K26" s="15" t="n">
        <f aca="false">SUMIFS(Forecast_Lines!$J$4:$J$377,Forecast_Lines!$D$4:$D$377,"Payment",Forecast_Lines!$E$4:$E$377,"Capex (discretionary)",Forecast_Lines!$O$4:$O$377,K$4)</f>
        <v>0</v>
      </c>
      <c r="L26" s="15" t="n">
        <f aca="false">SUMIFS(Forecast_Lines!$J$4:$J$377,Forecast_Lines!$D$4:$D$377,"Payment",Forecast_Lines!$E$4:$E$377,"Capex (discretionary)",Forecast_Lines!$O$4:$O$377,L$4)</f>
        <v>0</v>
      </c>
      <c r="M26" s="15" t="n">
        <f aca="false">SUMIFS(Forecast_Lines!$J$4:$J$377,Forecast_Lines!$D$4:$D$377,"Payment",Forecast_Lines!$E$4:$E$377,"Capex (discretionary)",Forecast_Lines!$O$4:$O$377,M$4)</f>
        <v>0</v>
      </c>
      <c r="N26" s="15" t="n">
        <f aca="false">SUMIFS(Forecast_Lines!$J$4:$J$377,Forecast_Lines!$D$4:$D$377,"Payment",Forecast_Lines!$E$4:$E$377,"Capex (discretionary)",Forecast_Lines!$O$4:$O$377,N$4)</f>
        <v>0</v>
      </c>
      <c r="O26" s="15" t="n">
        <f aca="false">SUMIFS(Forecast_Lines!$J$4:$J$377,Forecast_Lines!$D$4:$D$377,"Payment",Forecast_Lines!$E$4:$E$377,"Capex (discretionary)",Forecast_Lines!$O$4:$O$377,O$4)</f>
        <v>0</v>
      </c>
      <c r="P26" s="15" t="n">
        <f aca="false">SUM(C26:O26)</f>
        <v>-34560</v>
      </c>
    </row>
    <row r="27" customFormat="false" ht="15" hidden="false" customHeight="false" outlineLevel="0" collapsed="false">
      <c r="A27" s="11" t="s">
        <v>109</v>
      </c>
      <c r="B27" s="2" t="s">
        <v>93</v>
      </c>
      <c r="C27" s="15" t="n">
        <f aca="false">SUMIFS(Forecast_Lines!$J$4:$J$377,Forecast_Lines!$D$4:$D$377,"Payment",Forecast_Lines!$E$4:$E$377,"Bank loan repayment",Forecast_Lines!$O$4:$O$377,C$4)</f>
        <v>0</v>
      </c>
      <c r="D27" s="15" t="n">
        <f aca="false">SUMIFS(Forecast_Lines!$J$4:$J$377,Forecast_Lines!$D$4:$D$377,"Payment",Forecast_Lines!$E$4:$E$377,"Bank loan repayment",Forecast_Lines!$O$4:$O$377,D$4)</f>
        <v>0</v>
      </c>
      <c r="E27" s="15" t="n">
        <f aca="false">SUMIFS(Forecast_Lines!$J$4:$J$377,Forecast_Lines!$D$4:$D$377,"Payment",Forecast_Lines!$E$4:$E$377,"Bank loan repayment",Forecast_Lines!$O$4:$O$377,E$4)</f>
        <v>0</v>
      </c>
      <c r="F27" s="15" t="n">
        <f aca="false">SUMIFS(Forecast_Lines!$J$4:$J$377,Forecast_Lines!$D$4:$D$377,"Payment",Forecast_Lines!$E$4:$E$377,"Bank loan repayment",Forecast_Lines!$O$4:$O$377,F$4)</f>
        <v>-8900</v>
      </c>
      <c r="G27" s="15" t="n">
        <f aca="false">SUMIFS(Forecast_Lines!$J$4:$J$377,Forecast_Lines!$D$4:$D$377,"Payment",Forecast_Lines!$E$4:$E$377,"Bank loan repayment",Forecast_Lines!$O$4:$O$377,G$4)</f>
        <v>0</v>
      </c>
      <c r="H27" s="15" t="n">
        <f aca="false">SUMIFS(Forecast_Lines!$J$4:$J$377,Forecast_Lines!$D$4:$D$377,"Payment",Forecast_Lines!$E$4:$E$377,"Bank loan repayment",Forecast_Lines!$O$4:$O$377,H$4)</f>
        <v>0</v>
      </c>
      <c r="I27" s="15" t="n">
        <f aca="false">SUMIFS(Forecast_Lines!$J$4:$J$377,Forecast_Lines!$D$4:$D$377,"Payment",Forecast_Lines!$E$4:$E$377,"Bank loan repayment",Forecast_Lines!$O$4:$O$377,I$4)</f>
        <v>0</v>
      </c>
      <c r="J27" s="15" t="n">
        <f aca="false">SUMIFS(Forecast_Lines!$J$4:$J$377,Forecast_Lines!$D$4:$D$377,"Payment",Forecast_Lines!$E$4:$E$377,"Bank loan repayment",Forecast_Lines!$O$4:$O$377,J$4)</f>
        <v>0</v>
      </c>
      <c r="K27" s="15" t="n">
        <f aca="false">SUMIFS(Forecast_Lines!$J$4:$J$377,Forecast_Lines!$D$4:$D$377,"Payment",Forecast_Lines!$E$4:$E$377,"Bank loan repayment",Forecast_Lines!$O$4:$O$377,K$4)</f>
        <v>-8900</v>
      </c>
      <c r="L27" s="15" t="n">
        <f aca="false">SUMIFS(Forecast_Lines!$J$4:$J$377,Forecast_Lines!$D$4:$D$377,"Payment",Forecast_Lines!$E$4:$E$377,"Bank loan repayment",Forecast_Lines!$O$4:$O$377,L$4)</f>
        <v>0</v>
      </c>
      <c r="M27" s="15" t="n">
        <f aca="false">SUMIFS(Forecast_Lines!$J$4:$J$377,Forecast_Lines!$D$4:$D$377,"Payment",Forecast_Lines!$E$4:$E$377,"Bank loan repayment",Forecast_Lines!$O$4:$O$377,M$4)</f>
        <v>0</v>
      </c>
      <c r="N27" s="15" t="n">
        <f aca="false">SUMIFS(Forecast_Lines!$J$4:$J$377,Forecast_Lines!$D$4:$D$377,"Payment",Forecast_Lines!$E$4:$E$377,"Bank loan repayment",Forecast_Lines!$O$4:$O$377,N$4)</f>
        <v>0</v>
      </c>
      <c r="O27" s="15" t="n">
        <f aca="false">SUMIFS(Forecast_Lines!$J$4:$J$377,Forecast_Lines!$D$4:$D$377,"Payment",Forecast_Lines!$E$4:$E$377,"Bank loan repayment",Forecast_Lines!$O$4:$O$377,O$4)</f>
        <v>-8900</v>
      </c>
      <c r="P27" s="15" t="n">
        <f aca="false">SUM(C27:O27)</f>
        <v>-26700</v>
      </c>
    </row>
    <row r="28" customFormat="false" ht="15" hidden="false" customHeight="false" outlineLevel="0" collapsed="false">
      <c r="A28" s="11" t="s">
        <v>110</v>
      </c>
      <c r="B28" s="2" t="s">
        <v>93</v>
      </c>
      <c r="C28" s="15" t="n">
        <f aca="false">SUMIFS(Forecast_Lines!$J$4:$J$377,Forecast_Lines!$D$4:$D$377,"Payment",Forecast_Lines!$E$4:$E$377,"Corporate income tax instalment",Forecast_Lines!$O$4:$O$377,C$4)</f>
        <v>0</v>
      </c>
      <c r="D28" s="15" t="n">
        <f aca="false">SUMIFS(Forecast_Lines!$J$4:$J$377,Forecast_Lines!$D$4:$D$377,"Payment",Forecast_Lines!$E$4:$E$377,"Corporate income tax instalment",Forecast_Lines!$O$4:$O$377,D$4)</f>
        <v>0</v>
      </c>
      <c r="E28" s="15" t="n">
        <f aca="false">SUMIFS(Forecast_Lines!$J$4:$J$377,Forecast_Lines!$D$4:$D$377,"Payment",Forecast_Lines!$E$4:$E$377,"Corporate income tax instalment",Forecast_Lines!$O$4:$O$377,E$4)</f>
        <v>0</v>
      </c>
      <c r="F28" s="15" t="n">
        <f aca="false">SUMIFS(Forecast_Lines!$J$4:$J$377,Forecast_Lines!$D$4:$D$377,"Payment",Forecast_Lines!$E$4:$E$377,"Corporate income tax instalment",Forecast_Lines!$O$4:$O$377,F$4)</f>
        <v>0</v>
      </c>
      <c r="G28" s="15" t="n">
        <f aca="false">SUMIFS(Forecast_Lines!$J$4:$J$377,Forecast_Lines!$D$4:$D$377,"Payment",Forecast_Lines!$E$4:$E$377,"Corporate income tax instalment",Forecast_Lines!$O$4:$O$377,G$4)</f>
        <v>0</v>
      </c>
      <c r="H28" s="15" t="n">
        <f aca="false">SUMIFS(Forecast_Lines!$J$4:$J$377,Forecast_Lines!$D$4:$D$377,"Payment",Forecast_Lines!$E$4:$E$377,"Corporate income tax instalment",Forecast_Lines!$O$4:$O$377,H$4)</f>
        <v>0</v>
      </c>
      <c r="I28" s="15" t="n">
        <f aca="false">SUMIFS(Forecast_Lines!$J$4:$J$377,Forecast_Lines!$D$4:$D$377,"Payment",Forecast_Lines!$E$4:$E$377,"Corporate income tax instalment",Forecast_Lines!$O$4:$O$377,I$4)</f>
        <v>0</v>
      </c>
      <c r="J28" s="15" t="n">
        <f aca="false">SUMIFS(Forecast_Lines!$J$4:$J$377,Forecast_Lines!$D$4:$D$377,"Payment",Forecast_Lines!$E$4:$E$377,"Corporate income tax instalment",Forecast_Lines!$O$4:$O$377,J$4)</f>
        <v>0</v>
      </c>
      <c r="K28" s="15" t="n">
        <f aca="false">SUMIFS(Forecast_Lines!$J$4:$J$377,Forecast_Lines!$D$4:$D$377,"Payment",Forecast_Lines!$E$4:$E$377,"Corporate income tax instalment",Forecast_Lines!$O$4:$O$377,K$4)</f>
        <v>0</v>
      </c>
      <c r="L28" s="15" t="n">
        <f aca="false">SUMIFS(Forecast_Lines!$J$4:$J$377,Forecast_Lines!$D$4:$D$377,"Payment",Forecast_Lines!$E$4:$E$377,"Corporate income tax instalment",Forecast_Lines!$O$4:$O$377,L$4)</f>
        <v>-24500</v>
      </c>
      <c r="M28" s="15" t="n">
        <f aca="false">SUMIFS(Forecast_Lines!$J$4:$J$377,Forecast_Lines!$D$4:$D$377,"Payment",Forecast_Lines!$E$4:$E$377,"Corporate income tax instalment",Forecast_Lines!$O$4:$O$377,M$4)</f>
        <v>0</v>
      </c>
      <c r="N28" s="15" t="n">
        <f aca="false">SUMIFS(Forecast_Lines!$J$4:$J$377,Forecast_Lines!$D$4:$D$377,"Payment",Forecast_Lines!$E$4:$E$377,"Corporate income tax instalment",Forecast_Lines!$O$4:$O$377,N$4)</f>
        <v>0</v>
      </c>
      <c r="O28" s="15" t="n">
        <f aca="false">SUMIFS(Forecast_Lines!$J$4:$J$377,Forecast_Lines!$D$4:$D$377,"Payment",Forecast_Lines!$E$4:$E$377,"Corporate income tax instalment",Forecast_Lines!$O$4:$O$377,O$4)</f>
        <v>0</v>
      </c>
      <c r="P28" s="15" t="n">
        <f aca="false">SUM(C28:O28)</f>
        <v>-24500</v>
      </c>
    </row>
    <row r="29" customFormat="false" ht="15" hidden="false" customHeight="false" outlineLevel="0" collapsed="false">
      <c r="A29" s="11" t="s">
        <v>111</v>
      </c>
      <c r="B29" s="2" t="s">
        <v>93</v>
      </c>
      <c r="C29" s="15" t="n">
        <f aca="false">SUMIFS(Forecast_Lines!$J$4:$J$377,Forecast_Lines!$D$4:$D$377,"Payment",Forecast_Lines!$E$4:$E$377,"Rent",Forecast_Lines!$O$4:$O$377,C$4)</f>
        <v>0</v>
      </c>
      <c r="D29" s="15" t="n">
        <f aca="false">SUMIFS(Forecast_Lines!$J$4:$J$377,Forecast_Lines!$D$4:$D$377,"Payment",Forecast_Lines!$E$4:$E$377,"Rent",Forecast_Lines!$O$4:$O$377,D$4)</f>
        <v>0</v>
      </c>
      <c r="E29" s="15" t="n">
        <f aca="false">SUMIFS(Forecast_Lines!$J$4:$J$377,Forecast_Lines!$D$4:$D$377,"Payment",Forecast_Lines!$E$4:$E$377,"Rent",Forecast_Lines!$O$4:$O$377,E$4)</f>
        <v>0</v>
      </c>
      <c r="F29" s="15" t="n">
        <f aca="false">SUMIFS(Forecast_Lines!$J$4:$J$377,Forecast_Lines!$D$4:$D$377,"Payment",Forecast_Lines!$E$4:$E$377,"Rent",Forecast_Lines!$O$4:$O$377,F$4)</f>
        <v>0</v>
      </c>
      <c r="G29" s="15" t="n">
        <f aca="false">SUMIFS(Forecast_Lines!$J$4:$J$377,Forecast_Lines!$D$4:$D$377,"Payment",Forecast_Lines!$E$4:$E$377,"Rent",Forecast_Lines!$O$4:$O$377,G$4)</f>
        <v>0</v>
      </c>
      <c r="H29" s="15" t="n">
        <f aca="false">SUMIFS(Forecast_Lines!$J$4:$J$377,Forecast_Lines!$D$4:$D$377,"Payment",Forecast_Lines!$E$4:$E$377,"Rent",Forecast_Lines!$O$4:$O$377,H$4)</f>
        <v>0</v>
      </c>
      <c r="I29" s="15" t="n">
        <f aca="false">SUMIFS(Forecast_Lines!$J$4:$J$377,Forecast_Lines!$D$4:$D$377,"Payment",Forecast_Lines!$E$4:$E$377,"Rent",Forecast_Lines!$O$4:$O$377,I$4)</f>
        <v>0</v>
      </c>
      <c r="J29" s="15" t="n">
        <f aca="false">SUMIFS(Forecast_Lines!$J$4:$J$377,Forecast_Lines!$D$4:$D$377,"Payment",Forecast_Lines!$E$4:$E$377,"Rent",Forecast_Lines!$O$4:$O$377,J$4)</f>
        <v>0</v>
      </c>
      <c r="K29" s="15" t="n">
        <f aca="false">SUMIFS(Forecast_Lines!$J$4:$J$377,Forecast_Lines!$D$4:$D$377,"Payment",Forecast_Lines!$E$4:$E$377,"Rent",Forecast_Lines!$O$4:$O$377,K$4)</f>
        <v>0</v>
      </c>
      <c r="L29" s="15" t="n">
        <f aca="false">SUMIFS(Forecast_Lines!$J$4:$J$377,Forecast_Lines!$D$4:$D$377,"Payment",Forecast_Lines!$E$4:$E$377,"Rent",Forecast_Lines!$O$4:$O$377,L$4)</f>
        <v>0</v>
      </c>
      <c r="M29" s="15" t="n">
        <f aca="false">SUMIFS(Forecast_Lines!$J$4:$J$377,Forecast_Lines!$D$4:$D$377,"Payment",Forecast_Lines!$E$4:$E$377,"Rent",Forecast_Lines!$O$4:$O$377,M$4)</f>
        <v>0</v>
      </c>
      <c r="N29" s="15" t="n">
        <f aca="false">SUMIFS(Forecast_Lines!$J$4:$J$377,Forecast_Lines!$D$4:$D$377,"Payment",Forecast_Lines!$E$4:$E$377,"Rent",Forecast_Lines!$O$4:$O$377,N$4)</f>
        <v>0</v>
      </c>
      <c r="O29" s="15" t="n">
        <f aca="false">SUMIFS(Forecast_Lines!$J$4:$J$377,Forecast_Lines!$D$4:$D$377,"Payment",Forecast_Lines!$E$4:$E$377,"Rent",Forecast_Lines!$O$4:$O$377,O$4)</f>
        <v>-23400</v>
      </c>
      <c r="P29" s="15" t="n">
        <f aca="false">SUM(C29:O29)</f>
        <v>-23400</v>
      </c>
    </row>
    <row r="30" customFormat="false" ht="15" hidden="false" customHeight="false" outlineLevel="0" collapsed="false">
      <c r="A30" s="11" t="s">
        <v>112</v>
      </c>
      <c r="B30" s="2" t="s">
        <v>93</v>
      </c>
      <c r="C30" s="15" t="n">
        <f aca="false">SUMIFS(Forecast_Lines!$J$4:$J$377,Forecast_Lines!$D$4:$D$377,"Payment",Forecast_Lines!$E$4:$E$377,"Equipment lease",Forecast_Lines!$O$4:$O$377,C$4)</f>
        <v>-3840</v>
      </c>
      <c r="D30" s="15" t="n">
        <f aca="false">SUMIFS(Forecast_Lines!$J$4:$J$377,Forecast_Lines!$D$4:$D$377,"Payment",Forecast_Lines!$E$4:$E$377,"Equipment lease",Forecast_Lines!$O$4:$O$377,D$4)</f>
        <v>0</v>
      </c>
      <c r="E30" s="15" t="n">
        <f aca="false">SUMIFS(Forecast_Lines!$J$4:$J$377,Forecast_Lines!$D$4:$D$377,"Payment",Forecast_Lines!$E$4:$E$377,"Equipment lease",Forecast_Lines!$O$4:$O$377,E$4)</f>
        <v>0</v>
      </c>
      <c r="F30" s="15" t="n">
        <f aca="false">SUMIFS(Forecast_Lines!$J$4:$J$377,Forecast_Lines!$D$4:$D$377,"Payment",Forecast_Lines!$E$4:$E$377,"Equipment lease",Forecast_Lines!$O$4:$O$377,F$4)</f>
        <v>0</v>
      </c>
      <c r="G30" s="15" t="n">
        <f aca="false">SUMIFS(Forecast_Lines!$J$4:$J$377,Forecast_Lines!$D$4:$D$377,"Payment",Forecast_Lines!$E$4:$E$377,"Equipment lease",Forecast_Lines!$O$4:$O$377,G$4)</f>
        <v>-3840</v>
      </c>
      <c r="H30" s="15" t="n">
        <f aca="false">SUMIFS(Forecast_Lines!$J$4:$J$377,Forecast_Lines!$D$4:$D$377,"Payment",Forecast_Lines!$E$4:$E$377,"Equipment lease",Forecast_Lines!$O$4:$O$377,H$4)</f>
        <v>0</v>
      </c>
      <c r="I30" s="15" t="n">
        <f aca="false">SUMIFS(Forecast_Lines!$J$4:$J$377,Forecast_Lines!$D$4:$D$377,"Payment",Forecast_Lines!$E$4:$E$377,"Equipment lease",Forecast_Lines!$O$4:$O$377,I$4)</f>
        <v>0</v>
      </c>
      <c r="J30" s="15" t="n">
        <f aca="false">SUMIFS(Forecast_Lines!$J$4:$J$377,Forecast_Lines!$D$4:$D$377,"Payment",Forecast_Lines!$E$4:$E$377,"Equipment lease",Forecast_Lines!$O$4:$O$377,J$4)</f>
        <v>0</v>
      </c>
      <c r="K30" s="15" t="n">
        <f aca="false">SUMIFS(Forecast_Lines!$J$4:$J$377,Forecast_Lines!$D$4:$D$377,"Payment",Forecast_Lines!$E$4:$E$377,"Equipment lease",Forecast_Lines!$O$4:$O$377,K$4)</f>
        <v>-3840</v>
      </c>
      <c r="L30" s="15" t="n">
        <f aca="false">SUMIFS(Forecast_Lines!$J$4:$J$377,Forecast_Lines!$D$4:$D$377,"Payment",Forecast_Lines!$E$4:$E$377,"Equipment lease",Forecast_Lines!$O$4:$O$377,L$4)</f>
        <v>0</v>
      </c>
      <c r="M30" s="15" t="n">
        <f aca="false">SUMIFS(Forecast_Lines!$J$4:$J$377,Forecast_Lines!$D$4:$D$377,"Payment",Forecast_Lines!$E$4:$E$377,"Equipment lease",Forecast_Lines!$O$4:$O$377,M$4)</f>
        <v>0</v>
      </c>
      <c r="N30" s="15" t="n">
        <f aca="false">SUMIFS(Forecast_Lines!$J$4:$J$377,Forecast_Lines!$D$4:$D$377,"Payment",Forecast_Lines!$E$4:$E$377,"Equipment lease",Forecast_Lines!$O$4:$O$377,N$4)</f>
        <v>0</v>
      </c>
      <c r="O30" s="15" t="n">
        <f aca="false">SUMIFS(Forecast_Lines!$J$4:$J$377,Forecast_Lines!$D$4:$D$377,"Payment",Forecast_Lines!$E$4:$E$377,"Equipment lease",Forecast_Lines!$O$4:$O$377,O$4)</f>
        <v>0</v>
      </c>
      <c r="P30" s="15" t="n">
        <f aca="false">SUM(C30:O30)</f>
        <v>-11520</v>
      </c>
    </row>
    <row r="31" customFormat="false" ht="15" hidden="false" customHeight="false" outlineLevel="0" collapsed="false">
      <c r="A31" s="11" t="s">
        <v>113</v>
      </c>
      <c r="B31" s="2" t="s">
        <v>93</v>
      </c>
      <c r="C31" s="15" t="n">
        <f aca="false">SUMIFS(Forecast_Lines!$J$4:$J$377,Forecast_Lines!$D$4:$D$377,"Payment",Forecast_Lines!$E$4:$E$377,"IT, telecom &amp; software",Forecast_Lines!$O$4:$O$377,C$4)</f>
        <v>0</v>
      </c>
      <c r="D31" s="15" t="n">
        <f aca="false">SUMIFS(Forecast_Lines!$J$4:$J$377,Forecast_Lines!$D$4:$D$377,"Payment",Forecast_Lines!$E$4:$E$377,"IT, telecom &amp; software",Forecast_Lines!$O$4:$O$377,D$4)</f>
        <v>0</v>
      </c>
      <c r="E31" s="15" t="n">
        <f aca="false">SUMIFS(Forecast_Lines!$J$4:$J$377,Forecast_Lines!$D$4:$D$377,"Payment",Forecast_Lines!$E$4:$E$377,"IT, telecom &amp; software",Forecast_Lines!$O$4:$O$377,E$4)</f>
        <v>0</v>
      </c>
      <c r="F31" s="15" t="n">
        <f aca="false">SUMIFS(Forecast_Lines!$J$4:$J$377,Forecast_Lines!$D$4:$D$377,"Payment",Forecast_Lines!$E$4:$E$377,"IT, telecom &amp; software",Forecast_Lines!$O$4:$O$377,F$4)</f>
        <v>-2880</v>
      </c>
      <c r="G31" s="15" t="n">
        <f aca="false">SUMIFS(Forecast_Lines!$J$4:$J$377,Forecast_Lines!$D$4:$D$377,"Payment",Forecast_Lines!$E$4:$E$377,"IT, telecom &amp; software",Forecast_Lines!$O$4:$O$377,G$4)</f>
        <v>0</v>
      </c>
      <c r="H31" s="15" t="n">
        <f aca="false">SUMIFS(Forecast_Lines!$J$4:$J$377,Forecast_Lines!$D$4:$D$377,"Payment",Forecast_Lines!$E$4:$E$377,"IT, telecom &amp; software",Forecast_Lines!$O$4:$O$377,H$4)</f>
        <v>0</v>
      </c>
      <c r="I31" s="15" t="n">
        <f aca="false">SUMIFS(Forecast_Lines!$J$4:$J$377,Forecast_Lines!$D$4:$D$377,"Payment",Forecast_Lines!$E$4:$E$377,"IT, telecom &amp; software",Forecast_Lines!$O$4:$O$377,I$4)</f>
        <v>0</v>
      </c>
      <c r="J31" s="15" t="n">
        <f aca="false">SUMIFS(Forecast_Lines!$J$4:$J$377,Forecast_Lines!$D$4:$D$377,"Payment",Forecast_Lines!$E$4:$E$377,"IT, telecom &amp; software",Forecast_Lines!$O$4:$O$377,J$4)</f>
        <v>-2880</v>
      </c>
      <c r="K31" s="15" t="n">
        <f aca="false">SUMIFS(Forecast_Lines!$J$4:$J$377,Forecast_Lines!$D$4:$D$377,"Payment",Forecast_Lines!$E$4:$E$377,"IT, telecom &amp; software",Forecast_Lines!$O$4:$O$377,K$4)</f>
        <v>0</v>
      </c>
      <c r="L31" s="15" t="n">
        <f aca="false">SUMIFS(Forecast_Lines!$J$4:$J$377,Forecast_Lines!$D$4:$D$377,"Payment",Forecast_Lines!$E$4:$E$377,"IT, telecom &amp; software",Forecast_Lines!$O$4:$O$377,L$4)</f>
        <v>0</v>
      </c>
      <c r="M31" s="15" t="n">
        <f aca="false">SUMIFS(Forecast_Lines!$J$4:$J$377,Forecast_Lines!$D$4:$D$377,"Payment",Forecast_Lines!$E$4:$E$377,"IT, telecom &amp; software",Forecast_Lines!$O$4:$O$377,M$4)</f>
        <v>0</v>
      </c>
      <c r="N31" s="15" t="n">
        <f aca="false">SUMIFS(Forecast_Lines!$J$4:$J$377,Forecast_Lines!$D$4:$D$377,"Payment",Forecast_Lines!$E$4:$E$377,"IT, telecom &amp; software",Forecast_Lines!$O$4:$O$377,N$4)</f>
        <v>0</v>
      </c>
      <c r="O31" s="15" t="n">
        <f aca="false">SUMIFS(Forecast_Lines!$J$4:$J$377,Forecast_Lines!$D$4:$D$377,"Payment",Forecast_Lines!$E$4:$E$377,"IT, telecom &amp; software",Forecast_Lines!$O$4:$O$377,O$4)</f>
        <v>-2880</v>
      </c>
      <c r="P31" s="15" t="n">
        <f aca="false">SUM(C31:O31)</f>
        <v>-8640</v>
      </c>
    </row>
    <row r="32" customFormat="false" ht="15" hidden="false" customHeight="false" outlineLevel="0" collapsed="false">
      <c r="A32" s="11" t="s">
        <v>114</v>
      </c>
      <c r="B32" s="2" t="s">
        <v>93</v>
      </c>
      <c r="C32" s="15" t="n">
        <f aca="false">SUMIFS(Forecast_Lines!$J$4:$J$377,Forecast_Lines!$D$4:$D$377,"Payment",Forecast_Lines!$E$4:$E$377,"Insurance",Forecast_Lines!$O$4:$O$377,C$4)</f>
        <v>0</v>
      </c>
      <c r="D32" s="15" t="n">
        <f aca="false">SUMIFS(Forecast_Lines!$J$4:$J$377,Forecast_Lines!$D$4:$D$377,"Payment",Forecast_Lines!$E$4:$E$377,"Insurance",Forecast_Lines!$O$4:$O$377,D$4)</f>
        <v>0</v>
      </c>
      <c r="E32" s="15" t="n">
        <f aca="false">SUMIFS(Forecast_Lines!$J$4:$J$377,Forecast_Lines!$D$4:$D$377,"Payment",Forecast_Lines!$E$4:$E$377,"Insurance",Forecast_Lines!$O$4:$O$377,E$4)</f>
        <v>0</v>
      </c>
      <c r="F32" s="15" t="n">
        <f aca="false">SUMIFS(Forecast_Lines!$J$4:$J$377,Forecast_Lines!$D$4:$D$377,"Payment",Forecast_Lines!$E$4:$E$377,"Insurance",Forecast_Lines!$O$4:$O$377,F$4)</f>
        <v>0</v>
      </c>
      <c r="G32" s="15" t="n">
        <f aca="false">SUMIFS(Forecast_Lines!$J$4:$J$377,Forecast_Lines!$D$4:$D$377,"Payment",Forecast_Lines!$E$4:$E$377,"Insurance",Forecast_Lines!$O$4:$O$377,G$4)</f>
        <v>0</v>
      </c>
      <c r="H32" s="15" t="n">
        <f aca="false">SUMIFS(Forecast_Lines!$J$4:$J$377,Forecast_Lines!$D$4:$D$377,"Payment",Forecast_Lines!$E$4:$E$377,"Insurance",Forecast_Lines!$O$4:$O$377,H$4)</f>
        <v>0</v>
      </c>
      <c r="I32" s="15" t="n">
        <f aca="false">SUMIFS(Forecast_Lines!$J$4:$J$377,Forecast_Lines!$D$4:$D$377,"Payment",Forecast_Lines!$E$4:$E$377,"Insurance",Forecast_Lines!$O$4:$O$377,I$4)</f>
        <v>0</v>
      </c>
      <c r="J32" s="15" t="n">
        <f aca="false">SUMIFS(Forecast_Lines!$J$4:$J$377,Forecast_Lines!$D$4:$D$377,"Payment",Forecast_Lines!$E$4:$E$377,"Insurance",Forecast_Lines!$O$4:$O$377,J$4)</f>
        <v>0</v>
      </c>
      <c r="K32" s="15" t="n">
        <f aca="false">SUMIFS(Forecast_Lines!$J$4:$J$377,Forecast_Lines!$D$4:$D$377,"Payment",Forecast_Lines!$E$4:$E$377,"Insurance",Forecast_Lines!$O$4:$O$377,K$4)</f>
        <v>0</v>
      </c>
      <c r="L32" s="15" t="n">
        <f aca="false">SUMIFS(Forecast_Lines!$J$4:$J$377,Forecast_Lines!$D$4:$D$377,"Payment",Forecast_Lines!$E$4:$E$377,"Insurance",Forecast_Lines!$O$4:$O$377,L$4)</f>
        <v>0</v>
      </c>
      <c r="M32" s="15" t="n">
        <f aca="false">SUMIFS(Forecast_Lines!$J$4:$J$377,Forecast_Lines!$D$4:$D$377,"Payment",Forecast_Lines!$E$4:$E$377,"Insurance",Forecast_Lines!$O$4:$O$377,M$4)</f>
        <v>0</v>
      </c>
      <c r="N32" s="15" t="n">
        <f aca="false">SUMIFS(Forecast_Lines!$J$4:$J$377,Forecast_Lines!$D$4:$D$377,"Payment",Forecast_Lines!$E$4:$E$377,"Insurance",Forecast_Lines!$O$4:$O$377,N$4)</f>
        <v>0</v>
      </c>
      <c r="O32" s="15" t="n">
        <f aca="false">SUMIFS(Forecast_Lines!$J$4:$J$377,Forecast_Lines!$D$4:$D$377,"Payment",Forecast_Lines!$E$4:$E$377,"Insurance",Forecast_Lines!$O$4:$O$377,O$4)</f>
        <v>-7800</v>
      </c>
      <c r="P32" s="15" t="n">
        <f aca="false">SUM(C32:O32)</f>
        <v>-7800</v>
      </c>
    </row>
    <row r="33" customFormat="false" ht="15" hidden="false" customHeight="false" outlineLevel="0" collapsed="false">
      <c r="A33" s="11" t="s">
        <v>115</v>
      </c>
      <c r="B33" s="2" t="s">
        <v>93</v>
      </c>
      <c r="C33" s="15" t="n">
        <f aca="false">SUMIFS(Forecast_Lines!$J$4:$J$377,Forecast_Lines!$D$4:$D$377,"Payment",Forecast_Lines!$E$4:$E$377,"Business property tax",Forecast_Lines!$O$4:$O$377,C$4)</f>
        <v>0</v>
      </c>
      <c r="D33" s="15" t="n">
        <f aca="false">SUMIFS(Forecast_Lines!$J$4:$J$377,Forecast_Lines!$D$4:$D$377,"Payment",Forecast_Lines!$E$4:$E$377,"Business property tax",Forecast_Lines!$O$4:$O$377,D$4)</f>
        <v>0</v>
      </c>
      <c r="E33" s="15" t="n">
        <f aca="false">SUMIFS(Forecast_Lines!$J$4:$J$377,Forecast_Lines!$D$4:$D$377,"Payment",Forecast_Lines!$E$4:$E$377,"Business property tax",Forecast_Lines!$O$4:$O$377,E$4)</f>
        <v>0</v>
      </c>
      <c r="F33" s="15" t="n">
        <f aca="false">SUMIFS(Forecast_Lines!$J$4:$J$377,Forecast_Lines!$D$4:$D$377,"Payment",Forecast_Lines!$E$4:$E$377,"Business property tax",Forecast_Lines!$O$4:$O$377,F$4)</f>
        <v>0</v>
      </c>
      <c r="G33" s="15" t="n">
        <f aca="false">SUMIFS(Forecast_Lines!$J$4:$J$377,Forecast_Lines!$D$4:$D$377,"Payment",Forecast_Lines!$E$4:$E$377,"Business property tax",Forecast_Lines!$O$4:$O$377,G$4)</f>
        <v>0</v>
      </c>
      <c r="H33" s="15" t="n">
        <f aca="false">SUMIFS(Forecast_Lines!$J$4:$J$377,Forecast_Lines!$D$4:$D$377,"Payment",Forecast_Lines!$E$4:$E$377,"Business property tax",Forecast_Lines!$O$4:$O$377,H$4)</f>
        <v>0</v>
      </c>
      <c r="I33" s="15" t="n">
        <f aca="false">SUMIFS(Forecast_Lines!$J$4:$J$377,Forecast_Lines!$D$4:$D$377,"Payment",Forecast_Lines!$E$4:$E$377,"Business property tax",Forecast_Lines!$O$4:$O$377,I$4)</f>
        <v>0</v>
      </c>
      <c r="J33" s="15" t="n">
        <f aca="false">SUMIFS(Forecast_Lines!$J$4:$J$377,Forecast_Lines!$D$4:$D$377,"Payment",Forecast_Lines!$E$4:$E$377,"Business property tax",Forecast_Lines!$O$4:$O$377,J$4)</f>
        <v>0</v>
      </c>
      <c r="K33" s="15" t="n">
        <f aca="false">SUMIFS(Forecast_Lines!$J$4:$J$377,Forecast_Lines!$D$4:$D$377,"Payment",Forecast_Lines!$E$4:$E$377,"Business property tax",Forecast_Lines!$O$4:$O$377,K$4)</f>
        <v>0</v>
      </c>
      <c r="L33" s="15" t="n">
        <f aca="false">SUMIFS(Forecast_Lines!$J$4:$J$377,Forecast_Lines!$D$4:$D$377,"Payment",Forecast_Lines!$E$4:$E$377,"Business property tax",Forecast_Lines!$O$4:$O$377,L$4)</f>
        <v>-6200</v>
      </c>
      <c r="M33" s="15" t="n">
        <f aca="false">SUMIFS(Forecast_Lines!$J$4:$J$377,Forecast_Lines!$D$4:$D$377,"Payment",Forecast_Lines!$E$4:$E$377,"Business property tax",Forecast_Lines!$O$4:$O$377,M$4)</f>
        <v>0</v>
      </c>
      <c r="N33" s="15" t="n">
        <f aca="false">SUMIFS(Forecast_Lines!$J$4:$J$377,Forecast_Lines!$D$4:$D$377,"Payment",Forecast_Lines!$E$4:$E$377,"Business property tax",Forecast_Lines!$O$4:$O$377,N$4)</f>
        <v>0</v>
      </c>
      <c r="O33" s="15" t="n">
        <f aca="false">SUMIFS(Forecast_Lines!$J$4:$J$377,Forecast_Lines!$D$4:$D$377,"Payment",Forecast_Lines!$E$4:$E$377,"Business property tax",Forecast_Lines!$O$4:$O$377,O$4)</f>
        <v>0</v>
      </c>
      <c r="P33" s="15" t="n">
        <f aca="false">SUM(C33:O33)</f>
        <v>-6200</v>
      </c>
    </row>
    <row r="34" customFormat="false" ht="15" hidden="false" customHeight="false" outlineLevel="0" collapsed="false">
      <c r="A34" s="13" t="s">
        <v>116</v>
      </c>
      <c r="B34" s="2"/>
      <c r="C34" s="14" t="n">
        <f aca="false">SUM(C20:C33)</f>
        <v>-141822.15</v>
      </c>
      <c r="D34" s="14" t="n">
        <f aca="false">SUM(D20:D33)</f>
        <v>-10711.58</v>
      </c>
      <c r="E34" s="14" t="n">
        <f aca="false">SUM(E20:E33)</f>
        <v>-439303.92</v>
      </c>
      <c r="F34" s="14" t="n">
        <f aca="false">SUM(F20:F33)</f>
        <v>-77498.47</v>
      </c>
      <c r="G34" s="14" t="n">
        <f aca="false">SUM(G20:G33)</f>
        <v>-29012.02</v>
      </c>
      <c r="H34" s="14" t="n">
        <f aca="false">SUM(H20:H33)</f>
        <v>-291169.89</v>
      </c>
      <c r="I34" s="14" t="n">
        <f aca="false">SUM(I20:I33)</f>
        <v>-166272.24</v>
      </c>
      <c r="J34" s="14" t="n">
        <f aca="false">SUM(J20:J33)</f>
        <v>-279685.32</v>
      </c>
      <c r="K34" s="14" t="n">
        <f aca="false">SUM(K20:K33)</f>
        <v>-91114.54</v>
      </c>
      <c r="L34" s="14" t="n">
        <f aca="false">SUM(L20:L33)</f>
        <v>-160224.46</v>
      </c>
      <c r="M34" s="14" t="n">
        <f aca="false">SUM(M20:M33)</f>
        <v>-156618.48</v>
      </c>
      <c r="N34" s="14" t="n">
        <f aca="false">SUM(N20:N33)</f>
        <v>-317367.19</v>
      </c>
      <c r="O34" s="14" t="n">
        <f aca="false">SUM(O20:O33)</f>
        <v>-112227.76</v>
      </c>
      <c r="P34" s="14" t="n">
        <f aca="false">SUM(C34:O34)</f>
        <v>-2273028.02</v>
      </c>
    </row>
    <row r="35" customFormat="false" ht="15" hidden="false" customHeight="false" outlineLevel="0" collapsed="false">
      <c r="A35" s="13" t="s">
        <v>117</v>
      </c>
      <c r="B35" s="2"/>
      <c r="C35" s="14" t="n">
        <f aca="false">C18+C34</f>
        <v>-98400.15</v>
      </c>
      <c r="D35" s="14" t="n">
        <f aca="false">D18+D34</f>
        <v>166336.42</v>
      </c>
      <c r="E35" s="14" t="n">
        <f aca="false">E18+E34</f>
        <v>-348319.92</v>
      </c>
      <c r="F35" s="14" t="n">
        <f aca="false">F18+F34</f>
        <v>69933.53</v>
      </c>
      <c r="G35" s="14" t="n">
        <f aca="false">G18+G34</f>
        <v>83183.98</v>
      </c>
      <c r="H35" s="14" t="n">
        <f aca="false">H18+H34</f>
        <v>-135337.89</v>
      </c>
      <c r="I35" s="14" t="n">
        <f aca="false">I18+I34</f>
        <v>224739.76</v>
      </c>
      <c r="J35" s="14" t="n">
        <f aca="false">J18+J34</f>
        <v>-179051.32</v>
      </c>
      <c r="K35" s="14" t="n">
        <f aca="false">K18+K34</f>
        <v>54375.46</v>
      </c>
      <c r="L35" s="14" t="n">
        <f aca="false">L18+L34</f>
        <v>52559.54</v>
      </c>
      <c r="M35" s="14" t="n">
        <f aca="false">M18+M34</f>
        <v>2089.52000000002</v>
      </c>
      <c r="N35" s="14" t="n">
        <f aca="false">N18+N34</f>
        <v>-53457.19</v>
      </c>
      <c r="O35" s="14" t="n">
        <f aca="false">O18+O34</f>
        <v>75052.24</v>
      </c>
      <c r="P35" s="14" t="n">
        <f aca="false">SUM(C35:O35)</f>
        <v>-86296.02</v>
      </c>
    </row>
    <row r="36" customFormat="false" ht="15" hidden="false" customHeight="false" outlineLevel="0" collapsed="false">
      <c r="A36" s="16" t="s">
        <v>118</v>
      </c>
      <c r="B36" s="17" t="s">
        <v>119</v>
      </c>
      <c r="C36" s="18" t="n">
        <f aca="false">C9+C35</f>
        <v>282840.5</v>
      </c>
      <c r="D36" s="18" t="n">
        <f aca="false">D9+D35</f>
        <v>449176.92</v>
      </c>
      <c r="E36" s="18" t="n">
        <f aca="false">E9+E35</f>
        <v>100857</v>
      </c>
      <c r="F36" s="18" t="n">
        <f aca="false">F9+F35</f>
        <v>170790.53</v>
      </c>
      <c r="G36" s="18" t="n">
        <f aca="false">G9+G35</f>
        <v>253974.51</v>
      </c>
      <c r="H36" s="18" t="n">
        <f aca="false">H9+H35</f>
        <v>118636.62</v>
      </c>
      <c r="I36" s="18" t="n">
        <f aca="false">I9+I35</f>
        <v>343376.38</v>
      </c>
      <c r="J36" s="18" t="n">
        <f aca="false">J9+J35</f>
        <v>164325.06</v>
      </c>
      <c r="K36" s="18" t="n">
        <f aca="false">K9+K35</f>
        <v>218700.52</v>
      </c>
      <c r="L36" s="18" t="n">
        <f aca="false">L9+L35</f>
        <v>271260.06</v>
      </c>
      <c r="M36" s="18" t="n">
        <f aca="false">M9+M35</f>
        <v>273349.58</v>
      </c>
      <c r="N36" s="18" t="n">
        <f aca="false">N9+N35</f>
        <v>219892.39</v>
      </c>
      <c r="O36" s="18" t="n">
        <f aca="false">O9+O35</f>
        <v>294944.63</v>
      </c>
    </row>
    <row r="37" customFormat="false" ht="15" hidden="false" customHeight="false" outlineLevel="0" collapsed="false">
      <c r="A37" s="2" t="s">
        <v>120</v>
      </c>
      <c r="B37" s="2" t="s">
        <v>121</v>
      </c>
      <c r="C37" s="19" t="n">
        <f aca="false">Assumptions!$C$5</f>
        <v>100000</v>
      </c>
      <c r="D37" s="19" t="n">
        <f aca="false">Assumptions!$C$5</f>
        <v>100000</v>
      </c>
      <c r="E37" s="19" t="n">
        <f aca="false">Assumptions!$C$5</f>
        <v>100000</v>
      </c>
      <c r="F37" s="19" t="n">
        <f aca="false">Assumptions!$C$5</f>
        <v>100000</v>
      </c>
      <c r="G37" s="19" t="n">
        <f aca="false">Assumptions!$C$5</f>
        <v>100000</v>
      </c>
      <c r="H37" s="19" t="n">
        <f aca="false">Assumptions!$C$5</f>
        <v>100000</v>
      </c>
      <c r="I37" s="19" t="n">
        <f aca="false">Assumptions!$C$5</f>
        <v>100000</v>
      </c>
      <c r="J37" s="19" t="n">
        <f aca="false">Assumptions!$C$5</f>
        <v>100000</v>
      </c>
      <c r="K37" s="19" t="n">
        <f aca="false">Assumptions!$C$5</f>
        <v>100000</v>
      </c>
      <c r="L37" s="19" t="n">
        <f aca="false">Assumptions!$C$5</f>
        <v>100000</v>
      </c>
      <c r="M37" s="19" t="n">
        <f aca="false">Assumptions!$C$5</f>
        <v>100000</v>
      </c>
      <c r="N37" s="19" t="n">
        <f aca="false">Assumptions!$C$5</f>
        <v>100000</v>
      </c>
      <c r="O37" s="19" t="n">
        <f aca="false">Assumptions!$C$5</f>
        <v>100000</v>
      </c>
    </row>
    <row r="38" customFormat="false" ht="15" hidden="false" customHeight="false" outlineLevel="0" collapsed="false">
      <c r="A38" s="11" t="s">
        <v>122</v>
      </c>
      <c r="B38" s="2"/>
      <c r="C38" s="15" t="n">
        <f aca="false">C36-C37</f>
        <v>182840.5</v>
      </c>
      <c r="D38" s="15" t="n">
        <f aca="false">D36-D37</f>
        <v>349176.92</v>
      </c>
      <c r="E38" s="15" t="n">
        <f aca="false">E36-E37</f>
        <v>857</v>
      </c>
      <c r="F38" s="15" t="n">
        <f aca="false">F36-F37</f>
        <v>70790.53</v>
      </c>
      <c r="G38" s="15" t="n">
        <f aca="false">G36-G37</f>
        <v>153974.51</v>
      </c>
      <c r="H38" s="15" t="n">
        <f aca="false">H36-H37</f>
        <v>18636.62</v>
      </c>
      <c r="I38" s="15" t="n">
        <f aca="false">I36-I37</f>
        <v>243376.38</v>
      </c>
      <c r="J38" s="15" t="n">
        <f aca="false">J36-J37</f>
        <v>64325.06</v>
      </c>
      <c r="K38" s="15" t="n">
        <f aca="false">K36-K37</f>
        <v>118700.52</v>
      </c>
      <c r="L38" s="15" t="n">
        <f aca="false">L36-L37</f>
        <v>171260.06</v>
      </c>
      <c r="M38" s="15" t="n">
        <f aca="false">M36-M37</f>
        <v>173349.58</v>
      </c>
      <c r="N38" s="15" t="n">
        <f aca="false">N36-N37</f>
        <v>119892.39</v>
      </c>
      <c r="O38" s="15" t="n">
        <f aca="false">O36-O37</f>
        <v>194944.63</v>
      </c>
    </row>
    <row r="39" customFormat="false" ht="15" hidden="false" customHeight="false" outlineLevel="0" collapsed="false">
      <c r="A39" s="13" t="s">
        <v>123</v>
      </c>
      <c r="B39" s="2"/>
      <c r="C39" s="20" t="str">
        <f aca="false">IF(C36&lt;-Assumptions!$C$6,"BEYOND OVERDRAFT",IF(C36&lt;0,"OVERDRAFT",IF(C36&lt;C37,"BELOW BUFFER","ok")))</f>
        <v>ok</v>
      </c>
      <c r="D39" s="20" t="str">
        <f aca="false">IF(D36&lt;-Assumptions!$C$6,"BEYOND OVERDRAFT",IF(D36&lt;0,"OVERDRAFT",IF(D36&lt;D37,"BELOW BUFFER","ok")))</f>
        <v>ok</v>
      </c>
      <c r="E39" s="20" t="str">
        <f aca="false">IF(E36&lt;-Assumptions!$C$6,"BEYOND OVERDRAFT",IF(E36&lt;0,"OVERDRAFT",IF(E36&lt;E37,"BELOW BUFFER","ok")))</f>
        <v>ok</v>
      </c>
      <c r="F39" s="20" t="str">
        <f aca="false">IF(F36&lt;-Assumptions!$C$6,"BEYOND OVERDRAFT",IF(F36&lt;0,"OVERDRAFT",IF(F36&lt;F37,"BELOW BUFFER","ok")))</f>
        <v>ok</v>
      </c>
      <c r="G39" s="20" t="str">
        <f aca="false">IF(G36&lt;-Assumptions!$C$6,"BEYOND OVERDRAFT",IF(G36&lt;0,"OVERDRAFT",IF(G36&lt;G37,"BELOW BUFFER","ok")))</f>
        <v>ok</v>
      </c>
      <c r="H39" s="20" t="str">
        <f aca="false">IF(H36&lt;-Assumptions!$C$6,"BEYOND OVERDRAFT",IF(H36&lt;0,"OVERDRAFT",IF(H36&lt;H37,"BELOW BUFFER","ok")))</f>
        <v>ok</v>
      </c>
      <c r="I39" s="20" t="str">
        <f aca="false">IF(I36&lt;-Assumptions!$C$6,"BEYOND OVERDRAFT",IF(I36&lt;0,"OVERDRAFT",IF(I36&lt;I37,"BELOW BUFFER","ok")))</f>
        <v>ok</v>
      </c>
      <c r="J39" s="20" t="str">
        <f aca="false">IF(J36&lt;-Assumptions!$C$6,"BEYOND OVERDRAFT",IF(J36&lt;0,"OVERDRAFT",IF(J36&lt;J37,"BELOW BUFFER","ok")))</f>
        <v>ok</v>
      </c>
      <c r="K39" s="20" t="str">
        <f aca="false">IF(K36&lt;-Assumptions!$C$6,"BEYOND OVERDRAFT",IF(K36&lt;0,"OVERDRAFT",IF(K36&lt;K37,"BELOW BUFFER","ok")))</f>
        <v>ok</v>
      </c>
      <c r="L39" s="20" t="str">
        <f aca="false">IF(L36&lt;-Assumptions!$C$6,"BEYOND OVERDRAFT",IF(L36&lt;0,"OVERDRAFT",IF(L36&lt;L37,"BELOW BUFFER","ok")))</f>
        <v>ok</v>
      </c>
      <c r="M39" s="20" t="str">
        <f aca="false">IF(M36&lt;-Assumptions!$C$6,"BEYOND OVERDRAFT",IF(M36&lt;0,"OVERDRAFT",IF(M36&lt;M37,"BELOW BUFFER","ok")))</f>
        <v>ok</v>
      </c>
      <c r="N39" s="20" t="str">
        <f aca="false">IF(N36&lt;-Assumptions!$C$6,"BEYOND OVERDRAFT",IF(N36&lt;0,"OVERDRAFT",IF(N36&lt;N37,"BELOW BUFFER","ok")))</f>
        <v>ok</v>
      </c>
      <c r="O39" s="20" t="str">
        <f aca="false">IF(O36&lt;-Assumptions!$C$6,"BEYOND OVERDRAFT",IF(O36&lt;0,"OVERDRAFT",IF(O36&lt;O37,"BELOW BUFFER","ok")))</f>
        <v>ok</v>
      </c>
    </row>
    <row r="41" customFormat="false" ht="15" hidden="false" customHeight="false" outlineLevel="0" collapsed="false">
      <c r="A41" s="4" t="s">
        <v>124</v>
      </c>
    </row>
    <row r="42" customFormat="false" ht="15" hidden="false" customHeight="false" outlineLevel="0" collapsed="false">
      <c r="A42" s="13" t="s">
        <v>89</v>
      </c>
      <c r="C42" s="21" t="n">
        <f aca="false">Assumptions!$C$4</f>
        <v>381240.65</v>
      </c>
      <c r="D42" s="21" t="n">
        <f aca="false">C45</f>
        <v>282840.5</v>
      </c>
      <c r="E42" s="21" t="n">
        <f aca="false">D45</f>
        <v>449176.92</v>
      </c>
      <c r="F42" s="21" t="n">
        <f aca="false">E45</f>
        <v>100857</v>
      </c>
      <c r="G42" s="21" t="n">
        <f aca="false">F45</f>
        <v>170790.53</v>
      </c>
      <c r="H42" s="21" t="n">
        <f aca="false">G45</f>
        <v>253974.51</v>
      </c>
      <c r="I42" s="21" t="n">
        <f aca="false">H45</f>
        <v>118636.62</v>
      </c>
      <c r="J42" s="21" t="n">
        <f aca="false">I45</f>
        <v>112976.38</v>
      </c>
      <c r="K42" s="21" t="n">
        <f aca="false">J45</f>
        <v>-66074.9400000001</v>
      </c>
      <c r="L42" s="21" t="n">
        <f aca="false">K45</f>
        <v>-11699.4800000001</v>
      </c>
      <c r="M42" s="21" t="n">
        <f aca="false">L45</f>
        <v>40860.0599999999</v>
      </c>
      <c r="N42" s="21" t="n">
        <f aca="false">M45</f>
        <v>42949.5799999999</v>
      </c>
      <c r="O42" s="21" t="n">
        <f aca="false">N45</f>
        <v>-10507.6100000001</v>
      </c>
    </row>
    <row r="43" customFormat="false" ht="15" hidden="false" customHeight="false" outlineLevel="0" collapsed="false">
      <c r="A43" s="11" t="s">
        <v>100</v>
      </c>
      <c r="B43" s="2" t="s">
        <v>125</v>
      </c>
      <c r="C43" s="15" t="n">
        <f aca="false">SUMIFS(Forecast_Lines!$J$4:$J$377,Forecast_Lines!$D$4:$D$377,"Receipt",Forecast_Lines!$U$4:$U$377,"Yes",Forecast_Lines!$Q$4:$Q$377,C$4)</f>
        <v>43422</v>
      </c>
      <c r="D43" s="15" t="n">
        <f aca="false">SUMIFS(Forecast_Lines!$J$4:$J$377,Forecast_Lines!$D$4:$D$377,"Receipt",Forecast_Lines!$U$4:$U$377,"Yes",Forecast_Lines!$Q$4:$Q$377,D$4)</f>
        <v>177048</v>
      </c>
      <c r="E43" s="15" t="n">
        <f aca="false">SUMIFS(Forecast_Lines!$J$4:$J$377,Forecast_Lines!$D$4:$D$377,"Receipt",Forecast_Lines!$U$4:$U$377,"Yes",Forecast_Lines!$Q$4:$Q$377,E$4)</f>
        <v>90984</v>
      </c>
      <c r="F43" s="15" t="n">
        <f aca="false">SUMIFS(Forecast_Lines!$J$4:$J$377,Forecast_Lines!$D$4:$D$377,"Receipt",Forecast_Lines!$U$4:$U$377,"Yes",Forecast_Lines!$Q$4:$Q$377,F$4)</f>
        <v>147432</v>
      </c>
      <c r="G43" s="15" t="n">
        <f aca="false">SUMIFS(Forecast_Lines!$J$4:$J$377,Forecast_Lines!$D$4:$D$377,"Receipt",Forecast_Lines!$U$4:$U$377,"Yes",Forecast_Lines!$Q$4:$Q$377,G$4)</f>
        <v>112196</v>
      </c>
      <c r="H43" s="15" t="n">
        <f aca="false">SUMIFS(Forecast_Lines!$J$4:$J$377,Forecast_Lines!$D$4:$D$377,"Receipt",Forecast_Lines!$U$4:$U$377,"Yes",Forecast_Lines!$Q$4:$Q$377,H$4)</f>
        <v>155832</v>
      </c>
      <c r="I43" s="15" t="n">
        <f aca="false">SUMIFS(Forecast_Lines!$J$4:$J$377,Forecast_Lines!$D$4:$D$377,"Receipt",Forecast_Lines!$U$4:$U$377,"Yes",Forecast_Lines!$Q$4:$Q$377,I$4)</f>
        <v>160612</v>
      </c>
      <c r="J43" s="15" t="n">
        <f aca="false">SUMIFS(Forecast_Lines!$J$4:$J$377,Forecast_Lines!$D$4:$D$377,"Receipt",Forecast_Lines!$U$4:$U$377,"Yes",Forecast_Lines!$Q$4:$Q$377,J$4)</f>
        <v>100634</v>
      </c>
      <c r="K43" s="15" t="n">
        <f aca="false">SUMIFS(Forecast_Lines!$J$4:$J$377,Forecast_Lines!$D$4:$D$377,"Receipt",Forecast_Lines!$U$4:$U$377,"Yes",Forecast_Lines!$Q$4:$Q$377,K$4)</f>
        <v>145490</v>
      </c>
      <c r="L43" s="15" t="n">
        <f aca="false">SUMIFS(Forecast_Lines!$J$4:$J$377,Forecast_Lines!$D$4:$D$377,"Receipt",Forecast_Lines!$U$4:$U$377,"Yes",Forecast_Lines!$Q$4:$Q$377,L$4)</f>
        <v>212784</v>
      </c>
      <c r="M43" s="15" t="n">
        <f aca="false">SUMIFS(Forecast_Lines!$J$4:$J$377,Forecast_Lines!$D$4:$D$377,"Receipt",Forecast_Lines!$U$4:$U$377,"Yes",Forecast_Lines!$Q$4:$Q$377,M$4)</f>
        <v>158708</v>
      </c>
      <c r="N43" s="15" t="n">
        <f aca="false">SUMIFS(Forecast_Lines!$J$4:$J$377,Forecast_Lines!$D$4:$D$377,"Receipt",Forecast_Lines!$U$4:$U$377,"Yes",Forecast_Lines!$Q$4:$Q$377,N$4)</f>
        <v>263910</v>
      </c>
      <c r="O43" s="15" t="n">
        <f aca="false">SUMIFS(Forecast_Lines!$J$4:$J$377,Forecast_Lines!$D$4:$D$377,"Receipt",Forecast_Lines!$U$4:$U$377,"Yes",Forecast_Lines!$Q$4:$Q$377,O$4)</f>
        <v>187280</v>
      </c>
      <c r="P43" s="15" t="n">
        <f aca="false">SUM(C43:O43)</f>
        <v>1956332</v>
      </c>
    </row>
    <row r="44" customFormat="false" ht="15" hidden="false" customHeight="false" outlineLevel="0" collapsed="false">
      <c r="A44" s="11" t="s">
        <v>116</v>
      </c>
      <c r="B44" s="2" t="s">
        <v>126</v>
      </c>
      <c r="C44" s="15" t="n">
        <f aca="false">SUMIFS(Forecast_Lines!$J$4:$J$377,Forecast_Lines!$D$4:$D$377,"Payment",Forecast_Lines!$Q$4:$Q$377,C$4)</f>
        <v>-141822.15</v>
      </c>
      <c r="D44" s="15" t="n">
        <f aca="false">SUMIFS(Forecast_Lines!$J$4:$J$377,Forecast_Lines!$D$4:$D$377,"Payment",Forecast_Lines!$Q$4:$Q$377,D$4)</f>
        <v>-10711.58</v>
      </c>
      <c r="E44" s="15" t="n">
        <f aca="false">SUMIFS(Forecast_Lines!$J$4:$J$377,Forecast_Lines!$D$4:$D$377,"Payment",Forecast_Lines!$Q$4:$Q$377,E$4)</f>
        <v>-439303.92</v>
      </c>
      <c r="F44" s="15" t="n">
        <f aca="false">SUMIFS(Forecast_Lines!$J$4:$J$377,Forecast_Lines!$D$4:$D$377,"Payment",Forecast_Lines!$Q$4:$Q$377,F$4)</f>
        <v>-77498.47</v>
      </c>
      <c r="G44" s="15" t="n">
        <f aca="false">SUMIFS(Forecast_Lines!$J$4:$J$377,Forecast_Lines!$D$4:$D$377,"Payment",Forecast_Lines!$Q$4:$Q$377,G$4)</f>
        <v>-29012.02</v>
      </c>
      <c r="H44" s="15" t="n">
        <f aca="false">SUMIFS(Forecast_Lines!$J$4:$J$377,Forecast_Lines!$D$4:$D$377,"Payment",Forecast_Lines!$Q$4:$Q$377,H$4)</f>
        <v>-291169.89</v>
      </c>
      <c r="I44" s="15" t="n">
        <f aca="false">SUMIFS(Forecast_Lines!$J$4:$J$377,Forecast_Lines!$D$4:$D$377,"Payment",Forecast_Lines!$Q$4:$Q$377,I$4)</f>
        <v>-166272.24</v>
      </c>
      <c r="J44" s="15" t="n">
        <f aca="false">SUMIFS(Forecast_Lines!$J$4:$J$377,Forecast_Lines!$D$4:$D$377,"Payment",Forecast_Lines!$Q$4:$Q$377,J$4)</f>
        <v>-279685.32</v>
      </c>
      <c r="K44" s="15" t="n">
        <f aca="false">SUMIFS(Forecast_Lines!$J$4:$J$377,Forecast_Lines!$D$4:$D$377,"Payment",Forecast_Lines!$Q$4:$Q$377,K$4)</f>
        <v>-91114.54</v>
      </c>
      <c r="L44" s="15" t="n">
        <f aca="false">SUMIFS(Forecast_Lines!$J$4:$J$377,Forecast_Lines!$D$4:$D$377,"Payment",Forecast_Lines!$Q$4:$Q$377,L$4)</f>
        <v>-160224.46</v>
      </c>
      <c r="M44" s="15" t="n">
        <f aca="false">SUMIFS(Forecast_Lines!$J$4:$J$377,Forecast_Lines!$D$4:$D$377,"Payment",Forecast_Lines!$Q$4:$Q$377,M$4)</f>
        <v>-156618.48</v>
      </c>
      <c r="N44" s="15" t="n">
        <f aca="false">SUMIFS(Forecast_Lines!$J$4:$J$377,Forecast_Lines!$D$4:$D$377,"Payment",Forecast_Lines!$Q$4:$Q$377,N$4)</f>
        <v>-317367.19</v>
      </c>
      <c r="O44" s="15" t="n">
        <f aca="false">SUMIFS(Forecast_Lines!$J$4:$J$377,Forecast_Lines!$D$4:$D$377,"Payment",Forecast_Lines!$Q$4:$Q$377,O$4)</f>
        <v>-112227.76</v>
      </c>
      <c r="P44" s="15" t="n">
        <f aca="false">SUM(C44:O44)</f>
        <v>-2273028.02</v>
      </c>
    </row>
    <row r="45" customFormat="false" ht="15" hidden="false" customHeight="false" outlineLevel="0" collapsed="false">
      <c r="A45" s="22" t="s">
        <v>127</v>
      </c>
      <c r="B45" s="23"/>
      <c r="C45" s="24" t="n">
        <f aca="false">C42+C43+C44</f>
        <v>282840.5</v>
      </c>
      <c r="D45" s="24" t="n">
        <f aca="false">D42+D43+D44</f>
        <v>449176.92</v>
      </c>
      <c r="E45" s="24" t="n">
        <f aca="false">E42+E43+E44</f>
        <v>100857</v>
      </c>
      <c r="F45" s="24" t="n">
        <f aca="false">F42+F43+F44</f>
        <v>170790.53</v>
      </c>
      <c r="G45" s="24" t="n">
        <f aca="false">G42+G43+G44</f>
        <v>253974.51</v>
      </c>
      <c r="H45" s="24" t="n">
        <f aca="false">H42+H43+H44</f>
        <v>118636.62</v>
      </c>
      <c r="I45" s="24" t="n">
        <f aca="false">I42+I43+I44</f>
        <v>112976.38</v>
      </c>
      <c r="J45" s="24" t="n">
        <f aca="false">J42+J43+J44</f>
        <v>-66074.9400000001</v>
      </c>
      <c r="K45" s="24" t="n">
        <f aca="false">K42+K43+K44</f>
        <v>-11699.4800000001</v>
      </c>
      <c r="L45" s="24" t="n">
        <f aca="false">L42+L43+L44</f>
        <v>40860.0599999999</v>
      </c>
      <c r="M45" s="24" t="n">
        <f aca="false">M42+M43+M44</f>
        <v>42949.5799999999</v>
      </c>
      <c r="N45" s="24" t="n">
        <f aca="false">N42+N43+N44</f>
        <v>-10507.6100000001</v>
      </c>
      <c r="O45" s="24" t="n">
        <f aca="false">O42+O43+O44</f>
        <v>64544.6299999999</v>
      </c>
    </row>
    <row r="46" customFormat="false" ht="15" hidden="false" customHeight="false" outlineLevel="0" collapsed="false">
      <c r="A46" s="11" t="s">
        <v>128</v>
      </c>
      <c r="B46" s="2"/>
      <c r="C46" s="15" t="n">
        <f aca="false">C45-C36</f>
        <v>0</v>
      </c>
      <c r="D46" s="15" t="n">
        <f aca="false">D45-D36</f>
        <v>0</v>
      </c>
      <c r="E46" s="15" t="n">
        <f aca="false">E45-E36</f>
        <v>0</v>
      </c>
      <c r="F46" s="15" t="n">
        <f aca="false">F45-F36</f>
        <v>0</v>
      </c>
      <c r="G46" s="15" t="n">
        <f aca="false">G45-G36</f>
        <v>0</v>
      </c>
      <c r="H46" s="15" t="n">
        <f aca="false">H45-H36</f>
        <v>0</v>
      </c>
      <c r="I46" s="15" t="n">
        <f aca="false">I45-I36</f>
        <v>-230400</v>
      </c>
      <c r="J46" s="15" t="n">
        <f aca="false">J45-J36</f>
        <v>-230400</v>
      </c>
      <c r="K46" s="15" t="n">
        <f aca="false">K45-K36</f>
        <v>-230400</v>
      </c>
      <c r="L46" s="15" t="n">
        <f aca="false">L45-L36</f>
        <v>-230400</v>
      </c>
      <c r="M46" s="15" t="n">
        <f aca="false">M45-M36</f>
        <v>-230400</v>
      </c>
      <c r="N46" s="15" t="n">
        <f aca="false">N45-N36</f>
        <v>-230400</v>
      </c>
      <c r="O46" s="15" t="n">
        <f aca="false">O45-O36</f>
        <v>-230400</v>
      </c>
    </row>
    <row r="47" customFormat="false" ht="15" hidden="false" customHeight="false" outlineLevel="0" collapsed="false">
      <c r="A47" s="13" t="s">
        <v>129</v>
      </c>
      <c r="B47" s="2"/>
      <c r="C47" s="20" t="str">
        <f aca="false">IF(C45&lt;-Assumptions!$C$6,"BEYOND OVERDRAFT",IF(C45&lt;0,"OVERDRAFT",IF(C45&lt;Assumptions!$C$5,"BELOW BUFFER","ok")))</f>
        <v>ok</v>
      </c>
      <c r="D47" s="20" t="str">
        <f aca="false">IF(D45&lt;-Assumptions!$C$6,"BEYOND OVERDRAFT",IF(D45&lt;0,"OVERDRAFT",IF(D45&lt;Assumptions!$C$5,"BELOW BUFFER","ok")))</f>
        <v>ok</v>
      </c>
      <c r="E47" s="20" t="str">
        <f aca="false">IF(E45&lt;-Assumptions!$C$6,"BEYOND OVERDRAFT",IF(E45&lt;0,"OVERDRAFT",IF(E45&lt;Assumptions!$C$5,"BELOW BUFFER","ok")))</f>
        <v>ok</v>
      </c>
      <c r="F47" s="20" t="str">
        <f aca="false">IF(F45&lt;-Assumptions!$C$6,"BEYOND OVERDRAFT",IF(F45&lt;0,"OVERDRAFT",IF(F45&lt;Assumptions!$C$5,"BELOW BUFFER","ok")))</f>
        <v>ok</v>
      </c>
      <c r="G47" s="20" t="str">
        <f aca="false">IF(G45&lt;-Assumptions!$C$6,"BEYOND OVERDRAFT",IF(G45&lt;0,"OVERDRAFT",IF(G45&lt;Assumptions!$C$5,"BELOW BUFFER","ok")))</f>
        <v>ok</v>
      </c>
      <c r="H47" s="20" t="str">
        <f aca="false">IF(H45&lt;-Assumptions!$C$6,"BEYOND OVERDRAFT",IF(H45&lt;0,"OVERDRAFT",IF(H45&lt;Assumptions!$C$5,"BELOW BUFFER","ok")))</f>
        <v>ok</v>
      </c>
      <c r="I47" s="20" t="str">
        <f aca="false">IF(I45&lt;-Assumptions!$C$6,"BEYOND OVERDRAFT",IF(I45&lt;0,"OVERDRAFT",IF(I45&lt;Assumptions!$C$5,"BELOW BUFFER","ok")))</f>
        <v>ok</v>
      </c>
      <c r="J47" s="20" t="str">
        <f aca="false">IF(J45&lt;-Assumptions!$C$6,"BEYOND OVERDRAFT",IF(J45&lt;0,"OVERDRAFT",IF(J45&lt;Assumptions!$C$5,"BELOW BUFFER","ok")))</f>
        <v>OVERDRAFT</v>
      </c>
      <c r="K47" s="20" t="str">
        <f aca="false">IF(K45&lt;-Assumptions!$C$6,"BEYOND OVERDRAFT",IF(K45&lt;0,"OVERDRAFT",IF(K45&lt;Assumptions!$C$5,"BELOW BUFFER","ok")))</f>
        <v>OVERDRAFT</v>
      </c>
      <c r="L47" s="20" t="str">
        <f aca="false">IF(L45&lt;-Assumptions!$C$6,"BEYOND OVERDRAFT",IF(L45&lt;0,"OVERDRAFT",IF(L45&lt;Assumptions!$C$5,"BELOW BUFFER","ok")))</f>
        <v>BELOW BUFFER</v>
      </c>
      <c r="M47" s="20" t="str">
        <f aca="false">IF(M45&lt;-Assumptions!$C$6,"BEYOND OVERDRAFT",IF(M45&lt;0,"OVERDRAFT",IF(M45&lt;Assumptions!$C$5,"BELOW BUFFER","ok")))</f>
        <v>BELOW BUFFER</v>
      </c>
      <c r="N47" s="20" t="str">
        <f aca="false">IF(N45&lt;-Assumptions!$C$6,"BEYOND OVERDRAFT",IF(N45&lt;0,"OVERDRAFT",IF(N45&lt;Assumptions!$C$5,"BELOW BUFFER","ok")))</f>
        <v>OVERDRAFT</v>
      </c>
      <c r="O47" s="20" t="str">
        <f aca="false">IF(O45&lt;-Assumptions!$C$6,"BEYOND OVERDRAFT",IF(O45&lt;0,"OVERDRAFT",IF(O45&lt;Assumptions!$C$5,"BELOW BUFFER","ok")))</f>
        <v>BELOW BUFFER</v>
      </c>
    </row>
    <row r="48" customFormat="false" ht="15" hidden="false" customHeight="false" outlineLevel="0" collapsed="false">
      <c r="A48" s="2" t="s">
        <v>130</v>
      </c>
      <c r="B48" s="2" t="s">
        <v>131</v>
      </c>
      <c r="C48" s="25" t="n">
        <f aca="false">IF(C45&lt;Assumptions!$C$5,1,0)</f>
        <v>0</v>
      </c>
      <c r="D48" s="25" t="n">
        <f aca="false">IF(D45&lt;Assumptions!$C$5,1,0)</f>
        <v>0</v>
      </c>
      <c r="E48" s="25" t="n">
        <f aca="false">IF(E45&lt;Assumptions!$C$5,1,0)</f>
        <v>0</v>
      </c>
      <c r="F48" s="25" t="n">
        <f aca="false">IF(F45&lt;Assumptions!$C$5,1,0)</f>
        <v>0</v>
      </c>
      <c r="G48" s="25" t="n">
        <f aca="false">IF(G45&lt;Assumptions!$C$5,1,0)</f>
        <v>0</v>
      </c>
      <c r="H48" s="25" t="n">
        <f aca="false">IF(H45&lt;Assumptions!$C$5,1,0)</f>
        <v>0</v>
      </c>
      <c r="I48" s="25" t="n">
        <f aca="false">IF(I45&lt;Assumptions!$C$5,1,0)</f>
        <v>0</v>
      </c>
      <c r="J48" s="25" t="n">
        <f aca="false">IF(J45&lt;Assumptions!$C$5,1,0)</f>
        <v>1</v>
      </c>
      <c r="K48" s="25" t="n">
        <f aca="false">IF(K45&lt;Assumptions!$C$5,1,0)</f>
        <v>1</v>
      </c>
      <c r="L48" s="25" t="n">
        <f aca="false">IF(L45&lt;Assumptions!$C$5,1,0)</f>
        <v>1</v>
      </c>
      <c r="M48" s="25" t="n">
        <f aca="false">IF(M45&lt;Assumptions!$C$5,1,0)</f>
        <v>1</v>
      </c>
      <c r="N48" s="25" t="n">
        <f aca="false">IF(N45&lt;Assumptions!$C$5,1,0)</f>
        <v>1</v>
      </c>
      <c r="O48" s="25" t="n">
        <f aca="false">IF(O45&lt;Assumptions!$C$5,1,0)</f>
        <v>1</v>
      </c>
    </row>
    <row r="50" customFormat="false" ht="15" hidden="false" customHeight="false" outlineLevel="0" collapsed="false">
      <c r="A50" s="4" t="s">
        <v>132</v>
      </c>
    </row>
    <row r="51" customFormat="false" ht="15" hidden="false" customHeight="false" outlineLevel="0" collapsed="false">
      <c r="A51" s="13" t="s">
        <v>89</v>
      </c>
      <c r="C51" s="21" t="n">
        <f aca="false">Assumptions!$C$4</f>
        <v>381240.65</v>
      </c>
      <c r="D51" s="21" t="n">
        <f aca="false">C54</f>
        <v>271092.5</v>
      </c>
      <c r="E51" s="21" t="n">
        <f aca="false">D54</f>
        <v>332416.92</v>
      </c>
      <c r="F51" s="21" t="n">
        <f aca="false">E54</f>
        <v>-32655</v>
      </c>
      <c r="G51" s="21" t="n">
        <f aca="false">F54</f>
        <v>33558.53</v>
      </c>
      <c r="H51" s="21" t="n">
        <f aca="false">G54</f>
        <v>139770.51</v>
      </c>
      <c r="I51" s="21" t="n">
        <f aca="false">H54</f>
        <v>1012.62</v>
      </c>
      <c r="J51" s="21" t="n">
        <f aca="false">I54</f>
        <v>-38427.62</v>
      </c>
      <c r="K51" s="21" t="n">
        <f aca="false">J54</f>
        <v>-200126.94</v>
      </c>
      <c r="L51" s="21" t="n">
        <f aca="false">K54</f>
        <v>-138947.48</v>
      </c>
      <c r="M51" s="21" t="n">
        <f aca="false">L54</f>
        <v>-161495.94</v>
      </c>
      <c r="N51" s="21" t="n">
        <f aca="false">M54</f>
        <v>-175186.42</v>
      </c>
      <c r="O51" s="21" t="n">
        <f aca="false">N54</f>
        <v>-197767.61</v>
      </c>
    </row>
    <row r="52" customFormat="false" ht="15" hidden="false" customHeight="false" outlineLevel="0" collapsed="false">
      <c r="A52" s="11" t="s">
        <v>100</v>
      </c>
      <c r="B52" s="2" t="s">
        <v>133</v>
      </c>
      <c r="C52" s="15" t="n">
        <f aca="false">SUMIFS(Forecast_Lines!$J$4:$J$377,Forecast_Lines!$D$4:$D$377,"Receipt",Forecast_Lines!$U$4:$U$377,"Yes",Forecast_Lines!$S$4:$S$377,C$4)</f>
        <v>31674</v>
      </c>
      <c r="D52" s="15" t="n">
        <f aca="false">SUMIFS(Forecast_Lines!$J$4:$J$377,Forecast_Lines!$D$4:$D$377,"Receipt",Forecast_Lines!$U$4:$U$377,"Yes",Forecast_Lines!$S$4:$S$377,D$4)</f>
        <v>72036</v>
      </c>
      <c r="E52" s="15" t="n">
        <f aca="false">SUMIFS(Forecast_Lines!$J$4:$J$377,Forecast_Lines!$D$4:$D$377,"Receipt",Forecast_Lines!$U$4:$U$377,"Yes",Forecast_Lines!$S$4:$S$377,E$4)</f>
        <v>74232</v>
      </c>
      <c r="F52" s="15" t="n">
        <f aca="false">SUMIFS(Forecast_Lines!$J$4:$J$377,Forecast_Lines!$D$4:$D$377,"Receipt",Forecast_Lines!$U$4:$U$377,"Yes",Forecast_Lines!$S$4:$S$377,F$4)</f>
        <v>143712</v>
      </c>
      <c r="G52" s="15" t="n">
        <f aca="false">SUMIFS(Forecast_Lines!$J$4:$J$377,Forecast_Lines!$D$4:$D$377,"Receipt",Forecast_Lines!$U$4:$U$377,"Yes",Forecast_Lines!$S$4:$S$377,G$4)</f>
        <v>135224</v>
      </c>
      <c r="H52" s="15" t="n">
        <f aca="false">SUMIFS(Forecast_Lines!$J$4:$J$377,Forecast_Lines!$D$4:$D$377,"Receipt",Forecast_Lines!$U$4:$U$377,"Yes",Forecast_Lines!$S$4:$S$377,H$4)</f>
        <v>152412</v>
      </c>
      <c r="I52" s="15" t="n">
        <f aca="false">SUMIFS(Forecast_Lines!$J$4:$J$377,Forecast_Lines!$D$4:$D$377,"Receipt",Forecast_Lines!$U$4:$U$377,"Yes",Forecast_Lines!$S$4:$S$377,I$4)</f>
        <v>126832</v>
      </c>
      <c r="J52" s="15" t="n">
        <f aca="false">SUMIFS(Forecast_Lines!$J$4:$J$377,Forecast_Lines!$D$4:$D$377,"Receipt",Forecast_Lines!$U$4:$U$377,"Yes",Forecast_Lines!$S$4:$S$377,J$4)</f>
        <v>117986</v>
      </c>
      <c r="K52" s="15" t="n">
        <f aca="false">SUMIFS(Forecast_Lines!$J$4:$J$377,Forecast_Lines!$D$4:$D$377,"Receipt",Forecast_Lines!$U$4:$U$377,"Yes",Forecast_Lines!$S$4:$S$377,K$4)</f>
        <v>152294</v>
      </c>
      <c r="L52" s="15" t="n">
        <f aca="false">SUMIFS(Forecast_Lines!$J$4:$J$377,Forecast_Lines!$D$4:$D$377,"Receipt",Forecast_Lines!$U$4:$U$377,"Yes",Forecast_Lines!$S$4:$S$377,L$4)</f>
        <v>137676</v>
      </c>
      <c r="M52" s="15" t="n">
        <f aca="false">SUMIFS(Forecast_Lines!$J$4:$J$377,Forecast_Lines!$D$4:$D$377,"Receipt",Forecast_Lines!$U$4:$U$377,"Yes",Forecast_Lines!$S$4:$S$377,M$4)</f>
        <v>142928</v>
      </c>
      <c r="N52" s="15" t="n">
        <f aca="false">SUMIFS(Forecast_Lines!$J$4:$J$377,Forecast_Lines!$D$4:$D$377,"Receipt",Forecast_Lines!$U$4:$U$377,"Yes",Forecast_Lines!$S$4:$S$377,N$4)</f>
        <v>294786</v>
      </c>
      <c r="O52" s="15" t="n">
        <f aca="false">SUMIFS(Forecast_Lines!$J$4:$J$377,Forecast_Lines!$D$4:$D$377,"Receipt",Forecast_Lines!$U$4:$U$377,"Yes",Forecast_Lines!$S$4:$S$377,O$4)</f>
        <v>195917.6</v>
      </c>
      <c r="P52" s="15" t="n">
        <f aca="false">SUM(C52:O52)</f>
        <v>1777709.6</v>
      </c>
    </row>
    <row r="53" customFormat="false" ht="15" hidden="false" customHeight="false" outlineLevel="0" collapsed="false">
      <c r="A53" s="11" t="s">
        <v>116</v>
      </c>
      <c r="B53" s="2" t="s">
        <v>126</v>
      </c>
      <c r="C53" s="15" t="n">
        <f aca="false">SUMIFS(Forecast_Lines!$J$4:$J$377,Forecast_Lines!$D$4:$D$377,"Payment",Forecast_Lines!$S$4:$S$377,C$4)</f>
        <v>-141822.15</v>
      </c>
      <c r="D53" s="15" t="n">
        <f aca="false">SUMIFS(Forecast_Lines!$J$4:$J$377,Forecast_Lines!$D$4:$D$377,"Payment",Forecast_Lines!$S$4:$S$377,D$4)</f>
        <v>-10711.58</v>
      </c>
      <c r="E53" s="15" t="n">
        <f aca="false">SUMIFS(Forecast_Lines!$J$4:$J$377,Forecast_Lines!$D$4:$D$377,"Payment",Forecast_Lines!$S$4:$S$377,E$4)</f>
        <v>-439303.92</v>
      </c>
      <c r="F53" s="15" t="n">
        <f aca="false">SUMIFS(Forecast_Lines!$J$4:$J$377,Forecast_Lines!$D$4:$D$377,"Payment",Forecast_Lines!$S$4:$S$377,F$4)</f>
        <v>-77498.47</v>
      </c>
      <c r="G53" s="15" t="n">
        <f aca="false">SUMIFS(Forecast_Lines!$J$4:$J$377,Forecast_Lines!$D$4:$D$377,"Payment",Forecast_Lines!$S$4:$S$377,G$4)</f>
        <v>-29012.02</v>
      </c>
      <c r="H53" s="15" t="n">
        <f aca="false">SUMIFS(Forecast_Lines!$J$4:$J$377,Forecast_Lines!$D$4:$D$377,"Payment",Forecast_Lines!$S$4:$S$377,H$4)</f>
        <v>-291169.89</v>
      </c>
      <c r="I53" s="15" t="n">
        <f aca="false">SUMIFS(Forecast_Lines!$J$4:$J$377,Forecast_Lines!$D$4:$D$377,"Payment",Forecast_Lines!$S$4:$S$377,I$4)</f>
        <v>-166272.24</v>
      </c>
      <c r="J53" s="15" t="n">
        <f aca="false">SUMIFS(Forecast_Lines!$J$4:$J$377,Forecast_Lines!$D$4:$D$377,"Payment",Forecast_Lines!$S$4:$S$377,J$4)</f>
        <v>-279685.32</v>
      </c>
      <c r="K53" s="15" t="n">
        <f aca="false">SUMIFS(Forecast_Lines!$J$4:$J$377,Forecast_Lines!$D$4:$D$377,"Payment",Forecast_Lines!$S$4:$S$377,K$4)</f>
        <v>-91114.54</v>
      </c>
      <c r="L53" s="15" t="n">
        <f aca="false">SUMIFS(Forecast_Lines!$J$4:$J$377,Forecast_Lines!$D$4:$D$377,"Payment",Forecast_Lines!$S$4:$S$377,L$4)</f>
        <v>-160224.46</v>
      </c>
      <c r="M53" s="15" t="n">
        <f aca="false">SUMIFS(Forecast_Lines!$J$4:$J$377,Forecast_Lines!$D$4:$D$377,"Payment",Forecast_Lines!$S$4:$S$377,M$4)</f>
        <v>-156618.48</v>
      </c>
      <c r="N53" s="15" t="n">
        <f aca="false">SUMIFS(Forecast_Lines!$J$4:$J$377,Forecast_Lines!$D$4:$D$377,"Payment",Forecast_Lines!$S$4:$S$377,N$4)</f>
        <v>-317367.19</v>
      </c>
      <c r="O53" s="15" t="n">
        <f aca="false">SUMIFS(Forecast_Lines!$J$4:$J$377,Forecast_Lines!$D$4:$D$377,"Payment",Forecast_Lines!$S$4:$S$377,O$4)</f>
        <v>-112227.76</v>
      </c>
      <c r="P53" s="15" t="n">
        <f aca="false">SUM(C53:O53)</f>
        <v>-2273028.02</v>
      </c>
    </row>
    <row r="54" customFormat="false" ht="15" hidden="false" customHeight="false" outlineLevel="0" collapsed="false">
      <c r="A54" s="22" t="s">
        <v>134</v>
      </c>
      <c r="B54" s="23"/>
      <c r="C54" s="24" t="n">
        <f aca="false">C51+C52+C53</f>
        <v>271092.5</v>
      </c>
      <c r="D54" s="24" t="n">
        <f aca="false">D51+D52+D53</f>
        <v>332416.92</v>
      </c>
      <c r="E54" s="24" t="n">
        <f aca="false">E51+E52+E53</f>
        <v>-32655</v>
      </c>
      <c r="F54" s="24" t="n">
        <f aca="false">F51+F52+F53</f>
        <v>33558.53</v>
      </c>
      <c r="G54" s="24" t="n">
        <f aca="false">G51+G52+G53</f>
        <v>139770.51</v>
      </c>
      <c r="H54" s="24" t="n">
        <f aca="false">H51+H52+H53</f>
        <v>1012.62</v>
      </c>
      <c r="I54" s="24" t="n">
        <f aca="false">I51+I52+I53</f>
        <v>-38427.62</v>
      </c>
      <c r="J54" s="24" t="n">
        <f aca="false">J51+J52+J53</f>
        <v>-200126.94</v>
      </c>
      <c r="K54" s="24" t="n">
        <f aca="false">K51+K52+K53</f>
        <v>-138947.48</v>
      </c>
      <c r="L54" s="24" t="n">
        <f aca="false">L51+L52+L53</f>
        <v>-161495.94</v>
      </c>
      <c r="M54" s="24" t="n">
        <f aca="false">M51+M52+M53</f>
        <v>-175186.42</v>
      </c>
      <c r="N54" s="24" t="n">
        <f aca="false">N51+N52+N53</f>
        <v>-197767.61</v>
      </c>
      <c r="O54" s="24" t="n">
        <f aca="false">O51+O52+O53</f>
        <v>-114077.77</v>
      </c>
    </row>
    <row r="55" customFormat="false" ht="15" hidden="false" customHeight="false" outlineLevel="0" collapsed="false">
      <c r="A55" s="11" t="s">
        <v>128</v>
      </c>
      <c r="B55" s="2"/>
      <c r="C55" s="15" t="n">
        <f aca="false">C54-C36</f>
        <v>-11748</v>
      </c>
      <c r="D55" s="15" t="n">
        <f aca="false">D54-D36</f>
        <v>-116760</v>
      </c>
      <c r="E55" s="15" t="n">
        <f aca="false">E54-E36</f>
        <v>-133512</v>
      </c>
      <c r="F55" s="15" t="n">
        <f aca="false">F54-F36</f>
        <v>-137232</v>
      </c>
      <c r="G55" s="15" t="n">
        <f aca="false">G54-G36</f>
        <v>-114204</v>
      </c>
      <c r="H55" s="15" t="n">
        <f aca="false">H54-H36</f>
        <v>-117624</v>
      </c>
      <c r="I55" s="15" t="n">
        <f aca="false">I54-I36</f>
        <v>-381804</v>
      </c>
      <c r="J55" s="15" t="n">
        <f aca="false">J54-J36</f>
        <v>-364452</v>
      </c>
      <c r="K55" s="15" t="n">
        <f aca="false">K54-K36</f>
        <v>-357648</v>
      </c>
      <c r="L55" s="15" t="n">
        <f aca="false">L54-L36</f>
        <v>-432756</v>
      </c>
      <c r="M55" s="15" t="n">
        <f aca="false">M54-M36</f>
        <v>-448536</v>
      </c>
      <c r="N55" s="15" t="n">
        <f aca="false">N54-N36</f>
        <v>-417660</v>
      </c>
      <c r="O55" s="15" t="n">
        <f aca="false">O54-O36</f>
        <v>-409022.4</v>
      </c>
    </row>
    <row r="56" customFormat="false" ht="15" hidden="false" customHeight="false" outlineLevel="0" collapsed="false">
      <c r="A56" s="13" t="s">
        <v>135</v>
      </c>
      <c r="B56" s="2"/>
      <c r="C56" s="20" t="str">
        <f aca="false">IF(C54&lt;-Assumptions!$C$6,"BEYOND OVERDRAFT",IF(C54&lt;0,"OVERDRAFT",IF(C54&lt;Assumptions!$C$5,"BELOW BUFFER","ok")))</f>
        <v>ok</v>
      </c>
      <c r="D56" s="20" t="str">
        <f aca="false">IF(D54&lt;-Assumptions!$C$6,"BEYOND OVERDRAFT",IF(D54&lt;0,"OVERDRAFT",IF(D54&lt;Assumptions!$C$5,"BELOW BUFFER","ok")))</f>
        <v>ok</v>
      </c>
      <c r="E56" s="20" t="str">
        <f aca="false">IF(E54&lt;-Assumptions!$C$6,"BEYOND OVERDRAFT",IF(E54&lt;0,"OVERDRAFT",IF(E54&lt;Assumptions!$C$5,"BELOW BUFFER","ok")))</f>
        <v>OVERDRAFT</v>
      </c>
      <c r="F56" s="20" t="str">
        <f aca="false">IF(F54&lt;-Assumptions!$C$6,"BEYOND OVERDRAFT",IF(F54&lt;0,"OVERDRAFT",IF(F54&lt;Assumptions!$C$5,"BELOW BUFFER","ok")))</f>
        <v>BELOW BUFFER</v>
      </c>
      <c r="G56" s="20" t="str">
        <f aca="false">IF(G54&lt;-Assumptions!$C$6,"BEYOND OVERDRAFT",IF(G54&lt;0,"OVERDRAFT",IF(G54&lt;Assumptions!$C$5,"BELOW BUFFER","ok")))</f>
        <v>ok</v>
      </c>
      <c r="H56" s="20" t="str">
        <f aca="false">IF(H54&lt;-Assumptions!$C$6,"BEYOND OVERDRAFT",IF(H54&lt;0,"OVERDRAFT",IF(H54&lt;Assumptions!$C$5,"BELOW BUFFER","ok")))</f>
        <v>BELOW BUFFER</v>
      </c>
      <c r="I56" s="20" t="str">
        <f aca="false">IF(I54&lt;-Assumptions!$C$6,"BEYOND OVERDRAFT",IF(I54&lt;0,"OVERDRAFT",IF(I54&lt;Assumptions!$C$5,"BELOW BUFFER","ok")))</f>
        <v>OVERDRAFT</v>
      </c>
      <c r="J56" s="20" t="str">
        <f aca="false">IF(J54&lt;-Assumptions!$C$6,"BEYOND OVERDRAFT",IF(J54&lt;0,"OVERDRAFT",IF(J54&lt;Assumptions!$C$5,"BELOW BUFFER","ok")))</f>
        <v>BEYOND OVERDRAFT</v>
      </c>
      <c r="K56" s="20" t="str">
        <f aca="false">IF(K54&lt;-Assumptions!$C$6,"BEYOND OVERDRAFT",IF(K54&lt;0,"OVERDRAFT",IF(K54&lt;Assumptions!$C$5,"BELOW BUFFER","ok")))</f>
        <v>OVERDRAFT</v>
      </c>
      <c r="L56" s="20" t="str">
        <f aca="false">IF(L54&lt;-Assumptions!$C$6,"BEYOND OVERDRAFT",IF(L54&lt;0,"OVERDRAFT",IF(L54&lt;Assumptions!$C$5,"BELOW BUFFER","ok")))</f>
        <v>BEYOND OVERDRAFT</v>
      </c>
      <c r="M56" s="20" t="str">
        <f aca="false">IF(M54&lt;-Assumptions!$C$6,"BEYOND OVERDRAFT",IF(M54&lt;0,"OVERDRAFT",IF(M54&lt;Assumptions!$C$5,"BELOW BUFFER","ok")))</f>
        <v>BEYOND OVERDRAFT</v>
      </c>
      <c r="N56" s="20" t="str">
        <f aca="false">IF(N54&lt;-Assumptions!$C$6,"BEYOND OVERDRAFT",IF(N54&lt;0,"OVERDRAFT",IF(N54&lt;Assumptions!$C$5,"BELOW BUFFER","ok")))</f>
        <v>BEYOND OVERDRAFT</v>
      </c>
      <c r="O56" s="20" t="str">
        <f aca="false">IF(O54&lt;-Assumptions!$C$6,"BEYOND OVERDRAFT",IF(O54&lt;0,"OVERDRAFT",IF(O54&lt;Assumptions!$C$5,"BELOW BUFFER","ok")))</f>
        <v>OVERDRAFT</v>
      </c>
    </row>
    <row r="57" customFormat="false" ht="15" hidden="false" customHeight="false" outlineLevel="0" collapsed="false">
      <c r="A57" s="2" t="s">
        <v>136</v>
      </c>
      <c r="B57" s="2" t="s">
        <v>131</v>
      </c>
      <c r="C57" s="25" t="n">
        <f aca="false">IF(C54&lt;Assumptions!$C$5,1,0)</f>
        <v>0</v>
      </c>
      <c r="D57" s="25" t="n">
        <f aca="false">IF(D54&lt;Assumptions!$C$5,1,0)</f>
        <v>0</v>
      </c>
      <c r="E57" s="25" t="n">
        <f aca="false">IF(E54&lt;Assumptions!$C$5,1,0)</f>
        <v>1</v>
      </c>
      <c r="F57" s="25" t="n">
        <f aca="false">IF(F54&lt;Assumptions!$C$5,1,0)</f>
        <v>1</v>
      </c>
      <c r="G57" s="25" t="n">
        <f aca="false">IF(G54&lt;Assumptions!$C$5,1,0)</f>
        <v>0</v>
      </c>
      <c r="H57" s="25" t="n">
        <f aca="false">IF(H54&lt;Assumptions!$C$5,1,0)</f>
        <v>1</v>
      </c>
      <c r="I57" s="25" t="n">
        <f aca="false">IF(I54&lt;Assumptions!$C$5,1,0)</f>
        <v>1</v>
      </c>
      <c r="J57" s="25" t="n">
        <f aca="false">IF(J54&lt;Assumptions!$C$5,1,0)</f>
        <v>1</v>
      </c>
      <c r="K57" s="25" t="n">
        <f aca="false">IF(K54&lt;Assumptions!$C$5,1,0)</f>
        <v>1</v>
      </c>
      <c r="L57" s="25" t="n">
        <f aca="false">IF(L54&lt;Assumptions!$C$5,1,0)</f>
        <v>1</v>
      </c>
      <c r="M57" s="25" t="n">
        <f aca="false">IF(M54&lt;Assumptions!$C$5,1,0)</f>
        <v>1</v>
      </c>
      <c r="N57" s="25" t="n">
        <f aca="false">IF(N54&lt;Assumptions!$C$5,1,0)</f>
        <v>1</v>
      </c>
      <c r="O57" s="25" t="n">
        <f aca="false">IF(O54&lt;Assumptions!$C$5,1,0)</f>
        <v>1</v>
      </c>
    </row>
    <row r="59" customFormat="false" ht="15" hidden="false" customHeight="false" outlineLevel="0" collapsed="false">
      <c r="A59" s="4" t="s">
        <v>137</v>
      </c>
    </row>
    <row r="60" customFormat="false" ht="15" hidden="false" customHeight="false" outlineLevel="0" collapsed="false">
      <c r="A60" s="2" t="s">
        <v>138</v>
      </c>
    </row>
    <row r="61" customFormat="false" ht="15" hidden="false" customHeight="false" outlineLevel="0" collapsed="false">
      <c r="A61" s="11" t="s">
        <v>139</v>
      </c>
      <c r="B61" s="2" t="s">
        <v>140</v>
      </c>
      <c r="C61" s="15" t="n">
        <v>312708</v>
      </c>
      <c r="D61" s="15" t="n">
        <v>421505</v>
      </c>
      <c r="E61" s="15" t="n">
        <v>78240</v>
      </c>
      <c r="F61" s="15" t="n">
        <v>131307</v>
      </c>
      <c r="G61" s="15" t="n">
        <v>249962</v>
      </c>
      <c r="H61" s="15" t="n">
        <v>100091</v>
      </c>
      <c r="I61" s="15" t="n">
        <v>303365</v>
      </c>
      <c r="J61" s="15" t="n">
        <v>169674</v>
      </c>
      <c r="K61" s="15" t="n">
        <v>216208</v>
      </c>
      <c r="L61" s="15" t="n">
        <v>247233</v>
      </c>
      <c r="M61" s="15" t="n">
        <v>243925</v>
      </c>
      <c r="N61" s="15" t="n">
        <v>92665</v>
      </c>
      <c r="O61" s="15" t="n">
        <v>180265</v>
      </c>
    </row>
    <row r="62" customFormat="false" ht="15" hidden="false" customHeight="false" outlineLevel="0" collapsed="false">
      <c r="A62" s="11" t="s">
        <v>141</v>
      </c>
      <c r="B62" s="2" t="s">
        <v>140</v>
      </c>
      <c r="C62" s="15" t="n">
        <v>341561</v>
      </c>
      <c r="D62" s="15" t="n">
        <v>459515</v>
      </c>
      <c r="E62" s="15" t="n">
        <v>125905</v>
      </c>
      <c r="F62" s="15" t="n">
        <v>182531</v>
      </c>
      <c r="G62" s="15" t="n">
        <v>299356</v>
      </c>
      <c r="H62" s="15" t="n">
        <v>152279</v>
      </c>
      <c r="I62" s="15" t="n">
        <v>353322</v>
      </c>
      <c r="J62" s="15" t="n">
        <v>218283</v>
      </c>
      <c r="K62" s="15" t="n">
        <v>263638</v>
      </c>
      <c r="L62" s="15" t="n">
        <v>313727</v>
      </c>
      <c r="M62" s="15" t="n">
        <v>315864</v>
      </c>
      <c r="N62" s="15" t="n">
        <v>214148</v>
      </c>
      <c r="O62" s="15" t="n">
        <v>319452</v>
      </c>
    </row>
    <row r="63" customFormat="false" ht="15" hidden="false" customHeight="false" outlineLevel="0" collapsed="false">
      <c r="A63" s="11" t="s">
        <v>142</v>
      </c>
      <c r="B63" s="2" t="s">
        <v>140</v>
      </c>
      <c r="C63" s="15" t="n">
        <v>378223</v>
      </c>
      <c r="D63" s="15" t="n">
        <v>505876</v>
      </c>
      <c r="E63" s="15" t="n">
        <v>171788</v>
      </c>
      <c r="F63" s="15" t="n">
        <v>228454</v>
      </c>
      <c r="G63" s="15" t="n">
        <v>352090</v>
      </c>
      <c r="H63" s="15" t="n">
        <v>204503</v>
      </c>
      <c r="I63" s="15" t="n">
        <v>398801</v>
      </c>
      <c r="J63" s="15" t="n">
        <v>262272</v>
      </c>
      <c r="K63" s="15" t="n">
        <v>313696</v>
      </c>
      <c r="L63" s="15" t="n">
        <v>437705</v>
      </c>
      <c r="M63" s="15" t="n">
        <v>440364</v>
      </c>
      <c r="N63" s="15" t="n">
        <v>291621</v>
      </c>
      <c r="O63" s="15" t="n">
        <v>488236</v>
      </c>
    </row>
    <row r="64" customFormat="false" ht="15" hidden="false" customHeight="false" outlineLevel="0" collapsed="false">
      <c r="A64" s="11" t="s">
        <v>143</v>
      </c>
      <c r="B64" s="2" t="s">
        <v>144</v>
      </c>
      <c r="C64" s="26" t="n">
        <v>0</v>
      </c>
      <c r="D64" s="26" t="n">
        <v>0</v>
      </c>
      <c r="E64" s="26" t="n">
        <v>0.254</v>
      </c>
      <c r="F64" s="26" t="n">
        <v>0.015</v>
      </c>
      <c r="G64" s="26" t="n">
        <v>0</v>
      </c>
      <c r="H64" s="26" t="n">
        <v>0.099</v>
      </c>
      <c r="I64" s="26" t="n">
        <v>0</v>
      </c>
      <c r="J64" s="26" t="n">
        <v>0.001</v>
      </c>
      <c r="K64" s="26" t="n">
        <v>0</v>
      </c>
      <c r="L64" s="26" t="n">
        <v>0</v>
      </c>
      <c r="M64" s="26" t="n">
        <v>0</v>
      </c>
      <c r="N64" s="26" t="n">
        <v>0.122</v>
      </c>
      <c r="O64" s="26" t="n">
        <v>0.006</v>
      </c>
    </row>
    <row r="65" customFormat="false" ht="15" hidden="false" customHeight="false" outlineLevel="0" collapsed="false">
      <c r="A65" s="11" t="s">
        <v>145</v>
      </c>
      <c r="B65" s="2" t="s">
        <v>140</v>
      </c>
      <c r="C65" s="15" t="n">
        <v>312708</v>
      </c>
      <c r="D65" s="15" t="n">
        <v>421505</v>
      </c>
      <c r="E65" s="15" t="n">
        <v>78240</v>
      </c>
      <c r="F65" s="15" t="n">
        <v>131307</v>
      </c>
      <c r="G65" s="15" t="n">
        <v>249962</v>
      </c>
      <c r="H65" s="15" t="n">
        <v>100091</v>
      </c>
      <c r="I65" s="15" t="n">
        <v>72965</v>
      </c>
      <c r="J65" s="15" t="n">
        <v>-60726</v>
      </c>
      <c r="K65" s="15" t="n">
        <v>-14192</v>
      </c>
      <c r="L65" s="15" t="n">
        <v>16833</v>
      </c>
      <c r="M65" s="15" t="n">
        <v>13525</v>
      </c>
      <c r="N65" s="15" t="n">
        <v>-137735</v>
      </c>
      <c r="O65" s="15" t="n">
        <v>-9022</v>
      </c>
    </row>
    <row r="66" customFormat="false" ht="15" hidden="false" customHeight="false" outlineLevel="0" collapsed="false">
      <c r="A66" s="11" t="s">
        <v>146</v>
      </c>
      <c r="B66" s="2" t="s">
        <v>140</v>
      </c>
      <c r="C66" s="15" t="n">
        <v>341561</v>
      </c>
      <c r="D66" s="15" t="n">
        <v>459515</v>
      </c>
      <c r="E66" s="15" t="n">
        <v>125905</v>
      </c>
      <c r="F66" s="15" t="n">
        <v>182531</v>
      </c>
      <c r="G66" s="15" t="n">
        <v>299356</v>
      </c>
      <c r="H66" s="15" t="n">
        <v>152279</v>
      </c>
      <c r="I66" s="15" t="n">
        <v>122922</v>
      </c>
      <c r="J66" s="15" t="n">
        <v>-12117</v>
      </c>
      <c r="K66" s="15" t="n">
        <v>33238</v>
      </c>
      <c r="L66" s="15" t="n">
        <v>83327</v>
      </c>
      <c r="M66" s="15" t="n">
        <v>85464</v>
      </c>
      <c r="N66" s="15" t="n">
        <v>-16252</v>
      </c>
      <c r="O66" s="15" t="n">
        <v>206929</v>
      </c>
    </row>
    <row r="67" customFormat="false" ht="15" hidden="false" customHeight="false" outlineLevel="0" collapsed="false">
      <c r="A67" s="11" t="s">
        <v>147</v>
      </c>
      <c r="B67" s="2" t="s">
        <v>140</v>
      </c>
      <c r="C67" s="15" t="n">
        <v>378223</v>
      </c>
      <c r="D67" s="15" t="n">
        <v>505876</v>
      </c>
      <c r="E67" s="15" t="n">
        <v>171788</v>
      </c>
      <c r="F67" s="15" t="n">
        <v>228454</v>
      </c>
      <c r="G67" s="15" t="n">
        <v>352090</v>
      </c>
      <c r="H67" s="15" t="n">
        <v>204503</v>
      </c>
      <c r="I67" s="15" t="n">
        <v>168401</v>
      </c>
      <c r="J67" s="15" t="n">
        <v>31872</v>
      </c>
      <c r="K67" s="15" t="n">
        <v>83296</v>
      </c>
      <c r="L67" s="15" t="n">
        <v>207305</v>
      </c>
      <c r="M67" s="15" t="n">
        <v>209964</v>
      </c>
      <c r="N67" s="15" t="n">
        <v>61221</v>
      </c>
      <c r="O67" s="15" t="n">
        <v>346611</v>
      </c>
    </row>
    <row r="68" customFormat="false" ht="15" hidden="false" customHeight="false" outlineLevel="0" collapsed="false">
      <c r="A68" s="11" t="s">
        <v>148</v>
      </c>
      <c r="B68" s="2" t="s">
        <v>144</v>
      </c>
      <c r="C68" s="26" t="n">
        <v>0</v>
      </c>
      <c r="D68" s="26" t="n">
        <v>0</v>
      </c>
      <c r="E68" s="26" t="n">
        <v>0.254</v>
      </c>
      <c r="F68" s="26" t="n">
        <v>0.015</v>
      </c>
      <c r="G68" s="26" t="n">
        <v>0</v>
      </c>
      <c r="H68" s="26" t="n">
        <v>0.099</v>
      </c>
      <c r="I68" s="26" t="n">
        <v>0.272</v>
      </c>
      <c r="J68" s="26" t="n">
        <v>0.998</v>
      </c>
      <c r="K68" s="26" t="n">
        <v>0.96</v>
      </c>
      <c r="L68" s="26" t="n">
        <v>0.578</v>
      </c>
      <c r="M68" s="26" t="n">
        <v>0.566</v>
      </c>
      <c r="N68" s="26" t="n">
        <v>0.98</v>
      </c>
      <c r="O68" s="26" t="n">
        <v>0.279</v>
      </c>
    </row>
    <row r="70" customFormat="false" ht="15" hidden="false" customHeight="false" outlineLevel="0" collapsed="false">
      <c r="A70" s="4" t="s">
        <v>149</v>
      </c>
    </row>
    <row r="71" customFormat="false" ht="15" hidden="false" customHeight="false" outlineLevel="0" collapsed="false">
      <c r="A71" s="13" t="s">
        <v>150</v>
      </c>
      <c r="B71" s="2"/>
      <c r="C71" s="14" t="n">
        <v>282840</v>
      </c>
      <c r="D71" s="14" t="n">
        <v>454997</v>
      </c>
      <c r="E71" s="14" t="n">
        <v>106677</v>
      </c>
      <c r="F71" s="14" t="n">
        <v>214735</v>
      </c>
      <c r="G71" s="14" t="n">
        <v>313879</v>
      </c>
      <c r="H71" s="14" t="n">
        <v>284145</v>
      </c>
      <c r="I71" s="14" t="n">
        <v>340956</v>
      </c>
      <c r="J71" s="14" t="n">
        <v>144649</v>
      </c>
      <c r="K71" s="14" t="n">
        <v>216101</v>
      </c>
      <c r="L71" s="14" t="n">
        <v>162864</v>
      </c>
      <c r="M71" s="14" t="n">
        <v>179246</v>
      </c>
      <c r="N71" s="14" t="n">
        <v>99664</v>
      </c>
      <c r="O71" s="14" t="n">
        <v>216777</v>
      </c>
    </row>
    <row r="72" customFormat="false" ht="15" hidden="false" customHeight="false" outlineLevel="0" collapsed="false">
      <c r="A72" s="13" t="s">
        <v>151</v>
      </c>
      <c r="B72" s="2"/>
      <c r="C72" s="14" t="n">
        <v>282840</v>
      </c>
      <c r="D72" s="14" t="n">
        <v>454997</v>
      </c>
      <c r="E72" s="14" t="n">
        <v>106677</v>
      </c>
      <c r="F72" s="14" t="n">
        <v>399055</v>
      </c>
      <c r="G72" s="14" t="n">
        <v>498199</v>
      </c>
      <c r="H72" s="14" t="n">
        <v>468465</v>
      </c>
      <c r="I72" s="14" t="n">
        <v>525276</v>
      </c>
      <c r="J72" s="14" t="n">
        <v>328969</v>
      </c>
      <c r="K72" s="14" t="n">
        <v>400421</v>
      </c>
      <c r="L72" s="14" t="n">
        <v>347184</v>
      </c>
      <c r="M72" s="14" t="n">
        <v>363566</v>
      </c>
      <c r="N72" s="14" t="n">
        <v>283984</v>
      </c>
      <c r="O72" s="14" t="n">
        <v>401097</v>
      </c>
    </row>
    <row r="74" customFormat="false" ht="15" hidden="false" customHeight="false" outlineLevel="0" collapsed="false">
      <c r="A74" s="4" t="s">
        <v>152</v>
      </c>
    </row>
    <row r="75" customFormat="false" ht="15" hidden="false" customHeight="false" outlineLevel="0" collapsed="false">
      <c r="A75" s="13" t="s">
        <v>153</v>
      </c>
      <c r="C75" s="14" t="n">
        <f aca="false">PnL_Monthly!O26</f>
        <v>182320.5</v>
      </c>
    </row>
    <row r="76" customFormat="false" ht="15" hidden="false" customHeight="false" outlineLevel="0" collapsed="false">
      <c r="A76" s="13" t="s">
        <v>154</v>
      </c>
      <c r="C76" s="14" t="n">
        <f aca="false">O36-C9</f>
        <v>-86296.02</v>
      </c>
    </row>
    <row r="77" customFormat="false" ht="15" hidden="false" customHeight="false" outlineLevel="0" collapsed="false">
      <c r="A77" s="13" t="s">
        <v>155</v>
      </c>
      <c r="C77" s="14" t="n">
        <f aca="false">O45-Assumptions!$C$4</f>
        <v>-316696.02</v>
      </c>
    </row>
    <row r="78" customFormat="false" ht="15" hidden="false" customHeight="false" outlineLevel="0" collapsed="false">
      <c r="A78" s="13" t="s">
        <v>156</v>
      </c>
      <c r="C78" s="14" t="n">
        <f aca="false">MIN(C36:O36)</f>
        <v>100857</v>
      </c>
    </row>
    <row r="79" customFormat="false" ht="15" hidden="false" customHeight="false" outlineLevel="0" collapsed="false">
      <c r="A79" s="13" t="s">
        <v>157</v>
      </c>
      <c r="C79" s="14" t="n">
        <f aca="false">MIN(C45:O45)</f>
        <v>-66074.9400000001</v>
      </c>
    </row>
    <row r="80" customFormat="false" ht="15" hidden="false" customHeight="false" outlineLevel="0" collapsed="false">
      <c r="A80" s="13" t="s">
        <v>158</v>
      </c>
      <c r="C80" s="14" t="n">
        <f aca="false">MIN(C54:O54)</f>
        <v>-200126.94</v>
      </c>
    </row>
    <row r="81" customFormat="false" ht="15" hidden="false" customHeight="false" outlineLevel="0" collapsed="false">
      <c r="A81" s="13" t="s">
        <v>159</v>
      </c>
      <c r="C81" s="14" t="n">
        <f aca="false">IFERROR(MATCH(1,C48:O48,0),"none")</f>
        <v>8</v>
      </c>
    </row>
    <row r="82" customFormat="false" ht="15" hidden="false" customHeight="false" outlineLevel="0" collapsed="false">
      <c r="A82" s="13" t="s">
        <v>160</v>
      </c>
      <c r="C82" s="14" t="n">
        <f aca="false">MIN(C54:O54)+Assumptions!$C$6</f>
        <v>-50126.94</v>
      </c>
    </row>
    <row r="83" customFormat="false" ht="15" hidden="false" customHeight="false" outlineLevel="0" collapsed="false">
      <c r="A83" s="2" t="s">
        <v>161</v>
      </c>
    </row>
  </sheetData>
  <conditionalFormatting sqref="C39:O39">
    <cfRule type="cellIs" priority="2" operator="equal" aboveAverage="0" equalAverage="0" bottom="0" percent="0" rank="0" text="" dxfId="0">
      <formula>"OVERDRAFT"</formula>
    </cfRule>
    <cfRule type="cellIs" priority="3" operator="equal" aboveAverage="0" equalAverage="0" bottom="0" percent="0" rank="0" text="" dxfId="1">
      <formula>"BEYOND OVERDRAFT"</formula>
    </cfRule>
    <cfRule type="cellIs" priority="4" operator="equal" aboveAverage="0" equalAverage="0" bottom="0" percent="0" rank="0" text="" dxfId="2">
      <formula>"BELOW BUFFER"</formula>
    </cfRule>
  </conditionalFormatting>
  <conditionalFormatting sqref="C47:O47">
    <cfRule type="cellIs" priority="5" operator="equal" aboveAverage="0" equalAverage="0" bottom="0" percent="0" rank="0" text="" dxfId="0">
      <formula>"OVERDRAFT"</formula>
    </cfRule>
    <cfRule type="cellIs" priority="6" operator="equal" aboveAverage="0" equalAverage="0" bottom="0" percent="0" rank="0" text="" dxfId="1">
      <formula>"BEYOND OVERDRAFT"</formula>
    </cfRule>
    <cfRule type="cellIs" priority="7" operator="equal" aboveAverage="0" equalAverage="0" bottom="0" percent="0" rank="0" text="" dxfId="2">
      <formula>"BELOW BUFFER"</formula>
    </cfRule>
  </conditionalFormatting>
  <conditionalFormatting sqref="C56:O56">
    <cfRule type="cellIs" priority="8" operator="equal" aboveAverage="0" equalAverage="0" bottom="0" percent="0" rank="0" text="" dxfId="0">
      <formula>"OVERDRAFT"</formula>
    </cfRule>
    <cfRule type="cellIs" priority="9" operator="equal" aboveAverage="0" equalAverage="0" bottom="0" percent="0" rank="0" text="" dxfId="1">
      <formula>"BEYOND OVERDRAFT"</formula>
    </cfRule>
    <cfRule type="cellIs" priority="10" operator="equal" aboveAverage="0" equalAverage="0" bottom="0" percent="0" rank="0" text="" dxfId="2">
      <formula>"BELOW BUFFER"</formula>
    </cfRule>
  </conditionalFormatting>
  <conditionalFormatting sqref="C36:O36">
    <cfRule type="cellIs" priority="11" operator="lessThan" aboveAverage="0" equalAverage="0" bottom="0" percent="0" rank="0" text="" dxfId="3">
      <formula>0</formula>
    </cfRule>
  </conditionalFormatting>
  <conditionalFormatting sqref="C45:O45">
    <cfRule type="cellIs" priority="12" operator="lessThan" aboveAverage="0" equalAverage="0" bottom="0" percent="0" rank="0" text="" dxfId="3">
      <formula>0</formula>
    </cfRule>
  </conditionalFormatting>
  <conditionalFormatting sqref="C54:O54">
    <cfRule type="cellIs" priority="13" operator="lessThan" aboveAverage="0" equalAverage="0" bottom="0" percent="0" rank="0" text="" dxfId="3">
      <formula>0</formula>
    </cfRule>
  </conditionalFormatting>
  <conditionalFormatting sqref="C71:O71">
    <cfRule type="cellIs" priority="14" operator="lessThan" aboveAverage="0" equalAverage="0" bottom="0" percent="0" rank="0" text="" dxfId="3">
      <formula>0</formula>
    </cfRule>
  </conditionalFormatting>
  <conditionalFormatting sqref="C72:O72">
    <cfRule type="cellIs" priority="15" operator="less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2: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5"/>
  </cols>
  <sheetData>
    <row r="2" customFormat="false" ht="18.55" hidden="false" customHeight="false" outlineLevel="0" collapsed="false">
      <c r="B2" s="27" t="s">
        <v>162</v>
      </c>
    </row>
    <row r="3" customFormat="false" ht="15" hidden="false" customHeight="false" outlineLevel="0" collapsed="false">
      <c r="B3" s="2" t="s">
        <v>163</v>
      </c>
    </row>
    <row r="5" customFormat="false" ht="45" hidden="false" customHeight="true" outlineLevel="0" collapsed="false">
      <c r="B5" s="28" t="s">
        <v>164</v>
      </c>
      <c r="C5" s="29" t="s">
        <v>165</v>
      </c>
    </row>
    <row r="6" customFormat="false" ht="18" hidden="false" customHeight="true" outlineLevel="0" collapsed="false">
      <c r="B6" s="30" t="s">
        <v>166</v>
      </c>
      <c r="C6" s="6" t="s">
        <v>167</v>
      </c>
    </row>
    <row r="7" customFormat="false" ht="60" hidden="false" customHeight="true" outlineLevel="0" collapsed="false">
      <c r="B7" s="30" t="s">
        <v>168</v>
      </c>
      <c r="C7" s="6" t="s">
        <v>169</v>
      </c>
    </row>
    <row r="8" customFormat="false" ht="30" hidden="false" customHeight="true" outlineLevel="0" collapsed="false">
      <c r="B8" s="30" t="s">
        <v>170</v>
      </c>
      <c r="C8" s="6" t="s">
        <v>171</v>
      </c>
    </row>
    <row r="9" customFormat="false" ht="75" hidden="false" customHeight="true" outlineLevel="0" collapsed="false">
      <c r="B9" s="30" t="s">
        <v>172</v>
      </c>
      <c r="C9" s="6" t="s">
        <v>173</v>
      </c>
    </row>
    <row r="10" customFormat="false" ht="30" hidden="false" customHeight="true" outlineLevel="0" collapsed="false">
      <c r="B10" s="30" t="s">
        <v>174</v>
      </c>
      <c r="C10" s="6" t="s">
        <v>175</v>
      </c>
    </row>
    <row r="11" customFormat="false" ht="30" hidden="false" customHeight="true" outlineLevel="0" collapsed="false">
      <c r="B11" s="30" t="s">
        <v>176</v>
      </c>
      <c r="C11" s="6" t="s">
        <v>177</v>
      </c>
    </row>
    <row r="12" customFormat="false" ht="30" hidden="false" customHeight="true" outlineLevel="0" collapsed="false">
      <c r="B12" s="30" t="s">
        <v>178</v>
      </c>
      <c r="C12" s="6" t="s">
        <v>179</v>
      </c>
    </row>
    <row r="14" customFormat="false" ht="15" hidden="false" customHeight="false" outlineLevel="0" collapsed="false">
      <c r="B14" s="4" t="s">
        <v>180</v>
      </c>
    </row>
    <row r="15" customFormat="false" ht="15" hidden="false" customHeight="false" outlineLevel="0" collapsed="false">
      <c r="B15" s="11" t="s">
        <v>181</v>
      </c>
      <c r="C15" s="31" t="n">
        <f aca="false">Forecast_13W!C81</f>
        <v>8</v>
      </c>
    </row>
    <row r="16" customFormat="false" ht="15" hidden="false" customHeight="false" outlineLevel="0" collapsed="false">
      <c r="B16" s="11" t="s">
        <v>182</v>
      </c>
      <c r="C16" s="32" t="n">
        <f aca="false">MIN(Forecast_13W!C45:O45)</f>
        <v>-66074.9400000001</v>
      </c>
    </row>
    <row r="17" customFormat="false" ht="15" hidden="false" customHeight="false" outlineLevel="0" collapsed="false">
      <c r="B17" s="11" t="s">
        <v>183</v>
      </c>
      <c r="C17" s="32" t="n">
        <f aca="false">MIN(Forecast_13W!C36:O36)</f>
        <v>100857</v>
      </c>
    </row>
    <row r="18" customFormat="false" ht="15" hidden="false" customHeight="false" outlineLevel="0" collapsed="false">
      <c r="B18" s="11" t="s">
        <v>184</v>
      </c>
      <c r="C18" s="31" t="n">
        <f aca="false">Assumptions!$C$14</f>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60"/>
    <col collapsed="false" customWidth="true" hidden="false" outlineLevel="0" max="5" min="4" style="0" width="15"/>
    <col collapsed="false" customWidth="true" hidden="false" outlineLevel="0" max="6" min="6" style="0" width="9"/>
    <col collapsed="false" customWidth="true" hidden="false" outlineLevel="0" max="7" min="7" style="0" width="36"/>
    <col collapsed="false" customWidth="true" hidden="false" outlineLevel="0" max="8" min="8" style="0" width="14"/>
    <col collapsed="false" customWidth="true" hidden="false" outlineLevel="0" max="9" min="9" style="0" width="20"/>
    <col collapsed="false" customWidth="true" hidden="false" outlineLevel="0" max="10" min="10" style="0" width="22"/>
    <col collapsed="false" customWidth="true" hidden="false" outlineLevel="0" max="11" min="11" style="0" width="16"/>
    <col collapsed="false" customWidth="true" hidden="false" outlineLevel="0" max="12" min="12" style="0" width="14"/>
    <col collapsed="false" customWidth="true" hidden="false" outlineLevel="0" max="13" min="13" style="0" width="11"/>
    <col collapsed="false" customWidth="true" hidden="false" outlineLevel="0" max="14" min="14" style="0" width="30"/>
  </cols>
  <sheetData>
    <row r="1" customFormat="false" ht="15" hidden="false" customHeight="false" outlineLevel="0" collapsed="false">
      <c r="A1" s="13" t="s">
        <v>185</v>
      </c>
    </row>
    <row r="2" customFormat="false" ht="15" hidden="false" customHeight="false" outlineLevel="0" collapsed="false">
      <c r="A2" s="2" t="s">
        <v>186</v>
      </c>
    </row>
    <row r="4" customFormat="false" ht="31.5" hidden="false" customHeight="true" outlineLevel="0" collapsed="false">
      <c r="A4" s="33" t="s">
        <v>187</v>
      </c>
      <c r="B4" s="33" t="s">
        <v>188</v>
      </c>
      <c r="C4" s="33" t="s">
        <v>189</v>
      </c>
      <c r="D4" s="33" t="s">
        <v>190</v>
      </c>
      <c r="E4" s="33" t="s">
        <v>191</v>
      </c>
      <c r="F4" s="33" t="s">
        <v>192</v>
      </c>
      <c r="G4" s="33" t="s">
        <v>193</v>
      </c>
      <c r="H4" s="33" t="s">
        <v>194</v>
      </c>
      <c r="I4" s="33" t="s">
        <v>195</v>
      </c>
      <c r="J4" s="33" t="s">
        <v>196</v>
      </c>
      <c r="K4" s="33" t="s">
        <v>197</v>
      </c>
      <c r="L4" s="33" t="s">
        <v>198</v>
      </c>
      <c r="M4" s="33" t="s">
        <v>199</v>
      </c>
      <c r="N4" s="33" t="s">
        <v>200</v>
      </c>
    </row>
    <row r="5" customFormat="false" ht="46.25" hidden="false" customHeight="false" outlineLevel="0" collapsed="false">
      <c r="A5" s="6" t="s">
        <v>201</v>
      </c>
      <c r="B5" s="6" t="s">
        <v>202</v>
      </c>
      <c r="C5" s="6" t="s">
        <v>203</v>
      </c>
      <c r="D5" s="34" t="n">
        <v>81840</v>
      </c>
      <c r="E5" s="34" t="n">
        <v>15765</v>
      </c>
      <c r="F5" s="6" t="n">
        <v>8</v>
      </c>
      <c r="G5" s="6" t="s">
        <v>204</v>
      </c>
      <c r="H5" s="6" t="s">
        <v>205</v>
      </c>
      <c r="I5" s="6" t="s">
        <v>206</v>
      </c>
      <c r="J5" s="6" t="s">
        <v>207</v>
      </c>
      <c r="K5" s="35"/>
      <c r="L5" s="35"/>
      <c r="M5" s="36"/>
      <c r="N5" s="35"/>
    </row>
    <row r="6" customFormat="false" ht="23.85" hidden="false" customHeight="false" outlineLevel="0" collapsed="false">
      <c r="A6" s="6" t="s">
        <v>208</v>
      </c>
      <c r="B6" s="6" t="s">
        <v>209</v>
      </c>
      <c r="C6" s="6" t="s">
        <v>210</v>
      </c>
      <c r="D6" s="34" t="n">
        <v>16824</v>
      </c>
      <c r="E6" s="34" t="n">
        <v>-49251</v>
      </c>
      <c r="F6" s="6" t="n">
        <v>8</v>
      </c>
      <c r="G6" s="6" t="s">
        <v>211</v>
      </c>
      <c r="H6" s="6" t="s">
        <v>212</v>
      </c>
      <c r="I6" s="6" t="s">
        <v>213</v>
      </c>
      <c r="J6" s="6" t="s">
        <v>207</v>
      </c>
      <c r="K6" s="35"/>
      <c r="L6" s="35"/>
      <c r="M6" s="36"/>
      <c r="N6" s="35"/>
    </row>
    <row r="7" customFormat="false" ht="23.85" hidden="false" customHeight="false" outlineLevel="0" collapsed="false">
      <c r="A7" s="6" t="s">
        <v>214</v>
      </c>
      <c r="B7" s="6" t="s">
        <v>215</v>
      </c>
      <c r="C7" s="6" t="s">
        <v>216</v>
      </c>
      <c r="D7" s="34" t="n">
        <v>34560</v>
      </c>
      <c r="E7" s="34" t="n">
        <v>-31515</v>
      </c>
      <c r="F7" s="6" t="n">
        <v>8</v>
      </c>
      <c r="G7" s="6" t="s">
        <v>217</v>
      </c>
      <c r="H7" s="6" t="s">
        <v>212</v>
      </c>
      <c r="I7" s="6" t="s">
        <v>218</v>
      </c>
      <c r="J7" s="6" t="s">
        <v>207</v>
      </c>
      <c r="K7" s="35"/>
      <c r="L7" s="35"/>
      <c r="M7" s="36"/>
      <c r="N7" s="35"/>
    </row>
    <row r="8" customFormat="false" ht="23.85" hidden="false" customHeight="false" outlineLevel="0" collapsed="false">
      <c r="A8" s="6" t="s">
        <v>219</v>
      </c>
      <c r="B8" s="6" t="s">
        <v>220</v>
      </c>
      <c r="C8" s="6" t="s">
        <v>221</v>
      </c>
      <c r="D8" s="34" t="n">
        <v>55567</v>
      </c>
      <c r="E8" s="34" t="n">
        <v>-10508</v>
      </c>
      <c r="F8" s="6" t="n">
        <v>12</v>
      </c>
      <c r="G8" s="6" t="s">
        <v>222</v>
      </c>
      <c r="H8" s="6" t="s">
        <v>205</v>
      </c>
      <c r="I8" s="6" t="s">
        <v>223</v>
      </c>
      <c r="J8" s="6" t="s">
        <v>207</v>
      </c>
      <c r="K8" s="35"/>
      <c r="L8" s="35"/>
      <c r="M8" s="36"/>
      <c r="N8" s="35"/>
    </row>
    <row r="9" customFormat="false" ht="23.85" hidden="false" customHeight="false" outlineLevel="0" collapsed="false">
      <c r="A9" s="6" t="s">
        <v>224</v>
      </c>
      <c r="B9" s="6" t="s">
        <v>225</v>
      </c>
      <c r="C9" s="6" t="s">
        <v>226</v>
      </c>
      <c r="D9" s="34" t="n">
        <v>166932</v>
      </c>
      <c r="E9" s="34" t="n">
        <v>100857</v>
      </c>
      <c r="F9" s="6" t="n">
        <v>3</v>
      </c>
      <c r="G9" s="6" t="s">
        <v>227</v>
      </c>
      <c r="H9" s="6" t="s">
        <v>228</v>
      </c>
      <c r="I9" s="6" t="s">
        <v>229</v>
      </c>
      <c r="J9" s="6" t="s">
        <v>207</v>
      </c>
      <c r="K9" s="35"/>
      <c r="L9" s="35"/>
      <c r="M9" s="36"/>
      <c r="N9" s="35"/>
    </row>
    <row r="10" customFormat="false" ht="23.85" hidden="false" customHeight="false" outlineLevel="0" collapsed="false">
      <c r="A10" s="6" t="s">
        <v>230</v>
      </c>
      <c r="B10" s="6" t="s">
        <v>231</v>
      </c>
      <c r="C10" s="6" t="s">
        <v>232</v>
      </c>
      <c r="D10" s="34" t="n">
        <v>166932</v>
      </c>
      <c r="E10" s="34" t="n">
        <v>100857</v>
      </c>
      <c r="F10" s="6" t="n">
        <v>3</v>
      </c>
      <c r="G10" s="6" t="s">
        <v>233</v>
      </c>
      <c r="H10" s="6" t="s">
        <v>234</v>
      </c>
      <c r="I10" s="6" t="s">
        <v>235</v>
      </c>
      <c r="J10" s="6" t="s">
        <v>207</v>
      </c>
      <c r="K10" s="35"/>
      <c r="L10" s="35"/>
      <c r="M10" s="36"/>
      <c r="N10" s="35"/>
    </row>
    <row r="11" customFormat="false" ht="35.05" hidden="false" customHeight="false" outlineLevel="0" collapsed="false">
      <c r="A11" s="6" t="s">
        <v>236</v>
      </c>
      <c r="B11" s="6" t="s">
        <v>237</v>
      </c>
      <c r="C11" s="6" t="s">
        <v>238</v>
      </c>
      <c r="D11" s="34" t="n">
        <v>0</v>
      </c>
      <c r="E11" s="34" t="n">
        <v>-66075</v>
      </c>
      <c r="F11" s="6" t="n">
        <v>8</v>
      </c>
      <c r="G11" s="6" t="s">
        <v>239</v>
      </c>
      <c r="H11" s="6" t="s">
        <v>240</v>
      </c>
      <c r="I11" s="6" t="s">
        <v>241</v>
      </c>
      <c r="J11" s="6" t="s">
        <v>207</v>
      </c>
      <c r="K11" s="35"/>
      <c r="L11" s="35"/>
      <c r="M11" s="36"/>
      <c r="N11" s="35"/>
    </row>
    <row r="13" customFormat="false" ht="15" hidden="false" customHeight="false" outlineLevel="0" collapsed="false">
      <c r="A13" s="4" t="s">
        <v>242</v>
      </c>
    </row>
    <row r="14" customFormat="false" ht="15" hidden="false" customHeight="false" outlineLevel="0" collapsed="false">
      <c r="B14" s="11" t="s">
        <v>243</v>
      </c>
      <c r="E14" s="14" t="n">
        <v>99664</v>
      </c>
      <c r="F14" s="11" t="n">
        <v>12</v>
      </c>
    </row>
    <row r="15" customFormat="false" ht="15" hidden="false" customHeight="false" outlineLevel="0" collapsed="false">
      <c r="B15" s="11" t="s">
        <v>244</v>
      </c>
      <c r="E15" s="14" t="n">
        <v>106677</v>
      </c>
      <c r="F15" s="11" t="n">
        <v>3</v>
      </c>
    </row>
    <row r="16" customFormat="false" ht="15" hidden="false" customHeight="false" outlineLevel="0" collapsed="false">
      <c r="B16" s="11" t="s">
        <v>245</v>
      </c>
      <c r="E16" s="14" t="n">
        <v>-26835</v>
      </c>
    </row>
    <row r="18" customFormat="false" ht="15" hidden="false" customHeight="false" outlineLevel="0" collapsed="false">
      <c r="A18" s="2" t="s">
        <v>246</v>
      </c>
    </row>
  </sheetData>
  <dataValidations count="1">
    <dataValidation allowBlank="true" errorStyle="stop" operator="between" showDropDown="false" showErrorMessage="false" showInputMessage="false" sqref="K5:K11" type="list">
      <formula1>"Approve,Reject,Need more information"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V3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14"/>
    <col collapsed="false" customWidth="true" hidden="false" outlineLevel="0" max="4" min="4" style="0" width="9"/>
    <col collapsed="false" customWidth="true" hidden="false" outlineLevel="0" max="5" min="5" style="0" width="36"/>
    <col collapsed="false" customWidth="true" hidden="false" outlineLevel="0" max="6" min="6" style="0" width="34"/>
    <col collapsed="false" customWidth="true" hidden="false" outlineLevel="0" max="7" min="7" style="0" width="8"/>
    <col collapsed="false" customWidth="true" hidden="false" outlineLevel="0" max="8" min="8" style="0" width="14"/>
    <col collapsed="false" customWidth="true" hidden="false" outlineLevel="0" max="9" min="9" style="0" width="9"/>
    <col collapsed="false" customWidth="true" hidden="false" outlineLevel="0" max="10" min="10" style="0" width="14"/>
    <col collapsed="false" customWidth="true" hidden="false" outlineLevel="0" max="11" min="11" style="0" width="11"/>
    <col collapsed="false" customWidth="true" hidden="false" outlineLevel="0" max="12" min="12" style="0" width="9"/>
    <col collapsed="false" customWidth="true" hidden="false" outlineLevel="0" max="13" min="13" style="0" width="10"/>
    <col collapsed="false" customWidth="true" hidden="false" outlineLevel="0" max="14" min="14" style="0" width="12"/>
    <col collapsed="false" customWidth="true" hidden="false" outlineLevel="0" max="15" min="15" style="0" width="9"/>
    <col collapsed="false" customWidth="true" hidden="false" outlineLevel="0" max="16" min="16" style="0" width="12"/>
    <col collapsed="false" customWidth="true" hidden="false" outlineLevel="0" max="17" min="17" style="0" width="9"/>
    <col collapsed="false" customWidth="true" hidden="false" outlineLevel="0" max="18" min="18" style="0" width="12"/>
    <col collapsed="false" customWidth="true" hidden="false" outlineLevel="0" max="19" min="19" style="0" width="9"/>
    <col collapsed="false" customWidth="true" hidden="false" outlineLevel="0" max="20" min="20" style="0" width="34"/>
    <col collapsed="false" customWidth="true" hidden="false" outlineLevel="0" max="21" min="21" style="0" width="18"/>
    <col collapsed="false" customWidth="true" hidden="false" outlineLevel="0" max="22" min="22" style="0" width="50"/>
  </cols>
  <sheetData>
    <row r="1" customFormat="false" ht="15" hidden="false" customHeight="false" outlineLevel="0" collapsed="false">
      <c r="A1" s="2" t="s">
        <v>247</v>
      </c>
    </row>
    <row r="3" customFormat="false" ht="30" hidden="false" customHeight="true" outlineLevel="0" collapsed="false">
      <c r="A3" s="33" t="s">
        <v>248</v>
      </c>
      <c r="B3" s="33" t="s">
        <v>249</v>
      </c>
      <c r="C3" s="33" t="s">
        <v>250</v>
      </c>
      <c r="D3" s="33" t="s">
        <v>251</v>
      </c>
      <c r="E3" s="33" t="s">
        <v>252</v>
      </c>
      <c r="F3" s="33" t="s">
        <v>253</v>
      </c>
      <c r="G3" s="33" t="s">
        <v>254</v>
      </c>
      <c r="H3" s="33" t="s">
        <v>255</v>
      </c>
      <c r="I3" s="33" t="s">
        <v>256</v>
      </c>
      <c r="J3" s="33" t="s">
        <v>257</v>
      </c>
      <c r="K3" s="33" t="s">
        <v>258</v>
      </c>
      <c r="L3" s="33" t="s">
        <v>259</v>
      </c>
      <c r="M3" s="33" t="s">
        <v>260</v>
      </c>
      <c r="N3" s="33" t="s">
        <v>261</v>
      </c>
      <c r="O3" s="33" t="s">
        <v>262</v>
      </c>
      <c r="P3" s="33" t="s">
        <v>263</v>
      </c>
      <c r="Q3" s="33" t="s">
        <v>264</v>
      </c>
      <c r="R3" s="33" t="s">
        <v>265</v>
      </c>
      <c r="S3" s="33" t="s">
        <v>266</v>
      </c>
      <c r="T3" s="33" t="s">
        <v>196</v>
      </c>
      <c r="U3" s="33" t="s">
        <v>267</v>
      </c>
      <c r="V3" s="33" t="s">
        <v>268</v>
      </c>
    </row>
    <row r="4" customFormat="false" ht="15" hidden="false" customHeight="false" outlineLevel="0" collapsed="false">
      <c r="A4" s="11" t="s">
        <v>269</v>
      </c>
      <c r="B4" s="11" t="s">
        <v>55</v>
      </c>
      <c r="C4" s="11" t="s">
        <v>270</v>
      </c>
      <c r="D4" s="11" t="s">
        <v>271</v>
      </c>
      <c r="E4" s="11" t="s">
        <v>272</v>
      </c>
      <c r="F4" s="11" t="s">
        <v>273</v>
      </c>
      <c r="G4" s="11"/>
      <c r="H4" s="37" t="n">
        <v>-3840</v>
      </c>
      <c r="I4" s="26" t="n">
        <v>1</v>
      </c>
      <c r="J4" s="37" t="n">
        <f aca="false">H4*I4</f>
        <v>-3840</v>
      </c>
      <c r="K4" s="38" t="n">
        <v>46307</v>
      </c>
      <c r="L4" s="11"/>
      <c r="M4" s="11"/>
      <c r="N4" s="38" t="n">
        <v>46307</v>
      </c>
      <c r="O4" s="11" t="n">
        <f aca="false">IF(INT((N4-Assumptions!$C$2)/7)+1&gt;Assumptions!$C$3,"after W13",INT((N4-Assumptions!$C$2)/7)+1)</f>
        <v>1</v>
      </c>
      <c r="P4" s="38" t="n">
        <f aca="false">IF(AND(D4="Receipt",G4="C01"),WORKDAY(N4+Assumptions!$C$14-1,1),N4)</f>
        <v>46307</v>
      </c>
      <c r="Q4" s="11" t="n">
        <f aca="false">IF(INT((P4-Assumptions!$C$2)/7)+1&gt;Assumptions!$C$3,"after W13",INT((P4-Assumptions!$C$2)/7)+1)</f>
        <v>1</v>
      </c>
      <c r="R4" s="38" t="n">
        <f aca="false">IF(AND(D4="Receipt",OR(G4="C01",G4="C02",G4="C03",G4="C04",G4="C07")),WORKDAY(N4+IF(G4="C01",Assumptions!$C$14,Assumptions!$C$15)-1,1),N4)</f>
        <v>46307</v>
      </c>
      <c r="S4" s="11" t="n">
        <f aca="false">IF(INT((R4-Assumptions!$C$2)/7)+1&gt;Assumptions!$C$3,"after W13",INT((R4-Assumptions!$C$2)/7)+1)</f>
        <v>1</v>
      </c>
      <c r="T4" s="11" t="s">
        <v>274</v>
      </c>
      <c r="U4" s="11" t="s">
        <v>275</v>
      </c>
      <c r="V4" s="11"/>
    </row>
    <row r="5" customFormat="false" ht="15" hidden="false" customHeight="false" outlineLevel="0" collapsed="false">
      <c r="A5" s="11" t="s">
        <v>276</v>
      </c>
      <c r="B5" s="11" t="s">
        <v>47</v>
      </c>
      <c r="C5" s="11" t="s">
        <v>277</v>
      </c>
      <c r="D5" s="11" t="s">
        <v>278</v>
      </c>
      <c r="E5" s="11" t="s">
        <v>279</v>
      </c>
      <c r="F5" s="11" t="s">
        <v>280</v>
      </c>
      <c r="G5" s="11" t="s">
        <v>281</v>
      </c>
      <c r="H5" s="37" t="n">
        <v>7836</v>
      </c>
      <c r="I5" s="26" t="n">
        <v>1</v>
      </c>
      <c r="J5" s="37" t="n">
        <f aca="false">H5*I5</f>
        <v>7836</v>
      </c>
      <c r="K5" s="38" t="n">
        <v>46306</v>
      </c>
      <c r="L5" s="11" t="n">
        <v>0</v>
      </c>
      <c r="M5" s="11" t="n">
        <v>0</v>
      </c>
      <c r="N5" s="38" t="n">
        <v>46307</v>
      </c>
      <c r="O5" s="11" t="n">
        <f aca="false">IF(INT((N5-Assumptions!$C$2)/7)+1&gt;Assumptions!$C$3,"after W13",INT((N5-Assumptions!$C$2)/7)+1)</f>
        <v>1</v>
      </c>
      <c r="P5" s="38" t="n">
        <f aca="false">IF(AND(D5="Receipt",G5="C01"),WORKDAY(N5+Assumptions!$C$14-1,1),N5)</f>
        <v>46307</v>
      </c>
      <c r="Q5" s="11" t="n">
        <f aca="false">IF(INT((P5-Assumptions!$C$2)/7)+1&gt;Assumptions!$C$3,"after W13",INT((P5-Assumptions!$C$2)/7)+1)</f>
        <v>1</v>
      </c>
      <c r="R5" s="38" t="n">
        <f aca="false">IF(AND(D5="Receipt",OR(G5="C01",G5="C02",G5="C03",G5="C04",G5="C07")),WORKDAY(N5+IF(G5="C01",Assumptions!$C$14,Assumptions!$C$15)-1,1),N5)</f>
        <v>46307</v>
      </c>
      <c r="S5" s="11" t="n">
        <f aca="false">IF(INT((R5-Assumptions!$C$2)/7)+1&gt;Assumptions!$C$3,"after W13",INT((R5-Assumptions!$C$2)/7)+1)</f>
        <v>1</v>
      </c>
      <c r="T5" s="11" t="s">
        <v>282</v>
      </c>
      <c r="U5" s="11" t="s">
        <v>275</v>
      </c>
      <c r="V5" s="11" t="s">
        <v>283</v>
      </c>
    </row>
    <row r="6" customFormat="false" ht="15" hidden="false" customHeight="false" outlineLevel="0" collapsed="false">
      <c r="A6" s="11" t="s">
        <v>284</v>
      </c>
      <c r="B6" s="11" t="s">
        <v>47</v>
      </c>
      <c r="C6" s="11" t="s">
        <v>285</v>
      </c>
      <c r="D6" s="11" t="s">
        <v>278</v>
      </c>
      <c r="E6" s="11" t="s">
        <v>286</v>
      </c>
      <c r="F6" s="11" t="s">
        <v>287</v>
      </c>
      <c r="G6" s="11" t="s">
        <v>288</v>
      </c>
      <c r="H6" s="37" t="n">
        <v>8220</v>
      </c>
      <c r="I6" s="26" t="n">
        <v>1</v>
      </c>
      <c r="J6" s="37" t="n">
        <f aca="false">H6*I6</f>
        <v>8220</v>
      </c>
      <c r="K6" s="38" t="n">
        <v>46305</v>
      </c>
      <c r="L6" s="11" t="n">
        <v>0</v>
      </c>
      <c r="M6" s="11" t="n">
        <v>3</v>
      </c>
      <c r="N6" s="38" t="n">
        <v>46308</v>
      </c>
      <c r="O6" s="11" t="n">
        <f aca="false">IF(INT((N6-Assumptions!$C$2)/7)+1&gt;Assumptions!$C$3,"after W13",INT((N6-Assumptions!$C$2)/7)+1)</f>
        <v>1</v>
      </c>
      <c r="P6" s="38" t="n">
        <f aca="false">IF(AND(D6="Receipt",G6="C01"),WORKDAY(N6+Assumptions!$C$14-1,1),N6)</f>
        <v>46308</v>
      </c>
      <c r="Q6" s="11" t="n">
        <f aca="false">IF(INT((P6-Assumptions!$C$2)/7)+1&gt;Assumptions!$C$3,"after W13",INT((P6-Assumptions!$C$2)/7)+1)</f>
        <v>1</v>
      </c>
      <c r="R6" s="38" t="n">
        <f aca="false">IF(AND(D6="Receipt",OR(G6="C01",G6="C02",G6="C03",G6="C04",G6="C07")),WORKDAY(N6+IF(G6="C01",Assumptions!$C$14,Assumptions!$C$15)-1,1),N6)</f>
        <v>46323</v>
      </c>
      <c r="S6" s="11" t="n">
        <f aca="false">IF(INT((R6-Assumptions!$C$2)/7)+1&gt;Assumptions!$C$3,"after W13",INT((R6-Assumptions!$C$2)/7)+1)</f>
        <v>3</v>
      </c>
      <c r="T6" s="11" t="s">
        <v>282</v>
      </c>
      <c r="U6" s="11" t="s">
        <v>275</v>
      </c>
      <c r="V6" s="11" t="s">
        <v>283</v>
      </c>
    </row>
    <row r="7" customFormat="false" ht="15" hidden="false" customHeight="false" outlineLevel="0" collapsed="false">
      <c r="A7" s="11" t="s">
        <v>289</v>
      </c>
      <c r="B7" s="11" t="s">
        <v>55</v>
      </c>
      <c r="C7" s="11" t="s">
        <v>290</v>
      </c>
      <c r="D7" s="11" t="s">
        <v>271</v>
      </c>
      <c r="E7" s="11" t="s">
        <v>291</v>
      </c>
      <c r="F7" s="11" t="s">
        <v>292</v>
      </c>
      <c r="G7" s="11"/>
      <c r="H7" s="37" t="n">
        <v>-4700</v>
      </c>
      <c r="I7" s="26" t="n">
        <v>1</v>
      </c>
      <c r="J7" s="37" t="n">
        <f aca="false">H7*I7</f>
        <v>-4700</v>
      </c>
      <c r="K7" s="38" t="n">
        <v>46309</v>
      </c>
      <c r="L7" s="11"/>
      <c r="M7" s="11"/>
      <c r="N7" s="38" t="n">
        <v>46309</v>
      </c>
      <c r="O7" s="11" t="n">
        <f aca="false">IF(INT((N7-Assumptions!$C$2)/7)+1&gt;Assumptions!$C$3,"after W13",INT((N7-Assumptions!$C$2)/7)+1)</f>
        <v>1</v>
      </c>
      <c r="P7" s="38" t="n">
        <f aca="false">IF(AND(D7="Receipt",G7="C01"),WORKDAY(N7+Assumptions!$C$14-1,1),N7)</f>
        <v>46309</v>
      </c>
      <c r="Q7" s="11" t="n">
        <f aca="false">IF(INT((P7-Assumptions!$C$2)/7)+1&gt;Assumptions!$C$3,"after W13",INT((P7-Assumptions!$C$2)/7)+1)</f>
        <v>1</v>
      </c>
      <c r="R7" s="38" t="n">
        <f aca="false">IF(AND(D7="Receipt",OR(G7="C01",G7="C02",G7="C03",G7="C04",G7="C07")),WORKDAY(N7+IF(G7="C01",Assumptions!$C$14,Assumptions!$C$15)-1,1),N7)</f>
        <v>46309</v>
      </c>
      <c r="S7" s="11" t="n">
        <f aca="false">IF(INT((R7-Assumptions!$C$2)/7)+1&gt;Assumptions!$C$3,"after W13",INT((R7-Assumptions!$C$2)/7)+1)</f>
        <v>1</v>
      </c>
      <c r="T7" s="11" t="s">
        <v>293</v>
      </c>
      <c r="U7" s="11" t="s">
        <v>275</v>
      </c>
      <c r="V7" s="11" t="s">
        <v>294</v>
      </c>
    </row>
    <row r="8" customFormat="false" ht="15" hidden="false" customHeight="false" outlineLevel="0" collapsed="false">
      <c r="A8" s="11" t="s">
        <v>295</v>
      </c>
      <c r="B8" s="11" t="s">
        <v>47</v>
      </c>
      <c r="C8" s="11" t="s">
        <v>296</v>
      </c>
      <c r="D8" s="11" t="s">
        <v>278</v>
      </c>
      <c r="E8" s="11" t="s">
        <v>297</v>
      </c>
      <c r="F8" s="11" t="s">
        <v>298</v>
      </c>
      <c r="G8" s="11" t="s">
        <v>299</v>
      </c>
      <c r="H8" s="37" t="n">
        <v>10400</v>
      </c>
      <c r="I8" s="26" t="n">
        <v>1</v>
      </c>
      <c r="J8" s="37" t="n">
        <f aca="false">H8*I8</f>
        <v>10400</v>
      </c>
      <c r="K8" s="38" t="n">
        <v>46301</v>
      </c>
      <c r="L8" s="11" t="n">
        <v>3</v>
      </c>
      <c r="M8" s="11" t="n">
        <v>8</v>
      </c>
      <c r="N8" s="38" t="n">
        <v>46309</v>
      </c>
      <c r="O8" s="11" t="n">
        <f aca="false">IF(INT((N8-Assumptions!$C$2)/7)+1&gt;Assumptions!$C$3,"after W13",INT((N8-Assumptions!$C$2)/7)+1)</f>
        <v>1</v>
      </c>
      <c r="P8" s="38" t="n">
        <f aca="false">IF(AND(D8="Receipt",G8="C01"),WORKDAY(N8+Assumptions!$C$14-1,1),N8)</f>
        <v>46309</v>
      </c>
      <c r="Q8" s="11" t="n">
        <f aca="false">IF(INT((P8-Assumptions!$C$2)/7)+1&gt;Assumptions!$C$3,"after W13",INT((P8-Assumptions!$C$2)/7)+1)</f>
        <v>1</v>
      </c>
      <c r="R8" s="38" t="n">
        <f aca="false">IF(AND(D8="Receipt",OR(G8="C01",G8="C02",G8="C03",G8="C04",G8="C07")),WORKDAY(N8+IF(G8="C01",Assumptions!$C$14,Assumptions!$C$15)-1,1),N8)</f>
        <v>46309</v>
      </c>
      <c r="S8" s="11" t="n">
        <f aca="false">IF(INT((R8-Assumptions!$C$2)/7)+1&gt;Assumptions!$C$3,"after W13",INT((R8-Assumptions!$C$2)/7)+1)</f>
        <v>1</v>
      </c>
      <c r="T8" s="11" t="s">
        <v>282</v>
      </c>
      <c r="U8" s="11" t="s">
        <v>275</v>
      </c>
      <c r="V8" s="11" t="s">
        <v>283</v>
      </c>
    </row>
    <row r="9" customFormat="false" ht="15" hidden="false" customHeight="false" outlineLevel="0" collapsed="false">
      <c r="A9" s="11" t="s">
        <v>300</v>
      </c>
      <c r="B9" s="11" t="s">
        <v>47</v>
      </c>
      <c r="C9" s="11" t="s">
        <v>301</v>
      </c>
      <c r="D9" s="11" t="s">
        <v>278</v>
      </c>
      <c r="E9" s="11" t="s">
        <v>297</v>
      </c>
      <c r="F9" s="11" t="s">
        <v>298</v>
      </c>
      <c r="G9" s="11" t="s">
        <v>299</v>
      </c>
      <c r="H9" s="37" t="n">
        <v>10630</v>
      </c>
      <c r="I9" s="26" t="n">
        <v>1</v>
      </c>
      <c r="J9" s="37" t="n">
        <f aca="false">H9*I9</f>
        <v>10630</v>
      </c>
      <c r="K9" s="38" t="n">
        <v>46301</v>
      </c>
      <c r="L9" s="11" t="n">
        <v>3</v>
      </c>
      <c r="M9" s="11" t="n">
        <v>8</v>
      </c>
      <c r="N9" s="38" t="n">
        <v>46309</v>
      </c>
      <c r="O9" s="11" t="n">
        <f aca="false">IF(INT((N9-Assumptions!$C$2)/7)+1&gt;Assumptions!$C$3,"after W13",INT((N9-Assumptions!$C$2)/7)+1)</f>
        <v>1</v>
      </c>
      <c r="P9" s="38" t="n">
        <f aca="false">IF(AND(D9="Receipt",G9="C01"),WORKDAY(N9+Assumptions!$C$14-1,1),N9)</f>
        <v>46309</v>
      </c>
      <c r="Q9" s="11" t="n">
        <f aca="false">IF(INT((P9-Assumptions!$C$2)/7)+1&gt;Assumptions!$C$3,"after W13",INT((P9-Assumptions!$C$2)/7)+1)</f>
        <v>1</v>
      </c>
      <c r="R9" s="38" t="n">
        <f aca="false">IF(AND(D9="Receipt",OR(G9="C01",G9="C02",G9="C03",G9="C04",G9="C07")),WORKDAY(N9+IF(G9="C01",Assumptions!$C$14,Assumptions!$C$15)-1,1),N9)</f>
        <v>46309</v>
      </c>
      <c r="S9" s="11" t="n">
        <f aca="false">IF(INT((R9-Assumptions!$C$2)/7)+1&gt;Assumptions!$C$3,"after W13",INT((R9-Assumptions!$C$2)/7)+1)</f>
        <v>1</v>
      </c>
      <c r="T9" s="11" t="s">
        <v>282</v>
      </c>
      <c r="U9" s="11" t="s">
        <v>275</v>
      </c>
      <c r="V9" s="11" t="s">
        <v>283</v>
      </c>
    </row>
    <row r="10" customFormat="false" ht="15" hidden="false" customHeight="false" outlineLevel="0" collapsed="false">
      <c r="A10" s="11" t="s">
        <v>302</v>
      </c>
      <c r="B10" s="11" t="s">
        <v>47</v>
      </c>
      <c r="C10" s="11" t="s">
        <v>303</v>
      </c>
      <c r="D10" s="11" t="s">
        <v>278</v>
      </c>
      <c r="E10" s="11" t="s">
        <v>286</v>
      </c>
      <c r="F10" s="11" t="s">
        <v>287</v>
      </c>
      <c r="G10" s="11" t="s">
        <v>288</v>
      </c>
      <c r="H10" s="37" t="n">
        <v>3528</v>
      </c>
      <c r="I10" s="26" t="n">
        <v>1</v>
      </c>
      <c r="J10" s="37" t="n">
        <f aca="false">H10*I10</f>
        <v>3528</v>
      </c>
      <c r="K10" s="38" t="n">
        <v>46306</v>
      </c>
      <c r="L10" s="11" t="n">
        <v>0</v>
      </c>
      <c r="M10" s="11" t="n">
        <v>3</v>
      </c>
      <c r="N10" s="38" t="n">
        <v>46309</v>
      </c>
      <c r="O10" s="11" t="n">
        <f aca="false">IF(INT((N10-Assumptions!$C$2)/7)+1&gt;Assumptions!$C$3,"after W13",INT((N10-Assumptions!$C$2)/7)+1)</f>
        <v>1</v>
      </c>
      <c r="P10" s="38" t="n">
        <f aca="false">IF(AND(D10="Receipt",G10="C01"),WORKDAY(N10+Assumptions!$C$14-1,1),N10)</f>
        <v>46309</v>
      </c>
      <c r="Q10" s="11" t="n">
        <f aca="false">IF(INT((P10-Assumptions!$C$2)/7)+1&gt;Assumptions!$C$3,"after W13",INT((P10-Assumptions!$C$2)/7)+1)</f>
        <v>1</v>
      </c>
      <c r="R10" s="38" t="n">
        <f aca="false">IF(AND(D10="Receipt",OR(G10="C01",G10="C02",G10="C03",G10="C04",G10="C07")),WORKDAY(N10+IF(G10="C01",Assumptions!$C$14,Assumptions!$C$15)-1,1),N10)</f>
        <v>46324</v>
      </c>
      <c r="S10" s="11" t="n">
        <f aca="false">IF(INT((R10-Assumptions!$C$2)/7)+1&gt;Assumptions!$C$3,"after W13",INT((R10-Assumptions!$C$2)/7)+1)</f>
        <v>3</v>
      </c>
      <c r="T10" s="11" t="s">
        <v>282</v>
      </c>
      <c r="U10" s="11" t="s">
        <v>275</v>
      </c>
      <c r="V10" s="11" t="s">
        <v>283</v>
      </c>
    </row>
    <row r="11" customFormat="false" ht="15" hidden="false" customHeight="false" outlineLevel="0" collapsed="false">
      <c r="A11" s="11" t="s">
        <v>304</v>
      </c>
      <c r="B11" s="11" t="s">
        <v>305</v>
      </c>
      <c r="C11" s="11" t="s">
        <v>306</v>
      </c>
      <c r="D11" s="11" t="s">
        <v>271</v>
      </c>
      <c r="E11" s="11" t="s">
        <v>307</v>
      </c>
      <c r="F11" s="11" t="s">
        <v>308</v>
      </c>
      <c r="G11" s="11"/>
      <c r="H11" s="37" t="n">
        <v>-41069.59</v>
      </c>
      <c r="I11" s="26" t="n">
        <v>1</v>
      </c>
      <c r="J11" s="37" t="n">
        <f aca="false">H11*I11</f>
        <v>-41069.59</v>
      </c>
      <c r="K11" s="38" t="n">
        <v>46313</v>
      </c>
      <c r="L11" s="11"/>
      <c r="M11" s="11"/>
      <c r="N11" s="38" t="n">
        <v>46310</v>
      </c>
      <c r="O11" s="11" t="n">
        <f aca="false">IF(INT((N11-Assumptions!$C$2)/7)+1&gt;Assumptions!$C$3,"after W13",INT((N11-Assumptions!$C$2)/7)+1)</f>
        <v>1</v>
      </c>
      <c r="P11" s="38" t="n">
        <f aca="false">IF(AND(D11="Receipt",G11="C01"),WORKDAY(N11+Assumptions!$C$14-1,1),N11)</f>
        <v>46310</v>
      </c>
      <c r="Q11" s="11" t="n">
        <f aca="false">IF(INT((P11-Assumptions!$C$2)/7)+1&gt;Assumptions!$C$3,"after W13",INT((P11-Assumptions!$C$2)/7)+1)</f>
        <v>1</v>
      </c>
      <c r="R11" s="38" t="n">
        <f aca="false">IF(AND(D11="Receipt",OR(G11="C01",G11="C02",G11="C03",G11="C04",G11="C07")),WORKDAY(N11+IF(G11="C01",Assumptions!$C$14,Assumptions!$C$15)-1,1),N11)</f>
        <v>46310</v>
      </c>
      <c r="S11" s="11" t="n">
        <f aca="false">IF(INT((R11-Assumptions!$C$2)/7)+1&gt;Assumptions!$C$3,"after W13",INT((R11-Assumptions!$C$2)/7)+1)</f>
        <v>1</v>
      </c>
      <c r="T11" s="11" t="s">
        <v>309</v>
      </c>
      <c r="U11" s="11" t="s">
        <v>275</v>
      </c>
      <c r="V11" s="11" t="s">
        <v>310</v>
      </c>
    </row>
    <row r="12" customFormat="false" ht="15" hidden="false" customHeight="false" outlineLevel="0" collapsed="false">
      <c r="A12" s="11" t="s">
        <v>311</v>
      </c>
      <c r="B12" s="11" t="s">
        <v>305</v>
      </c>
      <c r="C12" s="11" t="s">
        <v>312</v>
      </c>
      <c r="D12" s="11" t="s">
        <v>271</v>
      </c>
      <c r="E12" s="11" t="s">
        <v>307</v>
      </c>
      <c r="F12" s="11" t="s">
        <v>313</v>
      </c>
      <c r="G12" s="11"/>
      <c r="H12" s="37" t="n">
        <v>-6212.56</v>
      </c>
      <c r="I12" s="26" t="n">
        <v>1</v>
      </c>
      <c r="J12" s="37" t="n">
        <f aca="false">H12*I12</f>
        <v>-6212.56</v>
      </c>
      <c r="K12" s="38" t="n">
        <v>46311</v>
      </c>
      <c r="L12" s="11"/>
      <c r="M12" s="11"/>
      <c r="N12" s="38" t="n">
        <v>46310</v>
      </c>
      <c r="O12" s="11" t="n">
        <f aca="false">IF(INT((N12-Assumptions!$C$2)/7)+1&gt;Assumptions!$C$3,"after W13",INT((N12-Assumptions!$C$2)/7)+1)</f>
        <v>1</v>
      </c>
      <c r="P12" s="38" t="n">
        <f aca="false">IF(AND(D12="Receipt",G12="C01"),WORKDAY(N12+Assumptions!$C$14-1,1),N12)</f>
        <v>46310</v>
      </c>
      <c r="Q12" s="11" t="n">
        <f aca="false">IF(INT((P12-Assumptions!$C$2)/7)+1&gt;Assumptions!$C$3,"after W13",INT((P12-Assumptions!$C$2)/7)+1)</f>
        <v>1</v>
      </c>
      <c r="R12" s="38" t="n">
        <f aca="false">IF(AND(D12="Receipt",OR(G12="C01",G12="C02",G12="C03",G12="C04",G12="C07")),WORKDAY(N12+IF(G12="C01",Assumptions!$C$14,Assumptions!$C$15)-1,1),N12)</f>
        <v>46310</v>
      </c>
      <c r="S12" s="11" t="n">
        <f aca="false">IF(INT((R12-Assumptions!$C$2)/7)+1&gt;Assumptions!$C$3,"after W13",INT((R12-Assumptions!$C$2)/7)+1)</f>
        <v>1</v>
      </c>
      <c r="T12" s="11" t="s">
        <v>309</v>
      </c>
      <c r="U12" s="11" t="s">
        <v>275</v>
      </c>
      <c r="V12" s="11" t="s">
        <v>314</v>
      </c>
    </row>
    <row r="13" customFormat="false" ht="15" hidden="false" customHeight="false" outlineLevel="0" collapsed="false">
      <c r="A13" s="11" t="s">
        <v>315</v>
      </c>
      <c r="B13" s="11" t="s">
        <v>55</v>
      </c>
      <c r="C13" s="11" t="s">
        <v>316</v>
      </c>
      <c r="D13" s="11" t="s">
        <v>271</v>
      </c>
      <c r="E13" s="11" t="s">
        <v>317</v>
      </c>
      <c r="F13" s="11" t="s">
        <v>318</v>
      </c>
      <c r="G13" s="11"/>
      <c r="H13" s="37" t="n">
        <v>-86000</v>
      </c>
      <c r="I13" s="26" t="n">
        <v>1</v>
      </c>
      <c r="J13" s="37" t="n">
        <f aca="false">H13*I13</f>
        <v>-86000</v>
      </c>
      <c r="K13" s="38" t="n">
        <v>46310</v>
      </c>
      <c r="L13" s="11"/>
      <c r="M13" s="11"/>
      <c r="N13" s="38" t="n">
        <v>46310</v>
      </c>
      <c r="O13" s="11" t="n">
        <f aca="false">IF(INT((N13-Assumptions!$C$2)/7)+1&gt;Assumptions!$C$3,"after W13",INT((N13-Assumptions!$C$2)/7)+1)</f>
        <v>1</v>
      </c>
      <c r="P13" s="38" t="n">
        <f aca="false">IF(AND(D13="Receipt",G13="C01"),WORKDAY(N13+Assumptions!$C$14-1,1),N13)</f>
        <v>46310</v>
      </c>
      <c r="Q13" s="11" t="n">
        <f aca="false">IF(INT((P13-Assumptions!$C$2)/7)+1&gt;Assumptions!$C$3,"after W13",INT((P13-Assumptions!$C$2)/7)+1)</f>
        <v>1</v>
      </c>
      <c r="R13" s="38" t="n">
        <f aca="false">IF(AND(D13="Receipt",OR(G13="C01",G13="C02",G13="C03",G13="C04",G13="C07")),WORKDAY(N13+IF(G13="C01",Assumptions!$C$14,Assumptions!$C$15)-1,1),N13)</f>
        <v>46310</v>
      </c>
      <c r="S13" s="11" t="n">
        <f aca="false">IF(INT((R13-Assumptions!$C$2)/7)+1&gt;Assumptions!$C$3,"after W13",INT((R13-Assumptions!$C$2)/7)+1)</f>
        <v>1</v>
      </c>
      <c r="T13" s="11" t="s">
        <v>274</v>
      </c>
      <c r="U13" s="11" t="s">
        <v>275</v>
      </c>
      <c r="V13" s="11" t="s">
        <v>319</v>
      </c>
    </row>
    <row r="14" customFormat="false" ht="15" hidden="false" customHeight="false" outlineLevel="0" collapsed="false">
      <c r="A14" s="11" t="s">
        <v>320</v>
      </c>
      <c r="B14" s="11" t="s">
        <v>47</v>
      </c>
      <c r="C14" s="11" t="s">
        <v>321</v>
      </c>
      <c r="D14" s="11" t="s">
        <v>278</v>
      </c>
      <c r="E14" s="11" t="s">
        <v>322</v>
      </c>
      <c r="F14" s="11" t="s">
        <v>323</v>
      </c>
      <c r="G14" s="11" t="s">
        <v>324</v>
      </c>
      <c r="H14" s="37" t="n">
        <v>2808</v>
      </c>
      <c r="I14" s="26" t="n">
        <v>1</v>
      </c>
      <c r="J14" s="37" t="n">
        <f aca="false">H14*I14</f>
        <v>2808</v>
      </c>
      <c r="K14" s="38" t="n">
        <v>46296</v>
      </c>
      <c r="L14" s="11" t="n">
        <v>8</v>
      </c>
      <c r="M14" s="11" t="n">
        <v>15</v>
      </c>
      <c r="N14" s="38" t="n">
        <v>46311</v>
      </c>
      <c r="O14" s="11" t="n">
        <f aca="false">IF(INT((N14-Assumptions!$C$2)/7)+1&gt;Assumptions!$C$3,"after W13",INT((N14-Assumptions!$C$2)/7)+1)</f>
        <v>1</v>
      </c>
      <c r="P14" s="38" t="n">
        <f aca="false">IF(AND(D14="Receipt",G14="C01"),WORKDAY(N14+Assumptions!$C$14-1,1),N14)</f>
        <v>46311</v>
      </c>
      <c r="Q14" s="11" t="n">
        <f aca="false">IF(INT((P14-Assumptions!$C$2)/7)+1&gt;Assumptions!$C$3,"after W13",INT((P14-Assumptions!$C$2)/7)+1)</f>
        <v>1</v>
      </c>
      <c r="R14" s="38" t="n">
        <f aca="false">IF(AND(D14="Receipt",OR(G14="C01",G14="C02",G14="C03",G14="C04",G14="C07")),WORKDAY(N14+IF(G14="C01",Assumptions!$C$14,Assumptions!$C$15)-1,1),N14)</f>
        <v>46311</v>
      </c>
      <c r="S14" s="11" t="n">
        <f aca="false">IF(INT((R14-Assumptions!$C$2)/7)+1&gt;Assumptions!$C$3,"after W13",INT((R14-Assumptions!$C$2)/7)+1)</f>
        <v>1</v>
      </c>
      <c r="T14" s="11" t="s">
        <v>282</v>
      </c>
      <c r="U14" s="11" t="s">
        <v>275</v>
      </c>
      <c r="V14" s="11" t="s">
        <v>283</v>
      </c>
    </row>
    <row r="15" customFormat="false" ht="15" hidden="false" customHeight="false" outlineLevel="0" collapsed="false">
      <c r="A15" s="11" t="s">
        <v>325</v>
      </c>
      <c r="B15" s="11" t="s">
        <v>47</v>
      </c>
      <c r="C15" s="11" t="s">
        <v>326</v>
      </c>
      <c r="D15" s="11" t="s">
        <v>278</v>
      </c>
      <c r="E15" s="11" t="s">
        <v>286</v>
      </c>
      <c r="F15" s="11" t="s">
        <v>327</v>
      </c>
      <c r="G15" s="11" t="s">
        <v>328</v>
      </c>
      <c r="H15" s="37" t="n">
        <v>14868</v>
      </c>
      <c r="I15" s="26" t="n">
        <v>1</v>
      </c>
      <c r="J15" s="37" t="n">
        <f aca="false">H15*I15</f>
        <v>14868</v>
      </c>
      <c r="K15" s="38" t="n">
        <v>46283</v>
      </c>
      <c r="L15" s="11" t="n">
        <v>21</v>
      </c>
      <c r="M15" s="11" t="n">
        <v>30</v>
      </c>
      <c r="N15" s="38" t="n">
        <v>46314</v>
      </c>
      <c r="O15" s="11" t="n">
        <f aca="false">IF(INT((N15-Assumptions!$C$2)/7)+1&gt;Assumptions!$C$3,"after W13",INT((N15-Assumptions!$C$2)/7)+1)</f>
        <v>2</v>
      </c>
      <c r="P15" s="38" t="n">
        <f aca="false">IF(AND(D15="Receipt",G15="C01"),WORKDAY(N15+Assumptions!$C$14-1,1),N15)</f>
        <v>46314</v>
      </c>
      <c r="Q15" s="11" t="n">
        <f aca="false">IF(INT((P15-Assumptions!$C$2)/7)+1&gt;Assumptions!$C$3,"after W13",INT((P15-Assumptions!$C$2)/7)+1)</f>
        <v>2</v>
      </c>
      <c r="R15" s="38" t="n">
        <f aca="false">IF(AND(D15="Receipt",OR(G15="C01",G15="C02",G15="C03",G15="C04",G15="C07")),WORKDAY(N15+IF(G15="C01",Assumptions!$C$14,Assumptions!$C$15)-1,1),N15)</f>
        <v>46329</v>
      </c>
      <c r="S15" s="11" t="n">
        <f aca="false">IF(INT((R15-Assumptions!$C$2)/7)+1&gt;Assumptions!$C$3,"after W13",INT((R15-Assumptions!$C$2)/7)+1)</f>
        <v>4</v>
      </c>
      <c r="T15" s="11" t="s">
        <v>282</v>
      </c>
      <c r="U15" s="11" t="s">
        <v>275</v>
      </c>
      <c r="V15" s="11" t="s">
        <v>283</v>
      </c>
    </row>
    <row r="16" customFormat="false" ht="15" hidden="false" customHeight="false" outlineLevel="0" collapsed="false">
      <c r="A16" s="11" t="s">
        <v>329</v>
      </c>
      <c r="B16" s="11" t="s">
        <v>47</v>
      </c>
      <c r="C16" s="11" t="s">
        <v>330</v>
      </c>
      <c r="D16" s="11" t="s">
        <v>278</v>
      </c>
      <c r="E16" s="11" t="s">
        <v>286</v>
      </c>
      <c r="F16" s="11" t="s">
        <v>331</v>
      </c>
      <c r="G16" s="11" t="s">
        <v>332</v>
      </c>
      <c r="H16" s="37" t="n">
        <v>15624</v>
      </c>
      <c r="I16" s="26" t="n">
        <v>1</v>
      </c>
      <c r="J16" s="37" t="n">
        <f aca="false">H16*I16</f>
        <v>15624</v>
      </c>
      <c r="K16" s="38" t="n">
        <v>46286</v>
      </c>
      <c r="L16" s="11" t="n">
        <v>18</v>
      </c>
      <c r="M16" s="11" t="n">
        <v>28</v>
      </c>
      <c r="N16" s="38" t="n">
        <v>46314</v>
      </c>
      <c r="O16" s="11" t="n">
        <f aca="false">IF(INT((N16-Assumptions!$C$2)/7)+1&gt;Assumptions!$C$3,"after W13",INT((N16-Assumptions!$C$2)/7)+1)</f>
        <v>2</v>
      </c>
      <c r="P16" s="38" t="n">
        <f aca="false">IF(AND(D16="Receipt",G16="C01"),WORKDAY(N16+Assumptions!$C$14-1,1),N16)</f>
        <v>46314</v>
      </c>
      <c r="Q16" s="11" t="n">
        <f aca="false">IF(INT((P16-Assumptions!$C$2)/7)+1&gt;Assumptions!$C$3,"after W13",INT((P16-Assumptions!$C$2)/7)+1)</f>
        <v>2</v>
      </c>
      <c r="R16" s="38" t="n">
        <f aca="false">IF(AND(D16="Receipt",OR(G16="C01",G16="C02",G16="C03",G16="C04",G16="C07")),WORKDAY(N16+IF(G16="C01",Assumptions!$C$14,Assumptions!$C$15)-1,1),N16)</f>
        <v>46329</v>
      </c>
      <c r="S16" s="11" t="n">
        <f aca="false">IF(INT((R16-Assumptions!$C$2)/7)+1&gt;Assumptions!$C$3,"after W13",INT((R16-Assumptions!$C$2)/7)+1)</f>
        <v>4</v>
      </c>
      <c r="T16" s="11" t="s">
        <v>282</v>
      </c>
      <c r="U16" s="11" t="s">
        <v>275</v>
      </c>
      <c r="V16" s="11" t="s">
        <v>283</v>
      </c>
    </row>
    <row r="17" customFormat="false" ht="15" hidden="false" customHeight="false" outlineLevel="0" collapsed="false">
      <c r="A17" s="11" t="s">
        <v>333</v>
      </c>
      <c r="B17" s="11" t="s">
        <v>47</v>
      </c>
      <c r="C17" s="11" t="s">
        <v>334</v>
      </c>
      <c r="D17" s="11" t="s">
        <v>278</v>
      </c>
      <c r="E17" s="11" t="s">
        <v>279</v>
      </c>
      <c r="F17" s="11" t="s">
        <v>335</v>
      </c>
      <c r="G17" s="11" t="s">
        <v>336</v>
      </c>
      <c r="H17" s="37" t="n">
        <v>4656</v>
      </c>
      <c r="I17" s="26" t="n">
        <v>1</v>
      </c>
      <c r="J17" s="37" t="n">
        <f aca="false">H17*I17</f>
        <v>4656</v>
      </c>
      <c r="K17" s="38" t="n">
        <v>46290</v>
      </c>
      <c r="L17" s="11" t="n">
        <v>14</v>
      </c>
      <c r="M17" s="11" t="n">
        <v>24.5</v>
      </c>
      <c r="N17" s="38" t="n">
        <v>46314</v>
      </c>
      <c r="O17" s="11" t="n">
        <f aca="false">IF(INT((N17-Assumptions!$C$2)/7)+1&gt;Assumptions!$C$3,"after W13",INT((N17-Assumptions!$C$2)/7)+1)</f>
        <v>2</v>
      </c>
      <c r="P17" s="38" t="n">
        <f aca="false">IF(AND(D17="Receipt",G17="C01"),WORKDAY(N17+Assumptions!$C$14-1,1),N17)</f>
        <v>46314</v>
      </c>
      <c r="Q17" s="11" t="n">
        <f aca="false">IF(INT((P17-Assumptions!$C$2)/7)+1&gt;Assumptions!$C$3,"after W13",INT((P17-Assumptions!$C$2)/7)+1)</f>
        <v>2</v>
      </c>
      <c r="R17" s="38" t="n">
        <f aca="false">IF(AND(D17="Receipt",OR(G17="C01",G17="C02",G17="C03",G17="C04",G17="C07")),WORKDAY(N17+IF(G17="C01",Assumptions!$C$14,Assumptions!$C$15)-1,1),N17)</f>
        <v>46314</v>
      </c>
      <c r="S17" s="11" t="n">
        <f aca="false">IF(INT((R17-Assumptions!$C$2)/7)+1&gt;Assumptions!$C$3,"after W13",INT((R17-Assumptions!$C$2)/7)+1)</f>
        <v>2</v>
      </c>
      <c r="T17" s="11" t="s">
        <v>282</v>
      </c>
      <c r="U17" s="11" t="s">
        <v>275</v>
      </c>
      <c r="V17" s="11" t="s">
        <v>283</v>
      </c>
    </row>
    <row r="18" customFormat="false" ht="15" hidden="false" customHeight="false" outlineLevel="0" collapsed="false">
      <c r="A18" s="11" t="s">
        <v>337</v>
      </c>
      <c r="B18" s="11" t="s">
        <v>47</v>
      </c>
      <c r="C18" s="11" t="s">
        <v>338</v>
      </c>
      <c r="D18" s="11" t="s">
        <v>278</v>
      </c>
      <c r="E18" s="11" t="s">
        <v>322</v>
      </c>
      <c r="F18" s="11" t="s">
        <v>323</v>
      </c>
      <c r="G18" s="11" t="s">
        <v>324</v>
      </c>
      <c r="H18" s="37" t="n">
        <v>11184</v>
      </c>
      <c r="I18" s="26" t="n">
        <v>1</v>
      </c>
      <c r="J18" s="37" t="n">
        <f aca="false">H18*I18</f>
        <v>11184</v>
      </c>
      <c r="K18" s="38" t="n">
        <v>46298</v>
      </c>
      <c r="L18" s="11" t="n">
        <v>6</v>
      </c>
      <c r="M18" s="11" t="n">
        <v>15</v>
      </c>
      <c r="N18" s="38" t="n">
        <v>46314</v>
      </c>
      <c r="O18" s="11" t="n">
        <f aca="false">IF(INT((N18-Assumptions!$C$2)/7)+1&gt;Assumptions!$C$3,"after W13",INT((N18-Assumptions!$C$2)/7)+1)</f>
        <v>2</v>
      </c>
      <c r="P18" s="38" t="n">
        <f aca="false">IF(AND(D18="Receipt",G18="C01"),WORKDAY(N18+Assumptions!$C$14-1,1),N18)</f>
        <v>46314</v>
      </c>
      <c r="Q18" s="11" t="n">
        <f aca="false">IF(INT((P18-Assumptions!$C$2)/7)+1&gt;Assumptions!$C$3,"after W13",INT((P18-Assumptions!$C$2)/7)+1)</f>
        <v>2</v>
      </c>
      <c r="R18" s="38" t="n">
        <f aca="false">IF(AND(D18="Receipt",OR(G18="C01",G18="C02",G18="C03",G18="C04",G18="C07")),WORKDAY(N18+IF(G18="C01",Assumptions!$C$14,Assumptions!$C$15)-1,1),N18)</f>
        <v>46314</v>
      </c>
      <c r="S18" s="11" t="n">
        <f aca="false">IF(INT((R18-Assumptions!$C$2)/7)+1&gt;Assumptions!$C$3,"after W13",INT((R18-Assumptions!$C$2)/7)+1)</f>
        <v>2</v>
      </c>
      <c r="T18" s="11" t="s">
        <v>282</v>
      </c>
      <c r="U18" s="11" t="s">
        <v>275</v>
      </c>
      <c r="V18" s="11" t="s">
        <v>283</v>
      </c>
    </row>
    <row r="19" customFormat="false" ht="15" hidden="false" customHeight="false" outlineLevel="0" collapsed="false">
      <c r="A19" s="11" t="s">
        <v>339</v>
      </c>
      <c r="B19" s="11" t="s">
        <v>47</v>
      </c>
      <c r="C19" s="11" t="s">
        <v>340</v>
      </c>
      <c r="D19" s="11" t="s">
        <v>278</v>
      </c>
      <c r="E19" s="11" t="s">
        <v>279</v>
      </c>
      <c r="F19" s="11" t="s">
        <v>280</v>
      </c>
      <c r="G19" s="11" t="s">
        <v>281</v>
      </c>
      <c r="H19" s="37" t="n">
        <v>13284</v>
      </c>
      <c r="I19" s="26" t="n">
        <v>1</v>
      </c>
      <c r="J19" s="37" t="n">
        <f aca="false">H19*I19</f>
        <v>13284</v>
      </c>
      <c r="K19" s="38" t="n">
        <v>46314</v>
      </c>
      <c r="L19" s="11" t="n">
        <v>0</v>
      </c>
      <c r="M19" s="11" t="n">
        <v>0</v>
      </c>
      <c r="N19" s="38" t="n">
        <v>46314</v>
      </c>
      <c r="O19" s="11" t="n">
        <f aca="false">IF(INT((N19-Assumptions!$C$2)/7)+1&gt;Assumptions!$C$3,"after W13",INT((N19-Assumptions!$C$2)/7)+1)</f>
        <v>2</v>
      </c>
      <c r="P19" s="38" t="n">
        <f aca="false">IF(AND(D19="Receipt",G19="C01"),WORKDAY(N19+Assumptions!$C$14-1,1),N19)</f>
        <v>46314</v>
      </c>
      <c r="Q19" s="11" t="n">
        <f aca="false">IF(INT((P19-Assumptions!$C$2)/7)+1&gt;Assumptions!$C$3,"after W13",INT((P19-Assumptions!$C$2)/7)+1)</f>
        <v>2</v>
      </c>
      <c r="R19" s="38" t="n">
        <f aca="false">IF(AND(D19="Receipt",OR(G19="C01",G19="C02",G19="C03",G19="C04",G19="C07")),WORKDAY(N19+IF(G19="C01",Assumptions!$C$14,Assumptions!$C$15)-1,1),N19)</f>
        <v>46314</v>
      </c>
      <c r="S19" s="11" t="n">
        <f aca="false">IF(INT((R19-Assumptions!$C$2)/7)+1&gt;Assumptions!$C$3,"after W13",INT((R19-Assumptions!$C$2)/7)+1)</f>
        <v>2</v>
      </c>
      <c r="T19" s="11" t="s">
        <v>282</v>
      </c>
      <c r="U19" s="11" t="s">
        <v>275</v>
      </c>
      <c r="V19" s="11" t="s">
        <v>283</v>
      </c>
    </row>
    <row r="20" customFormat="false" ht="15" hidden="false" customHeight="false" outlineLevel="0" collapsed="false">
      <c r="A20" s="11" t="s">
        <v>341</v>
      </c>
      <c r="B20" s="11" t="s">
        <v>47</v>
      </c>
      <c r="C20" s="11" t="s">
        <v>342</v>
      </c>
      <c r="D20" s="11" t="s">
        <v>278</v>
      </c>
      <c r="E20" s="11" t="s">
        <v>279</v>
      </c>
      <c r="F20" s="11" t="s">
        <v>280</v>
      </c>
      <c r="G20" s="11" t="s">
        <v>281</v>
      </c>
      <c r="H20" s="37" t="n">
        <v>6672</v>
      </c>
      <c r="I20" s="26" t="n">
        <v>1</v>
      </c>
      <c r="J20" s="37" t="n">
        <f aca="false">H20*I20</f>
        <v>6672</v>
      </c>
      <c r="K20" s="38" t="n">
        <v>46314</v>
      </c>
      <c r="L20" s="11" t="n">
        <v>0</v>
      </c>
      <c r="M20" s="11" t="n">
        <v>0</v>
      </c>
      <c r="N20" s="38" t="n">
        <v>46314</v>
      </c>
      <c r="O20" s="11" t="n">
        <f aca="false">IF(INT((N20-Assumptions!$C$2)/7)+1&gt;Assumptions!$C$3,"after W13",INT((N20-Assumptions!$C$2)/7)+1)</f>
        <v>2</v>
      </c>
      <c r="P20" s="38" t="n">
        <f aca="false">IF(AND(D20="Receipt",G20="C01"),WORKDAY(N20+Assumptions!$C$14-1,1),N20)</f>
        <v>46314</v>
      </c>
      <c r="Q20" s="11" t="n">
        <f aca="false">IF(INT((P20-Assumptions!$C$2)/7)+1&gt;Assumptions!$C$3,"after W13",INT((P20-Assumptions!$C$2)/7)+1)</f>
        <v>2</v>
      </c>
      <c r="R20" s="38" t="n">
        <f aca="false">IF(AND(D20="Receipt",OR(G20="C01",G20="C02",G20="C03",G20="C04",G20="C07")),WORKDAY(N20+IF(G20="C01",Assumptions!$C$14,Assumptions!$C$15)-1,1),N20)</f>
        <v>46314</v>
      </c>
      <c r="S20" s="11" t="n">
        <f aca="false">IF(INT((R20-Assumptions!$C$2)/7)+1&gt;Assumptions!$C$3,"after W13",INT((R20-Assumptions!$C$2)/7)+1)</f>
        <v>2</v>
      </c>
      <c r="T20" s="11" t="s">
        <v>282</v>
      </c>
      <c r="U20" s="11" t="s">
        <v>275</v>
      </c>
      <c r="V20" s="11" t="s">
        <v>283</v>
      </c>
    </row>
    <row r="21" customFormat="false" ht="15" hidden="false" customHeight="false" outlineLevel="0" collapsed="false">
      <c r="A21" s="11" t="s">
        <v>343</v>
      </c>
      <c r="B21" s="11" t="s">
        <v>47</v>
      </c>
      <c r="C21" s="11" t="s">
        <v>344</v>
      </c>
      <c r="D21" s="11" t="s">
        <v>278</v>
      </c>
      <c r="E21" s="11" t="s">
        <v>279</v>
      </c>
      <c r="F21" s="11" t="s">
        <v>280</v>
      </c>
      <c r="G21" s="11" t="s">
        <v>281</v>
      </c>
      <c r="H21" s="37" t="n">
        <v>9876</v>
      </c>
      <c r="I21" s="26" t="n">
        <v>1</v>
      </c>
      <c r="J21" s="37" t="n">
        <f aca="false">H21*I21</f>
        <v>9876</v>
      </c>
      <c r="K21" s="38" t="n">
        <v>46314</v>
      </c>
      <c r="L21" s="11" t="n">
        <v>0</v>
      </c>
      <c r="M21" s="11" t="n">
        <v>0</v>
      </c>
      <c r="N21" s="38" t="n">
        <v>46314</v>
      </c>
      <c r="O21" s="11" t="n">
        <f aca="false">IF(INT((N21-Assumptions!$C$2)/7)+1&gt;Assumptions!$C$3,"after W13",INT((N21-Assumptions!$C$2)/7)+1)</f>
        <v>2</v>
      </c>
      <c r="P21" s="38" t="n">
        <f aca="false">IF(AND(D21="Receipt",G21="C01"),WORKDAY(N21+Assumptions!$C$14-1,1),N21)</f>
        <v>46314</v>
      </c>
      <c r="Q21" s="11" t="n">
        <f aca="false">IF(INT((P21-Assumptions!$C$2)/7)+1&gt;Assumptions!$C$3,"after W13",INT((P21-Assumptions!$C$2)/7)+1)</f>
        <v>2</v>
      </c>
      <c r="R21" s="38" t="n">
        <f aca="false">IF(AND(D21="Receipt",OR(G21="C01",G21="C02",G21="C03",G21="C04",G21="C07")),WORKDAY(N21+IF(G21="C01",Assumptions!$C$14,Assumptions!$C$15)-1,1),N21)</f>
        <v>46314</v>
      </c>
      <c r="S21" s="11" t="n">
        <f aca="false">IF(INT((R21-Assumptions!$C$2)/7)+1&gt;Assumptions!$C$3,"after W13",INT((R21-Assumptions!$C$2)/7)+1)</f>
        <v>2</v>
      </c>
      <c r="T21" s="11" t="s">
        <v>282</v>
      </c>
      <c r="U21" s="11" t="s">
        <v>275</v>
      </c>
      <c r="V21" s="11" t="s">
        <v>283</v>
      </c>
    </row>
    <row r="22" customFormat="false" ht="15" hidden="false" customHeight="false" outlineLevel="0" collapsed="false">
      <c r="A22" s="11" t="s">
        <v>345</v>
      </c>
      <c r="B22" s="11" t="s">
        <v>47</v>
      </c>
      <c r="C22" s="11" t="s">
        <v>346</v>
      </c>
      <c r="D22" s="11" t="s">
        <v>278</v>
      </c>
      <c r="E22" s="11" t="s">
        <v>322</v>
      </c>
      <c r="F22" s="11" t="s">
        <v>323</v>
      </c>
      <c r="G22" s="11" t="s">
        <v>324</v>
      </c>
      <c r="H22" s="37" t="n">
        <v>5856</v>
      </c>
      <c r="I22" s="26" t="n">
        <v>1</v>
      </c>
      <c r="J22" s="37" t="n">
        <f aca="false">H22*I22</f>
        <v>5856</v>
      </c>
      <c r="K22" s="38" t="n">
        <v>46302</v>
      </c>
      <c r="L22" s="11" t="n">
        <v>2</v>
      </c>
      <c r="M22" s="11" t="n">
        <v>12.5</v>
      </c>
      <c r="N22" s="38" t="n">
        <v>46314</v>
      </c>
      <c r="O22" s="11" t="n">
        <f aca="false">IF(INT((N22-Assumptions!$C$2)/7)+1&gt;Assumptions!$C$3,"after W13",INT((N22-Assumptions!$C$2)/7)+1)</f>
        <v>2</v>
      </c>
      <c r="P22" s="38" t="n">
        <f aca="false">IF(AND(D22="Receipt",G22="C01"),WORKDAY(N22+Assumptions!$C$14-1,1),N22)</f>
        <v>46314</v>
      </c>
      <c r="Q22" s="11" t="n">
        <f aca="false">IF(INT((P22-Assumptions!$C$2)/7)+1&gt;Assumptions!$C$3,"after W13",INT((P22-Assumptions!$C$2)/7)+1)</f>
        <v>2</v>
      </c>
      <c r="R22" s="38" t="n">
        <f aca="false">IF(AND(D22="Receipt",OR(G22="C01",G22="C02",G22="C03",G22="C04",G22="C07")),WORKDAY(N22+IF(G22="C01",Assumptions!$C$14,Assumptions!$C$15)-1,1),N22)</f>
        <v>46314</v>
      </c>
      <c r="S22" s="11" t="n">
        <f aca="false">IF(INT((R22-Assumptions!$C$2)/7)+1&gt;Assumptions!$C$3,"after W13",INT((R22-Assumptions!$C$2)/7)+1)</f>
        <v>2</v>
      </c>
      <c r="T22" s="11" t="s">
        <v>282</v>
      </c>
      <c r="U22" s="11" t="s">
        <v>275</v>
      </c>
      <c r="V22" s="11" t="s">
        <v>283</v>
      </c>
    </row>
    <row r="23" customFormat="false" ht="15" hidden="false" customHeight="false" outlineLevel="0" collapsed="false">
      <c r="A23" s="11" t="s">
        <v>347</v>
      </c>
      <c r="B23" s="11" t="s">
        <v>47</v>
      </c>
      <c r="C23" s="11" t="s">
        <v>348</v>
      </c>
      <c r="D23" s="11" t="s">
        <v>278</v>
      </c>
      <c r="E23" s="11" t="s">
        <v>286</v>
      </c>
      <c r="F23" s="11" t="s">
        <v>349</v>
      </c>
      <c r="G23" s="11" t="s">
        <v>350</v>
      </c>
      <c r="H23" s="37" t="n">
        <v>19920</v>
      </c>
      <c r="I23" s="26" t="n">
        <v>1</v>
      </c>
      <c r="J23" s="37" t="n">
        <f aca="false">H23*I23</f>
        <v>19920</v>
      </c>
      <c r="K23" s="38" t="n">
        <v>46305</v>
      </c>
      <c r="L23" s="11" t="n">
        <v>0</v>
      </c>
      <c r="M23" s="11" t="n">
        <v>10</v>
      </c>
      <c r="N23" s="38" t="n">
        <v>46315</v>
      </c>
      <c r="O23" s="11" t="n">
        <f aca="false">IF(INT((N23-Assumptions!$C$2)/7)+1&gt;Assumptions!$C$3,"after W13",INT((N23-Assumptions!$C$2)/7)+1)</f>
        <v>2</v>
      </c>
      <c r="P23" s="38" t="n">
        <f aca="false">IF(AND(D23="Receipt",G23="C01"),WORKDAY(N23+Assumptions!$C$14-1,1),N23)</f>
        <v>46315</v>
      </c>
      <c r="Q23" s="11" t="n">
        <f aca="false">IF(INT((P23-Assumptions!$C$2)/7)+1&gt;Assumptions!$C$3,"after W13",INT((P23-Assumptions!$C$2)/7)+1)</f>
        <v>2</v>
      </c>
      <c r="R23" s="38" t="n">
        <f aca="false">IF(AND(D23="Receipt",OR(G23="C01",G23="C02",G23="C03",G23="C04",G23="C07")),WORKDAY(N23+IF(G23="C01",Assumptions!$C$14,Assumptions!$C$15)-1,1),N23)</f>
        <v>46330</v>
      </c>
      <c r="S23" s="11" t="n">
        <f aca="false">IF(INT((R23-Assumptions!$C$2)/7)+1&gt;Assumptions!$C$3,"after W13",INT((R23-Assumptions!$C$2)/7)+1)</f>
        <v>4</v>
      </c>
      <c r="T23" s="11" t="s">
        <v>282</v>
      </c>
      <c r="U23" s="11" t="s">
        <v>275</v>
      </c>
      <c r="V23" s="11" t="s">
        <v>283</v>
      </c>
    </row>
    <row r="24" customFormat="false" ht="15" hidden="false" customHeight="false" outlineLevel="0" collapsed="false">
      <c r="A24" s="11" t="s">
        <v>351</v>
      </c>
      <c r="B24" s="11" t="s">
        <v>47</v>
      </c>
      <c r="C24" s="11" t="s">
        <v>352</v>
      </c>
      <c r="D24" s="11" t="s">
        <v>278</v>
      </c>
      <c r="E24" s="11" t="s">
        <v>286</v>
      </c>
      <c r="F24" s="11" t="s">
        <v>287</v>
      </c>
      <c r="G24" s="11" t="s">
        <v>288</v>
      </c>
      <c r="H24" s="37" t="n">
        <v>2616</v>
      </c>
      <c r="I24" s="26" t="n">
        <v>1</v>
      </c>
      <c r="J24" s="37" t="n">
        <f aca="false">H24*I24</f>
        <v>2616</v>
      </c>
      <c r="K24" s="38" t="n">
        <v>46312</v>
      </c>
      <c r="L24" s="11" t="n">
        <v>0</v>
      </c>
      <c r="M24" s="11" t="n">
        <v>3</v>
      </c>
      <c r="N24" s="38" t="n">
        <v>46315</v>
      </c>
      <c r="O24" s="11" t="n">
        <f aca="false">IF(INT((N24-Assumptions!$C$2)/7)+1&gt;Assumptions!$C$3,"after W13",INT((N24-Assumptions!$C$2)/7)+1)</f>
        <v>2</v>
      </c>
      <c r="P24" s="38" t="n">
        <f aca="false">IF(AND(D24="Receipt",G24="C01"),WORKDAY(N24+Assumptions!$C$14-1,1),N24)</f>
        <v>46315</v>
      </c>
      <c r="Q24" s="11" t="n">
        <f aca="false">IF(INT((P24-Assumptions!$C$2)/7)+1&gt;Assumptions!$C$3,"after W13",INT((P24-Assumptions!$C$2)/7)+1)</f>
        <v>2</v>
      </c>
      <c r="R24" s="38" t="n">
        <f aca="false">IF(AND(D24="Receipt",OR(G24="C01",G24="C02",G24="C03",G24="C04",G24="C07")),WORKDAY(N24+IF(G24="C01",Assumptions!$C$14,Assumptions!$C$15)-1,1),N24)</f>
        <v>46330</v>
      </c>
      <c r="S24" s="11" t="n">
        <f aca="false">IF(INT((R24-Assumptions!$C$2)/7)+1&gt;Assumptions!$C$3,"after W13",INT((R24-Assumptions!$C$2)/7)+1)</f>
        <v>4</v>
      </c>
      <c r="T24" s="11" t="s">
        <v>282</v>
      </c>
      <c r="U24" s="11" t="s">
        <v>275</v>
      </c>
      <c r="V24" s="11" t="s">
        <v>283</v>
      </c>
    </row>
    <row r="25" customFormat="false" ht="15" hidden="false" customHeight="false" outlineLevel="0" collapsed="false">
      <c r="A25" s="11" t="s">
        <v>353</v>
      </c>
      <c r="B25" s="11" t="s">
        <v>47</v>
      </c>
      <c r="C25" s="11" t="s">
        <v>354</v>
      </c>
      <c r="D25" s="11" t="s">
        <v>278</v>
      </c>
      <c r="E25" s="11" t="s">
        <v>286</v>
      </c>
      <c r="F25" s="11" t="s">
        <v>287</v>
      </c>
      <c r="G25" s="11" t="s">
        <v>288</v>
      </c>
      <c r="H25" s="37" t="n">
        <v>2748</v>
      </c>
      <c r="I25" s="26" t="n">
        <v>1</v>
      </c>
      <c r="J25" s="37" t="n">
        <f aca="false">H25*I25</f>
        <v>2748</v>
      </c>
      <c r="K25" s="38" t="n">
        <v>46312</v>
      </c>
      <c r="L25" s="11" t="n">
        <v>0</v>
      </c>
      <c r="M25" s="11" t="n">
        <v>3</v>
      </c>
      <c r="N25" s="38" t="n">
        <v>46315</v>
      </c>
      <c r="O25" s="11" t="n">
        <f aca="false">IF(INT((N25-Assumptions!$C$2)/7)+1&gt;Assumptions!$C$3,"after W13",INT((N25-Assumptions!$C$2)/7)+1)</f>
        <v>2</v>
      </c>
      <c r="P25" s="38" t="n">
        <f aca="false">IF(AND(D25="Receipt",G25="C01"),WORKDAY(N25+Assumptions!$C$14-1,1),N25)</f>
        <v>46315</v>
      </c>
      <c r="Q25" s="11" t="n">
        <f aca="false">IF(INT((P25-Assumptions!$C$2)/7)+1&gt;Assumptions!$C$3,"after W13",INT((P25-Assumptions!$C$2)/7)+1)</f>
        <v>2</v>
      </c>
      <c r="R25" s="38" t="n">
        <f aca="false">IF(AND(D25="Receipt",OR(G25="C01",G25="C02",G25="C03",G25="C04",G25="C07")),WORKDAY(N25+IF(G25="C01",Assumptions!$C$14,Assumptions!$C$15)-1,1),N25)</f>
        <v>46330</v>
      </c>
      <c r="S25" s="11" t="n">
        <f aca="false">IF(INT((R25-Assumptions!$C$2)/7)+1&gt;Assumptions!$C$3,"after W13",INT((R25-Assumptions!$C$2)/7)+1)</f>
        <v>4</v>
      </c>
      <c r="T25" s="11" t="s">
        <v>282</v>
      </c>
      <c r="U25" s="11" t="s">
        <v>275</v>
      </c>
      <c r="V25" s="11" t="s">
        <v>283</v>
      </c>
    </row>
    <row r="26" customFormat="false" ht="15" hidden="false" customHeight="false" outlineLevel="0" collapsed="false">
      <c r="A26" s="11" t="s">
        <v>355</v>
      </c>
      <c r="B26" s="11" t="s">
        <v>55</v>
      </c>
      <c r="C26" s="11" t="s">
        <v>356</v>
      </c>
      <c r="D26" s="11" t="s">
        <v>271</v>
      </c>
      <c r="E26" s="11" t="s">
        <v>291</v>
      </c>
      <c r="F26" s="11" t="s">
        <v>292</v>
      </c>
      <c r="G26" s="11"/>
      <c r="H26" s="37" t="n">
        <v>-4700</v>
      </c>
      <c r="I26" s="26" t="n">
        <v>1</v>
      </c>
      <c r="J26" s="37" t="n">
        <f aca="false">H26*I26</f>
        <v>-4700</v>
      </c>
      <c r="K26" s="38" t="n">
        <v>46316</v>
      </c>
      <c r="L26" s="11"/>
      <c r="M26" s="11"/>
      <c r="N26" s="38" t="n">
        <v>46316</v>
      </c>
      <c r="O26" s="11" t="n">
        <f aca="false">IF(INT((N26-Assumptions!$C$2)/7)+1&gt;Assumptions!$C$3,"after W13",INT((N26-Assumptions!$C$2)/7)+1)</f>
        <v>2</v>
      </c>
      <c r="P26" s="38" t="n">
        <f aca="false">IF(AND(D26="Receipt",G26="C01"),WORKDAY(N26+Assumptions!$C$14-1,1),N26)</f>
        <v>46316</v>
      </c>
      <c r="Q26" s="11" t="n">
        <f aca="false">IF(INT((P26-Assumptions!$C$2)/7)+1&gt;Assumptions!$C$3,"after W13",INT((P26-Assumptions!$C$2)/7)+1)</f>
        <v>2</v>
      </c>
      <c r="R26" s="38" t="n">
        <f aca="false">IF(AND(D26="Receipt",OR(G26="C01",G26="C02",G26="C03",G26="C04",G26="C07")),WORKDAY(N26+IF(G26="C01",Assumptions!$C$14,Assumptions!$C$15)-1,1),N26)</f>
        <v>46316</v>
      </c>
      <c r="S26" s="11" t="n">
        <f aca="false">IF(INT((R26-Assumptions!$C$2)/7)+1&gt;Assumptions!$C$3,"after W13",INT((R26-Assumptions!$C$2)/7)+1)</f>
        <v>2</v>
      </c>
      <c r="T26" s="11" t="s">
        <v>293</v>
      </c>
      <c r="U26" s="11" t="s">
        <v>275</v>
      </c>
      <c r="V26" s="11" t="s">
        <v>294</v>
      </c>
    </row>
    <row r="27" customFormat="false" ht="15" hidden="false" customHeight="false" outlineLevel="0" collapsed="false">
      <c r="A27" s="11" t="s">
        <v>357</v>
      </c>
      <c r="B27" s="11" t="s">
        <v>47</v>
      </c>
      <c r="C27" s="11" t="s">
        <v>358</v>
      </c>
      <c r="D27" s="11" t="s">
        <v>278</v>
      </c>
      <c r="E27" s="11" t="s">
        <v>286</v>
      </c>
      <c r="F27" s="11" t="s">
        <v>287</v>
      </c>
      <c r="G27" s="11" t="s">
        <v>288</v>
      </c>
      <c r="H27" s="37" t="n">
        <v>2916</v>
      </c>
      <c r="I27" s="26" t="n">
        <v>1</v>
      </c>
      <c r="J27" s="37" t="n">
        <f aca="false">H27*I27</f>
        <v>2916</v>
      </c>
      <c r="K27" s="38" t="n">
        <v>46313</v>
      </c>
      <c r="L27" s="11" t="n">
        <v>0</v>
      </c>
      <c r="M27" s="11" t="n">
        <v>3</v>
      </c>
      <c r="N27" s="38" t="n">
        <v>46316</v>
      </c>
      <c r="O27" s="11" t="n">
        <f aca="false">IF(INT((N27-Assumptions!$C$2)/7)+1&gt;Assumptions!$C$3,"after W13",INT((N27-Assumptions!$C$2)/7)+1)</f>
        <v>2</v>
      </c>
      <c r="P27" s="38" t="n">
        <f aca="false">IF(AND(D27="Receipt",G27="C01"),WORKDAY(N27+Assumptions!$C$14-1,1),N27)</f>
        <v>46316</v>
      </c>
      <c r="Q27" s="11" t="n">
        <f aca="false">IF(INT((P27-Assumptions!$C$2)/7)+1&gt;Assumptions!$C$3,"after W13",INT((P27-Assumptions!$C$2)/7)+1)</f>
        <v>2</v>
      </c>
      <c r="R27" s="38" t="n">
        <f aca="false">IF(AND(D27="Receipt",OR(G27="C01",G27="C02",G27="C03",G27="C04",G27="C07")),WORKDAY(N27+IF(G27="C01",Assumptions!$C$14,Assumptions!$C$15)-1,1),N27)</f>
        <v>46331</v>
      </c>
      <c r="S27" s="11" t="n">
        <f aca="false">IF(INT((R27-Assumptions!$C$2)/7)+1&gt;Assumptions!$C$3,"after W13",INT((R27-Assumptions!$C$2)/7)+1)</f>
        <v>4</v>
      </c>
      <c r="T27" s="11" t="s">
        <v>282</v>
      </c>
      <c r="U27" s="11" t="s">
        <v>275</v>
      </c>
      <c r="V27" s="11" t="s">
        <v>283</v>
      </c>
    </row>
    <row r="28" customFormat="false" ht="15" hidden="false" customHeight="false" outlineLevel="0" collapsed="false">
      <c r="A28" s="11" t="s">
        <v>359</v>
      </c>
      <c r="B28" s="11" t="s">
        <v>47</v>
      </c>
      <c r="C28" s="11" t="s">
        <v>360</v>
      </c>
      <c r="D28" s="11" t="s">
        <v>278</v>
      </c>
      <c r="E28" s="11" t="s">
        <v>286</v>
      </c>
      <c r="F28" s="11" t="s">
        <v>287</v>
      </c>
      <c r="G28" s="11" t="s">
        <v>288</v>
      </c>
      <c r="H28" s="37" t="n">
        <v>7956</v>
      </c>
      <c r="I28" s="26" t="n">
        <v>1</v>
      </c>
      <c r="J28" s="37" t="n">
        <f aca="false">H28*I28</f>
        <v>7956</v>
      </c>
      <c r="K28" s="38" t="n">
        <v>46313</v>
      </c>
      <c r="L28" s="11" t="n">
        <v>0</v>
      </c>
      <c r="M28" s="11" t="n">
        <v>3</v>
      </c>
      <c r="N28" s="38" t="n">
        <v>46316</v>
      </c>
      <c r="O28" s="11" t="n">
        <f aca="false">IF(INT((N28-Assumptions!$C$2)/7)+1&gt;Assumptions!$C$3,"after W13",INT((N28-Assumptions!$C$2)/7)+1)</f>
        <v>2</v>
      </c>
      <c r="P28" s="38" t="n">
        <f aca="false">IF(AND(D28="Receipt",G28="C01"),WORKDAY(N28+Assumptions!$C$14-1,1),N28)</f>
        <v>46316</v>
      </c>
      <c r="Q28" s="11" t="n">
        <f aca="false">IF(INT((P28-Assumptions!$C$2)/7)+1&gt;Assumptions!$C$3,"after W13",INT((P28-Assumptions!$C$2)/7)+1)</f>
        <v>2</v>
      </c>
      <c r="R28" s="38" t="n">
        <f aca="false">IF(AND(D28="Receipt",OR(G28="C01",G28="C02",G28="C03",G28="C04",G28="C07")),WORKDAY(N28+IF(G28="C01",Assumptions!$C$14,Assumptions!$C$15)-1,1),N28)</f>
        <v>46331</v>
      </c>
      <c r="S28" s="11" t="n">
        <f aca="false">IF(INT((R28-Assumptions!$C$2)/7)+1&gt;Assumptions!$C$3,"after W13",INT((R28-Assumptions!$C$2)/7)+1)</f>
        <v>4</v>
      </c>
      <c r="T28" s="11" t="s">
        <v>282</v>
      </c>
      <c r="U28" s="11" t="s">
        <v>275</v>
      </c>
      <c r="V28" s="11" t="s">
        <v>283</v>
      </c>
    </row>
    <row r="29" customFormat="false" ht="15" hidden="false" customHeight="false" outlineLevel="0" collapsed="false">
      <c r="A29" s="11" t="s">
        <v>361</v>
      </c>
      <c r="B29" s="11" t="s">
        <v>305</v>
      </c>
      <c r="C29" s="11" t="s">
        <v>362</v>
      </c>
      <c r="D29" s="11" t="s">
        <v>271</v>
      </c>
      <c r="E29" s="11" t="s">
        <v>307</v>
      </c>
      <c r="F29" s="11" t="s">
        <v>313</v>
      </c>
      <c r="G29" s="11"/>
      <c r="H29" s="37" t="n">
        <v>-6011.58</v>
      </c>
      <c r="I29" s="26" t="n">
        <v>1</v>
      </c>
      <c r="J29" s="37" t="n">
        <f aca="false">H29*I29</f>
        <v>-6011.58</v>
      </c>
      <c r="K29" s="38" t="n">
        <v>46318</v>
      </c>
      <c r="L29" s="11"/>
      <c r="M29" s="11"/>
      <c r="N29" s="38" t="n">
        <v>46317</v>
      </c>
      <c r="O29" s="11" t="n">
        <f aca="false">IF(INT((N29-Assumptions!$C$2)/7)+1&gt;Assumptions!$C$3,"after W13",INT((N29-Assumptions!$C$2)/7)+1)</f>
        <v>2</v>
      </c>
      <c r="P29" s="38" t="n">
        <f aca="false">IF(AND(D29="Receipt",G29="C01"),WORKDAY(N29+Assumptions!$C$14-1,1),N29)</f>
        <v>46317</v>
      </c>
      <c r="Q29" s="11" t="n">
        <f aca="false">IF(INT((P29-Assumptions!$C$2)/7)+1&gt;Assumptions!$C$3,"after W13",INT((P29-Assumptions!$C$2)/7)+1)</f>
        <v>2</v>
      </c>
      <c r="R29" s="38" t="n">
        <f aca="false">IF(AND(D29="Receipt",OR(G29="C01",G29="C02",G29="C03",G29="C04",G29="C07")),WORKDAY(N29+IF(G29="C01",Assumptions!$C$14,Assumptions!$C$15)-1,1),N29)</f>
        <v>46317</v>
      </c>
      <c r="S29" s="11" t="n">
        <f aca="false">IF(INT((R29-Assumptions!$C$2)/7)+1&gt;Assumptions!$C$3,"after W13",INT((R29-Assumptions!$C$2)/7)+1)</f>
        <v>2</v>
      </c>
      <c r="T29" s="11" t="s">
        <v>309</v>
      </c>
      <c r="U29" s="11" t="s">
        <v>275</v>
      </c>
      <c r="V29" s="11" t="s">
        <v>314</v>
      </c>
    </row>
    <row r="30" customFormat="false" ht="15" hidden="false" customHeight="false" outlineLevel="0" collapsed="false">
      <c r="A30" s="11" t="s">
        <v>363</v>
      </c>
      <c r="B30" s="11" t="s">
        <v>47</v>
      </c>
      <c r="C30" s="11" t="s">
        <v>364</v>
      </c>
      <c r="D30" s="11" t="s">
        <v>278</v>
      </c>
      <c r="E30" s="11" t="s">
        <v>286</v>
      </c>
      <c r="F30" s="11" t="s">
        <v>331</v>
      </c>
      <c r="G30" s="11" t="s">
        <v>332</v>
      </c>
      <c r="H30" s="37" t="n">
        <v>15432</v>
      </c>
      <c r="I30" s="26" t="n">
        <v>1</v>
      </c>
      <c r="J30" s="37" t="n">
        <f aca="false">H30*I30</f>
        <v>15432</v>
      </c>
      <c r="K30" s="38" t="n">
        <v>46268</v>
      </c>
      <c r="L30" s="11" t="n">
        <v>36</v>
      </c>
      <c r="M30" s="11" t="n">
        <v>49</v>
      </c>
      <c r="N30" s="38" t="n">
        <v>46317</v>
      </c>
      <c r="O30" s="11" t="n">
        <f aca="false">IF(INT((N30-Assumptions!$C$2)/7)+1&gt;Assumptions!$C$3,"after W13",INT((N30-Assumptions!$C$2)/7)+1)</f>
        <v>2</v>
      </c>
      <c r="P30" s="38" t="n">
        <f aca="false">IF(AND(D30="Receipt",G30="C01"),WORKDAY(N30+Assumptions!$C$14-1,1),N30)</f>
        <v>46317</v>
      </c>
      <c r="Q30" s="11" t="n">
        <f aca="false">IF(INT((P30-Assumptions!$C$2)/7)+1&gt;Assumptions!$C$3,"after W13",INT((P30-Assumptions!$C$2)/7)+1)</f>
        <v>2</v>
      </c>
      <c r="R30" s="38" t="n">
        <f aca="false">IF(AND(D30="Receipt",OR(G30="C01",G30="C02",G30="C03",G30="C04",G30="C07")),WORKDAY(N30+IF(G30="C01",Assumptions!$C$14,Assumptions!$C$15)-1,1),N30)</f>
        <v>46332</v>
      </c>
      <c r="S30" s="11" t="n">
        <f aca="false">IF(INT((R30-Assumptions!$C$2)/7)+1&gt;Assumptions!$C$3,"after W13",INT((R30-Assumptions!$C$2)/7)+1)</f>
        <v>4</v>
      </c>
      <c r="T30" s="11" t="s">
        <v>365</v>
      </c>
      <c r="U30" s="11" t="s">
        <v>366</v>
      </c>
      <c r="V30" s="11" t="s">
        <v>283</v>
      </c>
    </row>
    <row r="31" customFormat="false" ht="15" hidden="false" customHeight="false" outlineLevel="0" collapsed="false">
      <c r="A31" s="11" t="s">
        <v>367</v>
      </c>
      <c r="B31" s="11" t="s">
        <v>47</v>
      </c>
      <c r="C31" s="11" t="s">
        <v>368</v>
      </c>
      <c r="D31" s="11" t="s">
        <v>278</v>
      </c>
      <c r="E31" s="11" t="s">
        <v>279</v>
      </c>
      <c r="F31" s="11" t="s">
        <v>280</v>
      </c>
      <c r="G31" s="11" t="s">
        <v>281</v>
      </c>
      <c r="H31" s="37" t="n">
        <v>6756</v>
      </c>
      <c r="I31" s="26" t="n">
        <v>1</v>
      </c>
      <c r="J31" s="37" t="n">
        <f aca="false">H31*I31</f>
        <v>6756</v>
      </c>
      <c r="K31" s="38" t="n">
        <v>46317</v>
      </c>
      <c r="L31" s="11" t="n">
        <v>0</v>
      </c>
      <c r="M31" s="11" t="n">
        <v>0</v>
      </c>
      <c r="N31" s="38" t="n">
        <v>46317</v>
      </c>
      <c r="O31" s="11" t="n">
        <f aca="false">IF(INT((N31-Assumptions!$C$2)/7)+1&gt;Assumptions!$C$3,"after W13",INT((N31-Assumptions!$C$2)/7)+1)</f>
        <v>2</v>
      </c>
      <c r="P31" s="38" t="n">
        <f aca="false">IF(AND(D31="Receipt",G31="C01"),WORKDAY(N31+Assumptions!$C$14-1,1),N31)</f>
        <v>46317</v>
      </c>
      <c r="Q31" s="11" t="n">
        <f aca="false">IF(INT((P31-Assumptions!$C$2)/7)+1&gt;Assumptions!$C$3,"after W13",INT((P31-Assumptions!$C$2)/7)+1)</f>
        <v>2</v>
      </c>
      <c r="R31" s="38" t="n">
        <f aca="false">IF(AND(D31="Receipt",OR(G31="C01",G31="C02",G31="C03",G31="C04",G31="C07")),WORKDAY(N31+IF(G31="C01",Assumptions!$C$14,Assumptions!$C$15)-1,1),N31)</f>
        <v>46317</v>
      </c>
      <c r="S31" s="11" t="n">
        <f aca="false">IF(INT((R31-Assumptions!$C$2)/7)+1&gt;Assumptions!$C$3,"after W13",INT((R31-Assumptions!$C$2)/7)+1)</f>
        <v>2</v>
      </c>
      <c r="T31" s="11" t="s">
        <v>282</v>
      </c>
      <c r="U31" s="11" t="s">
        <v>275</v>
      </c>
      <c r="V31" s="11" t="s">
        <v>283</v>
      </c>
    </row>
    <row r="32" customFormat="false" ht="15" hidden="false" customHeight="false" outlineLevel="0" collapsed="false">
      <c r="A32" s="11" t="s">
        <v>369</v>
      </c>
      <c r="B32" s="11" t="s">
        <v>47</v>
      </c>
      <c r="C32" s="11" t="s">
        <v>370</v>
      </c>
      <c r="D32" s="11" t="s">
        <v>278</v>
      </c>
      <c r="E32" s="11" t="s">
        <v>286</v>
      </c>
      <c r="F32" s="11" t="s">
        <v>327</v>
      </c>
      <c r="G32" s="11" t="s">
        <v>328</v>
      </c>
      <c r="H32" s="37" t="n">
        <v>15720</v>
      </c>
      <c r="I32" s="26" t="n">
        <v>1</v>
      </c>
      <c r="J32" s="37" t="n">
        <f aca="false">H32*I32</f>
        <v>15720</v>
      </c>
      <c r="K32" s="38" t="n">
        <v>46294</v>
      </c>
      <c r="L32" s="11" t="n">
        <v>10</v>
      </c>
      <c r="M32" s="11" t="n">
        <v>24</v>
      </c>
      <c r="N32" s="38" t="n">
        <v>46318</v>
      </c>
      <c r="O32" s="11" t="n">
        <f aca="false">IF(INT((N32-Assumptions!$C$2)/7)+1&gt;Assumptions!$C$3,"after W13",INT((N32-Assumptions!$C$2)/7)+1)</f>
        <v>2</v>
      </c>
      <c r="P32" s="38" t="n">
        <f aca="false">IF(AND(D32="Receipt",G32="C01"),WORKDAY(N32+Assumptions!$C$14-1,1),N32)</f>
        <v>46318</v>
      </c>
      <c r="Q32" s="11" t="n">
        <f aca="false">IF(INT((P32-Assumptions!$C$2)/7)+1&gt;Assumptions!$C$3,"after W13",INT((P32-Assumptions!$C$2)/7)+1)</f>
        <v>2</v>
      </c>
      <c r="R32" s="38" t="n">
        <f aca="false">IF(AND(D32="Receipt",OR(G32="C01",G32="C02",G32="C03",G32="C04",G32="C07")),WORKDAY(N32+IF(G32="C01",Assumptions!$C$14,Assumptions!$C$15)-1,1),N32)</f>
        <v>46335</v>
      </c>
      <c r="S32" s="11" t="n">
        <f aca="false">IF(INT((R32-Assumptions!$C$2)/7)+1&gt;Assumptions!$C$3,"after W13",INT((R32-Assumptions!$C$2)/7)+1)</f>
        <v>5</v>
      </c>
      <c r="T32" s="11" t="s">
        <v>282</v>
      </c>
      <c r="U32" s="11" t="s">
        <v>275</v>
      </c>
      <c r="V32" s="11" t="s">
        <v>283</v>
      </c>
    </row>
    <row r="33" customFormat="false" ht="15" hidden="false" customHeight="false" outlineLevel="0" collapsed="false">
      <c r="A33" s="11" t="s">
        <v>371</v>
      </c>
      <c r="B33" s="11" t="s">
        <v>47</v>
      </c>
      <c r="C33" s="11" t="s">
        <v>372</v>
      </c>
      <c r="D33" s="11" t="s">
        <v>278</v>
      </c>
      <c r="E33" s="11" t="s">
        <v>286</v>
      </c>
      <c r="F33" s="11" t="s">
        <v>331</v>
      </c>
      <c r="G33" s="11" t="s">
        <v>332</v>
      </c>
      <c r="H33" s="37" t="n">
        <v>11652</v>
      </c>
      <c r="I33" s="26" t="n">
        <v>1</v>
      </c>
      <c r="J33" s="37" t="n">
        <f aca="false">H33*I33</f>
        <v>11652</v>
      </c>
      <c r="K33" s="38" t="n">
        <v>46290</v>
      </c>
      <c r="L33" s="11" t="n">
        <v>14</v>
      </c>
      <c r="M33" s="11" t="n">
        <v>28</v>
      </c>
      <c r="N33" s="38" t="n">
        <v>46318</v>
      </c>
      <c r="O33" s="11" t="n">
        <f aca="false">IF(INT((N33-Assumptions!$C$2)/7)+1&gt;Assumptions!$C$3,"after W13",INT((N33-Assumptions!$C$2)/7)+1)</f>
        <v>2</v>
      </c>
      <c r="P33" s="38" t="n">
        <f aca="false">IF(AND(D33="Receipt",G33="C01"),WORKDAY(N33+Assumptions!$C$14-1,1),N33)</f>
        <v>46318</v>
      </c>
      <c r="Q33" s="11" t="n">
        <f aca="false">IF(INT((P33-Assumptions!$C$2)/7)+1&gt;Assumptions!$C$3,"after W13",INT((P33-Assumptions!$C$2)/7)+1)</f>
        <v>2</v>
      </c>
      <c r="R33" s="38" t="n">
        <f aca="false">IF(AND(D33="Receipt",OR(G33="C01",G33="C02",G33="C03",G33="C04",G33="C07")),WORKDAY(N33+IF(G33="C01",Assumptions!$C$14,Assumptions!$C$15)-1,1),N33)</f>
        <v>46335</v>
      </c>
      <c r="S33" s="11" t="n">
        <f aca="false">IF(INT((R33-Assumptions!$C$2)/7)+1&gt;Assumptions!$C$3,"after W13",INT((R33-Assumptions!$C$2)/7)+1)</f>
        <v>5</v>
      </c>
      <c r="T33" s="11" t="s">
        <v>282</v>
      </c>
      <c r="U33" s="11" t="s">
        <v>275</v>
      </c>
      <c r="V33" s="11" t="s">
        <v>283</v>
      </c>
    </row>
    <row r="34" customFormat="false" ht="15" hidden="false" customHeight="false" outlineLevel="0" collapsed="false">
      <c r="A34" s="11" t="s">
        <v>373</v>
      </c>
      <c r="B34" s="11" t="s">
        <v>47</v>
      </c>
      <c r="C34" s="11" t="s">
        <v>374</v>
      </c>
      <c r="D34" s="11" t="s">
        <v>278</v>
      </c>
      <c r="E34" s="11" t="s">
        <v>322</v>
      </c>
      <c r="F34" s="11" t="s">
        <v>323</v>
      </c>
      <c r="G34" s="11" t="s">
        <v>324</v>
      </c>
      <c r="H34" s="37" t="n">
        <v>5052</v>
      </c>
      <c r="I34" s="26" t="n">
        <v>1</v>
      </c>
      <c r="J34" s="37" t="n">
        <f aca="false">H34*I34</f>
        <v>5052</v>
      </c>
      <c r="K34" s="38" t="n">
        <v>46276</v>
      </c>
      <c r="L34" s="11" t="n">
        <v>28</v>
      </c>
      <c r="M34" s="11" t="n">
        <v>42</v>
      </c>
      <c r="N34" s="38" t="n">
        <v>46318</v>
      </c>
      <c r="O34" s="11" t="n">
        <f aca="false">IF(INT((N34-Assumptions!$C$2)/7)+1&gt;Assumptions!$C$3,"after W13",INT((N34-Assumptions!$C$2)/7)+1)</f>
        <v>2</v>
      </c>
      <c r="P34" s="38" t="n">
        <f aca="false">IF(AND(D34="Receipt",G34="C01"),WORKDAY(N34+Assumptions!$C$14-1,1),N34)</f>
        <v>46318</v>
      </c>
      <c r="Q34" s="11" t="n">
        <f aca="false">IF(INT((P34-Assumptions!$C$2)/7)+1&gt;Assumptions!$C$3,"after W13",INT((P34-Assumptions!$C$2)/7)+1)</f>
        <v>2</v>
      </c>
      <c r="R34" s="38" t="n">
        <f aca="false">IF(AND(D34="Receipt",OR(G34="C01",G34="C02",G34="C03",G34="C04",G34="C07")),WORKDAY(N34+IF(G34="C01",Assumptions!$C$14,Assumptions!$C$15)-1,1),N34)</f>
        <v>46318</v>
      </c>
      <c r="S34" s="11" t="n">
        <f aca="false">IF(INT((R34-Assumptions!$C$2)/7)+1&gt;Assumptions!$C$3,"after W13",INT((R34-Assumptions!$C$2)/7)+1)</f>
        <v>2</v>
      </c>
      <c r="T34" s="11" t="s">
        <v>282</v>
      </c>
      <c r="U34" s="11" t="s">
        <v>275</v>
      </c>
      <c r="V34" s="11" t="s">
        <v>283</v>
      </c>
    </row>
    <row r="35" customFormat="false" ht="15" hidden="false" customHeight="false" outlineLevel="0" collapsed="false">
      <c r="A35" s="11" t="s">
        <v>375</v>
      </c>
      <c r="B35" s="11" t="s">
        <v>47</v>
      </c>
      <c r="C35" s="11" t="s">
        <v>376</v>
      </c>
      <c r="D35" s="11" t="s">
        <v>278</v>
      </c>
      <c r="E35" s="11" t="s">
        <v>286</v>
      </c>
      <c r="F35" s="11" t="s">
        <v>349</v>
      </c>
      <c r="G35" s="11" t="s">
        <v>350</v>
      </c>
      <c r="H35" s="37" t="n">
        <v>10992</v>
      </c>
      <c r="I35" s="26" t="n">
        <v>1</v>
      </c>
      <c r="J35" s="37" t="n">
        <f aca="false">H35*I35</f>
        <v>10992</v>
      </c>
      <c r="K35" s="38" t="n">
        <v>46308</v>
      </c>
      <c r="L35" s="11" t="n">
        <v>0</v>
      </c>
      <c r="M35" s="11" t="n">
        <v>10</v>
      </c>
      <c r="N35" s="38" t="n">
        <v>46318</v>
      </c>
      <c r="O35" s="11" t="n">
        <f aca="false">IF(INT((N35-Assumptions!$C$2)/7)+1&gt;Assumptions!$C$3,"after W13",INT((N35-Assumptions!$C$2)/7)+1)</f>
        <v>2</v>
      </c>
      <c r="P35" s="38" t="n">
        <f aca="false">IF(AND(D35="Receipt",G35="C01"),WORKDAY(N35+Assumptions!$C$14-1,1),N35)</f>
        <v>46318</v>
      </c>
      <c r="Q35" s="11" t="n">
        <f aca="false">IF(INT((P35-Assumptions!$C$2)/7)+1&gt;Assumptions!$C$3,"after W13",INT((P35-Assumptions!$C$2)/7)+1)</f>
        <v>2</v>
      </c>
      <c r="R35" s="38" t="n">
        <f aca="false">IF(AND(D35="Receipt",OR(G35="C01",G35="C02",G35="C03",G35="C04",G35="C07")),WORKDAY(N35+IF(G35="C01",Assumptions!$C$14,Assumptions!$C$15)-1,1),N35)</f>
        <v>46335</v>
      </c>
      <c r="S35" s="11" t="n">
        <f aca="false">IF(INT((R35-Assumptions!$C$2)/7)+1&gt;Assumptions!$C$3,"after W13",INT((R35-Assumptions!$C$2)/7)+1)</f>
        <v>5</v>
      </c>
      <c r="T35" s="11" t="s">
        <v>282</v>
      </c>
      <c r="U35" s="11" t="s">
        <v>275</v>
      </c>
      <c r="V35" s="11" t="s">
        <v>283</v>
      </c>
    </row>
    <row r="36" customFormat="false" ht="15" hidden="false" customHeight="false" outlineLevel="0" collapsed="false">
      <c r="A36" s="11" t="s">
        <v>377</v>
      </c>
      <c r="B36" s="11" t="s">
        <v>47</v>
      </c>
      <c r="C36" s="11" t="s">
        <v>378</v>
      </c>
      <c r="D36" s="11" t="s">
        <v>278</v>
      </c>
      <c r="E36" s="11" t="s">
        <v>279</v>
      </c>
      <c r="F36" s="11" t="s">
        <v>335</v>
      </c>
      <c r="G36" s="11" t="s">
        <v>336</v>
      </c>
      <c r="H36" s="37" t="n">
        <v>2964</v>
      </c>
      <c r="I36" s="26" t="n">
        <v>1</v>
      </c>
      <c r="J36" s="37" t="n">
        <f aca="false">H36*I36</f>
        <v>2964</v>
      </c>
      <c r="K36" s="38" t="n">
        <v>46311</v>
      </c>
      <c r="L36" s="11" t="n">
        <v>0</v>
      </c>
      <c r="M36" s="11" t="n">
        <v>7</v>
      </c>
      <c r="N36" s="38" t="n">
        <v>46318</v>
      </c>
      <c r="O36" s="11" t="n">
        <f aca="false">IF(INT((N36-Assumptions!$C$2)/7)+1&gt;Assumptions!$C$3,"after W13",INT((N36-Assumptions!$C$2)/7)+1)</f>
        <v>2</v>
      </c>
      <c r="P36" s="38" t="n">
        <f aca="false">IF(AND(D36="Receipt",G36="C01"),WORKDAY(N36+Assumptions!$C$14-1,1),N36)</f>
        <v>46318</v>
      </c>
      <c r="Q36" s="11" t="n">
        <f aca="false">IF(INT((P36-Assumptions!$C$2)/7)+1&gt;Assumptions!$C$3,"after W13",INT((P36-Assumptions!$C$2)/7)+1)</f>
        <v>2</v>
      </c>
      <c r="R36" s="38" t="n">
        <f aca="false">IF(AND(D36="Receipt",OR(G36="C01",G36="C02",G36="C03",G36="C04",G36="C07")),WORKDAY(N36+IF(G36="C01",Assumptions!$C$14,Assumptions!$C$15)-1,1),N36)</f>
        <v>46318</v>
      </c>
      <c r="S36" s="11" t="n">
        <f aca="false">IF(INT((R36-Assumptions!$C$2)/7)+1&gt;Assumptions!$C$3,"after W13",INT((R36-Assumptions!$C$2)/7)+1)</f>
        <v>2</v>
      </c>
      <c r="T36" s="11" t="s">
        <v>282</v>
      </c>
      <c r="U36" s="11" t="s">
        <v>275</v>
      </c>
      <c r="V36" s="11" t="s">
        <v>283</v>
      </c>
    </row>
    <row r="37" customFormat="false" ht="15" hidden="false" customHeight="false" outlineLevel="0" collapsed="false">
      <c r="A37" s="11" t="s">
        <v>379</v>
      </c>
      <c r="B37" s="11" t="s">
        <v>47</v>
      </c>
      <c r="C37" s="11" t="s">
        <v>380</v>
      </c>
      <c r="D37" s="11" t="s">
        <v>278</v>
      </c>
      <c r="E37" s="11" t="s">
        <v>279</v>
      </c>
      <c r="F37" s="11" t="s">
        <v>335</v>
      </c>
      <c r="G37" s="11" t="s">
        <v>336</v>
      </c>
      <c r="H37" s="37" t="n">
        <v>5736</v>
      </c>
      <c r="I37" s="26" t="n">
        <v>1</v>
      </c>
      <c r="J37" s="37" t="n">
        <f aca="false">H37*I37</f>
        <v>5736</v>
      </c>
      <c r="K37" s="38" t="n">
        <v>46311</v>
      </c>
      <c r="L37" s="11" t="n">
        <v>0</v>
      </c>
      <c r="M37" s="11" t="n">
        <v>7</v>
      </c>
      <c r="N37" s="38" t="n">
        <v>46318</v>
      </c>
      <c r="O37" s="11" t="n">
        <f aca="false">IF(INT((N37-Assumptions!$C$2)/7)+1&gt;Assumptions!$C$3,"after W13",INT((N37-Assumptions!$C$2)/7)+1)</f>
        <v>2</v>
      </c>
      <c r="P37" s="38" t="n">
        <f aca="false">IF(AND(D37="Receipt",G37="C01"),WORKDAY(N37+Assumptions!$C$14-1,1),N37)</f>
        <v>46318</v>
      </c>
      <c r="Q37" s="11" t="n">
        <f aca="false">IF(INT((P37-Assumptions!$C$2)/7)+1&gt;Assumptions!$C$3,"after W13",INT((P37-Assumptions!$C$2)/7)+1)</f>
        <v>2</v>
      </c>
      <c r="R37" s="38" t="n">
        <f aca="false">IF(AND(D37="Receipt",OR(G37="C01",G37="C02",G37="C03",G37="C04",G37="C07")),WORKDAY(N37+IF(G37="C01",Assumptions!$C$14,Assumptions!$C$15)-1,1),N37)</f>
        <v>46318</v>
      </c>
      <c r="S37" s="11" t="n">
        <f aca="false">IF(INT((R37-Assumptions!$C$2)/7)+1&gt;Assumptions!$C$3,"after W13",INT((R37-Assumptions!$C$2)/7)+1)</f>
        <v>2</v>
      </c>
      <c r="T37" s="11" t="s">
        <v>282</v>
      </c>
      <c r="U37" s="11" t="s">
        <v>275</v>
      </c>
      <c r="V37" s="11" t="s">
        <v>283</v>
      </c>
    </row>
    <row r="38" customFormat="false" ht="15" hidden="false" customHeight="false" outlineLevel="0" collapsed="false">
      <c r="A38" s="11" t="s">
        <v>381</v>
      </c>
      <c r="B38" s="11" t="s">
        <v>55</v>
      </c>
      <c r="C38" s="11" t="s">
        <v>382</v>
      </c>
      <c r="D38" s="11" t="s">
        <v>271</v>
      </c>
      <c r="E38" s="11" t="s">
        <v>383</v>
      </c>
      <c r="F38" s="11" t="s">
        <v>384</v>
      </c>
      <c r="G38" s="11"/>
      <c r="H38" s="37" t="n">
        <v>-109780</v>
      </c>
      <c r="I38" s="26" t="n">
        <v>1</v>
      </c>
      <c r="J38" s="37" t="n">
        <f aca="false">H38*I38</f>
        <v>-109780</v>
      </c>
      <c r="K38" s="38" t="n">
        <v>46321</v>
      </c>
      <c r="L38" s="11"/>
      <c r="M38" s="11"/>
      <c r="N38" s="38" t="n">
        <v>46321</v>
      </c>
      <c r="O38" s="11" t="n">
        <f aca="false">IF(INT((N38-Assumptions!$C$2)/7)+1&gt;Assumptions!$C$3,"after W13",INT((N38-Assumptions!$C$2)/7)+1)</f>
        <v>3</v>
      </c>
      <c r="P38" s="38" t="n">
        <f aca="false">IF(AND(D38="Receipt",G38="C01"),WORKDAY(N38+Assumptions!$C$14-1,1),N38)</f>
        <v>46321</v>
      </c>
      <c r="Q38" s="11" t="n">
        <f aca="false">IF(INT((P38-Assumptions!$C$2)/7)+1&gt;Assumptions!$C$3,"after W13",INT((P38-Assumptions!$C$2)/7)+1)</f>
        <v>3</v>
      </c>
      <c r="R38" s="38" t="n">
        <f aca="false">IF(AND(D38="Receipt",OR(G38="C01",G38="C02",G38="C03",G38="C04",G38="C07")),WORKDAY(N38+IF(G38="C01",Assumptions!$C$14,Assumptions!$C$15)-1,1),N38)</f>
        <v>46321</v>
      </c>
      <c r="S38" s="11" t="n">
        <f aca="false">IF(INT((R38-Assumptions!$C$2)/7)+1&gt;Assumptions!$C$3,"after W13",INT((R38-Assumptions!$C$2)/7)+1)</f>
        <v>3</v>
      </c>
      <c r="T38" s="11" t="s">
        <v>385</v>
      </c>
      <c r="U38" s="11" t="s">
        <v>275</v>
      </c>
      <c r="V38" s="11" t="s">
        <v>386</v>
      </c>
    </row>
    <row r="39" customFormat="false" ht="15" hidden="false" customHeight="false" outlineLevel="0" collapsed="false">
      <c r="A39" s="11" t="s">
        <v>387</v>
      </c>
      <c r="B39" s="11" t="s">
        <v>47</v>
      </c>
      <c r="C39" s="11" t="s">
        <v>388</v>
      </c>
      <c r="D39" s="11" t="s">
        <v>278</v>
      </c>
      <c r="E39" s="11" t="s">
        <v>286</v>
      </c>
      <c r="F39" s="11" t="s">
        <v>327</v>
      </c>
      <c r="G39" s="11" t="s">
        <v>328</v>
      </c>
      <c r="H39" s="37" t="n">
        <v>7836</v>
      </c>
      <c r="I39" s="26" t="n">
        <v>1</v>
      </c>
      <c r="J39" s="37" t="n">
        <f aca="false">H39*I39</f>
        <v>7836</v>
      </c>
      <c r="K39" s="38" t="n">
        <v>46297</v>
      </c>
      <c r="L39" s="11" t="n">
        <v>7</v>
      </c>
      <c r="M39" s="11" t="n">
        <v>23</v>
      </c>
      <c r="N39" s="38" t="n">
        <v>46321</v>
      </c>
      <c r="O39" s="11" t="n">
        <f aca="false">IF(INT((N39-Assumptions!$C$2)/7)+1&gt;Assumptions!$C$3,"after W13",INT((N39-Assumptions!$C$2)/7)+1)</f>
        <v>3</v>
      </c>
      <c r="P39" s="38" t="n">
        <f aca="false">IF(AND(D39="Receipt",G39="C01"),WORKDAY(N39+Assumptions!$C$14-1,1),N39)</f>
        <v>46321</v>
      </c>
      <c r="Q39" s="11" t="n">
        <f aca="false">IF(INT((P39-Assumptions!$C$2)/7)+1&gt;Assumptions!$C$3,"after W13",INT((P39-Assumptions!$C$2)/7)+1)</f>
        <v>3</v>
      </c>
      <c r="R39" s="38" t="n">
        <f aca="false">IF(AND(D39="Receipt",OR(G39="C01",G39="C02",G39="C03",G39="C04",G39="C07")),WORKDAY(N39+IF(G39="C01",Assumptions!$C$14,Assumptions!$C$15)-1,1),N39)</f>
        <v>46336</v>
      </c>
      <c r="S39" s="11" t="n">
        <f aca="false">IF(INT((R39-Assumptions!$C$2)/7)+1&gt;Assumptions!$C$3,"after W13",INT((R39-Assumptions!$C$2)/7)+1)</f>
        <v>5</v>
      </c>
      <c r="T39" s="11" t="s">
        <v>282</v>
      </c>
      <c r="U39" s="11" t="s">
        <v>275</v>
      </c>
      <c r="V39" s="11" t="s">
        <v>283</v>
      </c>
    </row>
    <row r="40" customFormat="false" ht="15" hidden="false" customHeight="false" outlineLevel="0" collapsed="false">
      <c r="A40" s="11" t="s">
        <v>389</v>
      </c>
      <c r="B40" s="11" t="s">
        <v>47</v>
      </c>
      <c r="C40" s="11" t="s">
        <v>390</v>
      </c>
      <c r="D40" s="11" t="s">
        <v>278</v>
      </c>
      <c r="E40" s="11" t="s">
        <v>391</v>
      </c>
      <c r="F40" s="11" t="s">
        <v>392</v>
      </c>
      <c r="G40" s="11" t="s">
        <v>393</v>
      </c>
      <c r="H40" s="37" t="n">
        <v>16824</v>
      </c>
      <c r="I40" s="26" t="n">
        <v>1</v>
      </c>
      <c r="J40" s="37" t="n">
        <f aca="false">H40*I40</f>
        <v>16824</v>
      </c>
      <c r="K40" s="38" t="n">
        <v>46295</v>
      </c>
      <c r="L40" s="11" t="n">
        <v>9</v>
      </c>
      <c r="M40" s="11" t="n">
        <v>24</v>
      </c>
      <c r="N40" s="38" t="n">
        <v>46321</v>
      </c>
      <c r="O40" s="11" t="n">
        <f aca="false">IF(INT((N40-Assumptions!$C$2)/7)+1&gt;Assumptions!$C$3,"after W13",INT((N40-Assumptions!$C$2)/7)+1)</f>
        <v>3</v>
      </c>
      <c r="P40" s="38" t="n">
        <f aca="false">IF(AND(D40="Receipt",G40="C01"),WORKDAY(N40+Assumptions!$C$14-1,1),N40)</f>
        <v>46321</v>
      </c>
      <c r="Q40" s="11" t="n">
        <f aca="false">IF(INT((P40-Assumptions!$C$2)/7)+1&gt;Assumptions!$C$3,"after W13",INT((P40-Assumptions!$C$2)/7)+1)</f>
        <v>3</v>
      </c>
      <c r="R40" s="38" t="n">
        <f aca="false">IF(AND(D40="Receipt",OR(G40="C01",G40="C02",G40="C03",G40="C04",G40="C07")),WORKDAY(N40+IF(G40="C01",Assumptions!$C$14,Assumptions!$C$15)-1,1),N40)</f>
        <v>46321</v>
      </c>
      <c r="S40" s="11" t="n">
        <f aca="false">IF(INT((R40-Assumptions!$C$2)/7)+1&gt;Assumptions!$C$3,"after W13",INT((R40-Assumptions!$C$2)/7)+1)</f>
        <v>3</v>
      </c>
      <c r="T40" s="11" t="s">
        <v>365</v>
      </c>
      <c r="U40" s="11" t="s">
        <v>366</v>
      </c>
      <c r="V40" s="11" t="s">
        <v>283</v>
      </c>
    </row>
    <row r="41" customFormat="false" ht="15" hidden="false" customHeight="false" outlineLevel="0" collapsed="false">
      <c r="A41" s="11" t="s">
        <v>394</v>
      </c>
      <c r="B41" s="11" t="s">
        <v>47</v>
      </c>
      <c r="C41" s="11" t="s">
        <v>395</v>
      </c>
      <c r="D41" s="11" t="s">
        <v>278</v>
      </c>
      <c r="E41" s="11" t="s">
        <v>279</v>
      </c>
      <c r="F41" s="11" t="s">
        <v>335</v>
      </c>
      <c r="G41" s="11" t="s">
        <v>336</v>
      </c>
      <c r="H41" s="37" t="n">
        <v>12852</v>
      </c>
      <c r="I41" s="26" t="n">
        <v>1</v>
      </c>
      <c r="J41" s="37" t="n">
        <f aca="false">H41*I41</f>
        <v>12852</v>
      </c>
      <c r="K41" s="38" t="n">
        <v>46314</v>
      </c>
      <c r="L41" s="11" t="n">
        <v>0</v>
      </c>
      <c r="M41" s="11" t="n">
        <v>7</v>
      </c>
      <c r="N41" s="38" t="n">
        <v>46321</v>
      </c>
      <c r="O41" s="11" t="n">
        <f aca="false">IF(INT((N41-Assumptions!$C$2)/7)+1&gt;Assumptions!$C$3,"after W13",INT((N41-Assumptions!$C$2)/7)+1)</f>
        <v>3</v>
      </c>
      <c r="P41" s="38" t="n">
        <f aca="false">IF(AND(D41="Receipt",G41="C01"),WORKDAY(N41+Assumptions!$C$14-1,1),N41)</f>
        <v>46321</v>
      </c>
      <c r="Q41" s="11" t="n">
        <f aca="false">IF(INT((P41-Assumptions!$C$2)/7)+1&gt;Assumptions!$C$3,"after W13",INT((P41-Assumptions!$C$2)/7)+1)</f>
        <v>3</v>
      </c>
      <c r="R41" s="38" t="n">
        <f aca="false">IF(AND(D41="Receipt",OR(G41="C01",G41="C02",G41="C03",G41="C04",G41="C07")),WORKDAY(N41+IF(G41="C01",Assumptions!$C$14,Assumptions!$C$15)-1,1),N41)</f>
        <v>46321</v>
      </c>
      <c r="S41" s="11" t="n">
        <f aca="false">IF(INT((R41-Assumptions!$C$2)/7)+1&gt;Assumptions!$C$3,"after W13",INT((R41-Assumptions!$C$2)/7)+1)</f>
        <v>3</v>
      </c>
      <c r="T41" s="11" t="s">
        <v>282</v>
      </c>
      <c r="U41" s="11" t="s">
        <v>275</v>
      </c>
      <c r="V41" s="11" t="s">
        <v>283</v>
      </c>
    </row>
    <row r="42" customFormat="false" ht="15" hidden="false" customHeight="false" outlineLevel="0" collapsed="false">
      <c r="A42" s="11" t="s">
        <v>396</v>
      </c>
      <c r="B42" s="11" t="s">
        <v>47</v>
      </c>
      <c r="C42" s="11" t="s">
        <v>397</v>
      </c>
      <c r="D42" s="11" t="s">
        <v>278</v>
      </c>
      <c r="E42" s="11" t="s">
        <v>398</v>
      </c>
      <c r="F42" s="11" t="s">
        <v>399</v>
      </c>
      <c r="G42" s="11" t="s">
        <v>400</v>
      </c>
      <c r="H42" s="37" t="n">
        <v>14520</v>
      </c>
      <c r="I42" s="26" t="n">
        <v>1</v>
      </c>
      <c r="J42" s="37" t="n">
        <f aca="false">H42*I42</f>
        <v>14520</v>
      </c>
      <c r="K42" s="38" t="n">
        <v>46313</v>
      </c>
      <c r="L42" s="11" t="n">
        <v>0</v>
      </c>
      <c r="M42" s="11" t="n">
        <v>8.5</v>
      </c>
      <c r="N42" s="38" t="n">
        <v>46321</v>
      </c>
      <c r="O42" s="11" t="n">
        <f aca="false">IF(INT((N42-Assumptions!$C$2)/7)+1&gt;Assumptions!$C$3,"after W13",INT((N42-Assumptions!$C$2)/7)+1)</f>
        <v>3</v>
      </c>
      <c r="P42" s="38" t="n">
        <f aca="false">IF(AND(D42="Receipt",G42="C01"),WORKDAY(N42+Assumptions!$C$14-1,1),N42)</f>
        <v>46321</v>
      </c>
      <c r="Q42" s="11" t="n">
        <f aca="false">IF(INT((P42-Assumptions!$C$2)/7)+1&gt;Assumptions!$C$3,"after W13",INT((P42-Assumptions!$C$2)/7)+1)</f>
        <v>3</v>
      </c>
      <c r="R42" s="38" t="n">
        <f aca="false">IF(AND(D42="Receipt",OR(G42="C01",G42="C02",G42="C03",G42="C04",G42="C07")),WORKDAY(N42+IF(G42="C01",Assumptions!$C$14,Assumptions!$C$15)-1,1),N42)</f>
        <v>46321</v>
      </c>
      <c r="S42" s="11" t="n">
        <f aca="false">IF(INT((R42-Assumptions!$C$2)/7)+1&gt;Assumptions!$C$3,"after W13",INT((R42-Assumptions!$C$2)/7)+1)</f>
        <v>3</v>
      </c>
      <c r="T42" s="11" t="s">
        <v>282</v>
      </c>
      <c r="U42" s="11" t="s">
        <v>275</v>
      </c>
      <c r="V42" s="11" t="s">
        <v>283</v>
      </c>
    </row>
    <row r="43" customFormat="false" ht="15" hidden="false" customHeight="false" outlineLevel="0" collapsed="false">
      <c r="A43" s="11" t="s">
        <v>401</v>
      </c>
      <c r="B43" s="11" t="s">
        <v>47</v>
      </c>
      <c r="C43" s="11" t="s">
        <v>402</v>
      </c>
      <c r="D43" s="11" t="s">
        <v>278</v>
      </c>
      <c r="E43" s="11" t="s">
        <v>286</v>
      </c>
      <c r="F43" s="11" t="s">
        <v>327</v>
      </c>
      <c r="G43" s="11" t="s">
        <v>328</v>
      </c>
      <c r="H43" s="37" t="n">
        <v>18648</v>
      </c>
      <c r="I43" s="26" t="n">
        <v>1</v>
      </c>
      <c r="J43" s="37" t="n">
        <f aca="false">H43*I43</f>
        <v>18648</v>
      </c>
      <c r="K43" s="38" t="n">
        <v>46301</v>
      </c>
      <c r="L43" s="11" t="n">
        <v>3</v>
      </c>
      <c r="M43" s="11" t="n">
        <v>21</v>
      </c>
      <c r="N43" s="38" t="n">
        <v>46322</v>
      </c>
      <c r="O43" s="11" t="n">
        <f aca="false">IF(INT((N43-Assumptions!$C$2)/7)+1&gt;Assumptions!$C$3,"after W13",INT((N43-Assumptions!$C$2)/7)+1)</f>
        <v>3</v>
      </c>
      <c r="P43" s="38" t="n">
        <f aca="false">IF(AND(D43="Receipt",G43="C01"),WORKDAY(N43+Assumptions!$C$14-1,1),N43)</f>
        <v>46322</v>
      </c>
      <c r="Q43" s="11" t="n">
        <f aca="false">IF(INT((P43-Assumptions!$C$2)/7)+1&gt;Assumptions!$C$3,"after W13",INT((P43-Assumptions!$C$2)/7)+1)</f>
        <v>3</v>
      </c>
      <c r="R43" s="38" t="n">
        <f aca="false">IF(AND(D43="Receipt",OR(G43="C01",G43="C02",G43="C03",G43="C04",G43="C07")),WORKDAY(N43+IF(G43="C01",Assumptions!$C$14,Assumptions!$C$15)-1,1),N43)</f>
        <v>46337</v>
      </c>
      <c r="S43" s="11" t="n">
        <f aca="false">IF(INT((R43-Assumptions!$C$2)/7)+1&gt;Assumptions!$C$3,"after W13",INT((R43-Assumptions!$C$2)/7)+1)</f>
        <v>5</v>
      </c>
      <c r="T43" s="11" t="s">
        <v>282</v>
      </c>
      <c r="U43" s="11" t="s">
        <v>275</v>
      </c>
      <c r="V43" s="11" t="s">
        <v>283</v>
      </c>
    </row>
    <row r="44" customFormat="false" ht="15" hidden="false" customHeight="false" outlineLevel="0" collapsed="false">
      <c r="A44" s="11" t="s">
        <v>403</v>
      </c>
      <c r="B44" s="11" t="s">
        <v>55</v>
      </c>
      <c r="C44" s="11" t="s">
        <v>404</v>
      </c>
      <c r="D44" s="11" t="s">
        <v>271</v>
      </c>
      <c r="E44" s="11" t="s">
        <v>291</v>
      </c>
      <c r="F44" s="11" t="s">
        <v>292</v>
      </c>
      <c r="G44" s="11"/>
      <c r="H44" s="37" t="n">
        <v>-4700</v>
      </c>
      <c r="I44" s="26" t="n">
        <v>1</v>
      </c>
      <c r="J44" s="37" t="n">
        <f aca="false">H44*I44</f>
        <v>-4700</v>
      </c>
      <c r="K44" s="38" t="n">
        <v>46323</v>
      </c>
      <c r="L44" s="11"/>
      <c r="M44" s="11"/>
      <c r="N44" s="38" t="n">
        <v>46323</v>
      </c>
      <c r="O44" s="11" t="n">
        <f aca="false">IF(INT((N44-Assumptions!$C$2)/7)+1&gt;Assumptions!$C$3,"after W13",INT((N44-Assumptions!$C$2)/7)+1)</f>
        <v>3</v>
      </c>
      <c r="P44" s="38" t="n">
        <f aca="false">IF(AND(D44="Receipt",G44="C01"),WORKDAY(N44+Assumptions!$C$14-1,1),N44)</f>
        <v>46323</v>
      </c>
      <c r="Q44" s="11" t="n">
        <f aca="false">IF(INT((P44-Assumptions!$C$2)/7)+1&gt;Assumptions!$C$3,"after W13",INT((P44-Assumptions!$C$2)/7)+1)</f>
        <v>3</v>
      </c>
      <c r="R44" s="38" t="n">
        <f aca="false">IF(AND(D44="Receipt",OR(G44="C01",G44="C02",G44="C03",G44="C04",G44="C07")),WORKDAY(N44+IF(G44="C01",Assumptions!$C$14,Assumptions!$C$15)-1,1),N44)</f>
        <v>46323</v>
      </c>
      <c r="S44" s="11" t="n">
        <f aca="false">IF(INT((R44-Assumptions!$C$2)/7)+1&gt;Assumptions!$C$3,"after W13",INT((R44-Assumptions!$C$2)/7)+1)</f>
        <v>3</v>
      </c>
      <c r="T44" s="11" t="s">
        <v>293</v>
      </c>
      <c r="U44" s="11" t="s">
        <v>275</v>
      </c>
      <c r="V44" s="11" t="s">
        <v>294</v>
      </c>
    </row>
    <row r="45" customFormat="false" ht="15" hidden="false" customHeight="false" outlineLevel="0" collapsed="false">
      <c r="A45" s="11" t="s">
        <v>405</v>
      </c>
      <c r="B45" s="11" t="s">
        <v>47</v>
      </c>
      <c r="C45" s="11" t="s">
        <v>406</v>
      </c>
      <c r="D45" s="11" t="s">
        <v>278</v>
      </c>
      <c r="E45" s="11" t="s">
        <v>322</v>
      </c>
      <c r="F45" s="11" t="s">
        <v>323</v>
      </c>
      <c r="G45" s="11" t="s">
        <v>324</v>
      </c>
      <c r="H45" s="37" t="n">
        <v>11508</v>
      </c>
      <c r="I45" s="26" t="n">
        <v>1</v>
      </c>
      <c r="J45" s="37" t="n">
        <f aca="false">H45*I45</f>
        <v>11508</v>
      </c>
      <c r="K45" s="38" t="n">
        <v>46311</v>
      </c>
      <c r="L45" s="11" t="n">
        <v>0</v>
      </c>
      <c r="M45" s="11" t="n">
        <v>12</v>
      </c>
      <c r="N45" s="38" t="n">
        <v>46323</v>
      </c>
      <c r="O45" s="11" t="n">
        <f aca="false">IF(INT((N45-Assumptions!$C$2)/7)+1&gt;Assumptions!$C$3,"after W13",INT((N45-Assumptions!$C$2)/7)+1)</f>
        <v>3</v>
      </c>
      <c r="P45" s="38" t="n">
        <f aca="false">IF(AND(D45="Receipt",G45="C01"),WORKDAY(N45+Assumptions!$C$14-1,1),N45)</f>
        <v>46323</v>
      </c>
      <c r="Q45" s="11" t="n">
        <f aca="false">IF(INT((P45-Assumptions!$C$2)/7)+1&gt;Assumptions!$C$3,"after W13",INT((P45-Assumptions!$C$2)/7)+1)</f>
        <v>3</v>
      </c>
      <c r="R45" s="38" t="n">
        <f aca="false">IF(AND(D45="Receipt",OR(G45="C01",G45="C02",G45="C03",G45="C04",G45="C07")),WORKDAY(N45+IF(G45="C01",Assumptions!$C$14,Assumptions!$C$15)-1,1),N45)</f>
        <v>46323</v>
      </c>
      <c r="S45" s="11" t="n">
        <f aca="false">IF(INT((R45-Assumptions!$C$2)/7)+1&gt;Assumptions!$C$3,"after W13",INT((R45-Assumptions!$C$2)/7)+1)</f>
        <v>3</v>
      </c>
      <c r="T45" s="11" t="s">
        <v>282</v>
      </c>
      <c r="U45" s="11" t="s">
        <v>275</v>
      </c>
      <c r="V45" s="11" t="s">
        <v>283</v>
      </c>
    </row>
    <row r="46" customFormat="false" ht="15" hidden="false" customHeight="false" outlineLevel="0" collapsed="false">
      <c r="A46" s="11" t="s">
        <v>407</v>
      </c>
      <c r="B46" s="11" t="s">
        <v>47</v>
      </c>
      <c r="C46" s="11" t="s">
        <v>408</v>
      </c>
      <c r="D46" s="11" t="s">
        <v>278</v>
      </c>
      <c r="E46" s="11" t="s">
        <v>286</v>
      </c>
      <c r="F46" s="11" t="s">
        <v>287</v>
      </c>
      <c r="G46" s="11" t="s">
        <v>288</v>
      </c>
      <c r="H46" s="37" t="n">
        <v>2016</v>
      </c>
      <c r="I46" s="26" t="n">
        <v>1</v>
      </c>
      <c r="J46" s="37" t="n">
        <f aca="false">H46*I46</f>
        <v>2016</v>
      </c>
      <c r="K46" s="38" t="n">
        <v>46320</v>
      </c>
      <c r="L46" s="11" t="n">
        <v>0</v>
      </c>
      <c r="M46" s="11" t="n">
        <v>3</v>
      </c>
      <c r="N46" s="38" t="n">
        <v>46323</v>
      </c>
      <c r="O46" s="11" t="n">
        <f aca="false">IF(INT((N46-Assumptions!$C$2)/7)+1&gt;Assumptions!$C$3,"after W13",INT((N46-Assumptions!$C$2)/7)+1)</f>
        <v>3</v>
      </c>
      <c r="P46" s="38" t="n">
        <f aca="false">IF(AND(D46="Receipt",G46="C01"),WORKDAY(N46+Assumptions!$C$14-1,1),N46)</f>
        <v>46323</v>
      </c>
      <c r="Q46" s="11" t="n">
        <f aca="false">IF(INT((P46-Assumptions!$C$2)/7)+1&gt;Assumptions!$C$3,"after W13",INT((P46-Assumptions!$C$2)/7)+1)</f>
        <v>3</v>
      </c>
      <c r="R46" s="38" t="n">
        <f aca="false">IF(AND(D46="Receipt",OR(G46="C01",G46="C02",G46="C03",G46="C04",G46="C07")),WORKDAY(N46+IF(G46="C01",Assumptions!$C$14,Assumptions!$C$15)-1,1),N46)</f>
        <v>46338</v>
      </c>
      <c r="S46" s="11" t="n">
        <f aca="false">IF(INT((R46-Assumptions!$C$2)/7)+1&gt;Assumptions!$C$3,"after W13",INT((R46-Assumptions!$C$2)/7)+1)</f>
        <v>5</v>
      </c>
      <c r="T46" s="11" t="s">
        <v>282</v>
      </c>
      <c r="U46" s="11" t="s">
        <v>275</v>
      </c>
      <c r="V46" s="11" t="s">
        <v>283</v>
      </c>
    </row>
    <row r="47" customFormat="false" ht="15" hidden="false" customHeight="false" outlineLevel="0" collapsed="false">
      <c r="A47" s="11" t="s">
        <v>409</v>
      </c>
      <c r="B47" s="11" t="s">
        <v>305</v>
      </c>
      <c r="C47" s="11" t="s">
        <v>410</v>
      </c>
      <c r="D47" s="11" t="s">
        <v>271</v>
      </c>
      <c r="E47" s="11" t="s">
        <v>307</v>
      </c>
      <c r="F47" s="11" t="s">
        <v>308</v>
      </c>
      <c r="G47" s="11"/>
      <c r="H47" s="37" t="n">
        <v>-42319.76</v>
      </c>
      <c r="I47" s="26" t="n">
        <v>1</v>
      </c>
      <c r="J47" s="37" t="n">
        <f aca="false">H47*I47</f>
        <v>-42319.76</v>
      </c>
      <c r="K47" s="38" t="n">
        <v>46327</v>
      </c>
      <c r="L47" s="11"/>
      <c r="M47" s="11"/>
      <c r="N47" s="38" t="n">
        <v>46324</v>
      </c>
      <c r="O47" s="11" t="n">
        <f aca="false">IF(INT((N47-Assumptions!$C$2)/7)+1&gt;Assumptions!$C$3,"after W13",INT((N47-Assumptions!$C$2)/7)+1)</f>
        <v>3</v>
      </c>
      <c r="P47" s="38" t="n">
        <f aca="false">IF(AND(D47="Receipt",G47="C01"),WORKDAY(N47+Assumptions!$C$14-1,1),N47)</f>
        <v>46324</v>
      </c>
      <c r="Q47" s="11" t="n">
        <f aca="false">IF(INT((P47-Assumptions!$C$2)/7)+1&gt;Assumptions!$C$3,"after W13",INT((P47-Assumptions!$C$2)/7)+1)</f>
        <v>3</v>
      </c>
      <c r="R47" s="38" t="n">
        <f aca="false">IF(AND(D47="Receipt",OR(G47="C01",G47="C02",G47="C03",G47="C04",G47="C07")),WORKDAY(N47+IF(G47="C01",Assumptions!$C$14,Assumptions!$C$15)-1,1),N47)</f>
        <v>46324</v>
      </c>
      <c r="S47" s="11" t="n">
        <f aca="false">IF(INT((R47-Assumptions!$C$2)/7)+1&gt;Assumptions!$C$3,"after W13",INT((R47-Assumptions!$C$2)/7)+1)</f>
        <v>3</v>
      </c>
      <c r="T47" s="11" t="s">
        <v>309</v>
      </c>
      <c r="U47" s="11" t="s">
        <v>275</v>
      </c>
      <c r="V47" s="11" t="s">
        <v>411</v>
      </c>
    </row>
    <row r="48" customFormat="false" ht="15" hidden="false" customHeight="false" outlineLevel="0" collapsed="false">
      <c r="A48" s="11" t="s">
        <v>412</v>
      </c>
      <c r="B48" s="11" t="s">
        <v>305</v>
      </c>
      <c r="C48" s="11" t="s">
        <v>413</v>
      </c>
      <c r="D48" s="11" t="s">
        <v>271</v>
      </c>
      <c r="E48" s="11" t="s">
        <v>307</v>
      </c>
      <c r="F48" s="11" t="s">
        <v>414</v>
      </c>
      <c r="G48" s="11"/>
      <c r="H48" s="37" t="n">
        <v>-22333.04</v>
      </c>
      <c r="I48" s="26" t="n">
        <v>1</v>
      </c>
      <c r="J48" s="37" t="n">
        <f aca="false">H48*I48</f>
        <v>-22333.04</v>
      </c>
      <c r="K48" s="38" t="n">
        <v>46325</v>
      </c>
      <c r="L48" s="11"/>
      <c r="M48" s="11"/>
      <c r="N48" s="38" t="n">
        <v>46324</v>
      </c>
      <c r="O48" s="11" t="n">
        <f aca="false">IF(INT((N48-Assumptions!$C$2)/7)+1&gt;Assumptions!$C$3,"after W13",INT((N48-Assumptions!$C$2)/7)+1)</f>
        <v>3</v>
      </c>
      <c r="P48" s="38" t="n">
        <f aca="false">IF(AND(D48="Receipt",G48="C01"),WORKDAY(N48+Assumptions!$C$14-1,1),N48)</f>
        <v>46324</v>
      </c>
      <c r="Q48" s="11" t="n">
        <f aca="false">IF(INT((P48-Assumptions!$C$2)/7)+1&gt;Assumptions!$C$3,"after W13",INT((P48-Assumptions!$C$2)/7)+1)</f>
        <v>3</v>
      </c>
      <c r="R48" s="38" t="n">
        <f aca="false">IF(AND(D48="Receipt",OR(G48="C01",G48="C02",G48="C03",G48="C04",G48="C07")),WORKDAY(N48+IF(G48="C01",Assumptions!$C$14,Assumptions!$C$15)-1,1),N48)</f>
        <v>46324</v>
      </c>
      <c r="S48" s="11" t="n">
        <f aca="false">IF(INT((R48-Assumptions!$C$2)/7)+1&gt;Assumptions!$C$3,"after W13",INT((R48-Assumptions!$C$2)/7)+1)</f>
        <v>3</v>
      </c>
      <c r="T48" s="11" t="s">
        <v>309</v>
      </c>
      <c r="U48" s="11" t="s">
        <v>275</v>
      </c>
      <c r="V48" s="11" t="s">
        <v>415</v>
      </c>
    </row>
    <row r="49" customFormat="false" ht="15" hidden="false" customHeight="false" outlineLevel="0" collapsed="false">
      <c r="A49" s="11" t="s">
        <v>416</v>
      </c>
      <c r="B49" s="11" t="s">
        <v>305</v>
      </c>
      <c r="C49" s="11" t="s">
        <v>417</v>
      </c>
      <c r="D49" s="11" t="s">
        <v>271</v>
      </c>
      <c r="E49" s="11" t="s">
        <v>307</v>
      </c>
      <c r="F49" s="11" t="s">
        <v>313</v>
      </c>
      <c r="G49" s="11"/>
      <c r="H49" s="37" t="n">
        <v>-6410.15</v>
      </c>
      <c r="I49" s="26" t="n">
        <v>1</v>
      </c>
      <c r="J49" s="37" t="n">
        <f aca="false">H49*I49</f>
        <v>-6410.15</v>
      </c>
      <c r="K49" s="38" t="n">
        <v>46327</v>
      </c>
      <c r="L49" s="11"/>
      <c r="M49" s="11"/>
      <c r="N49" s="38" t="n">
        <v>46324</v>
      </c>
      <c r="O49" s="11" t="n">
        <f aca="false">IF(INT((N49-Assumptions!$C$2)/7)+1&gt;Assumptions!$C$3,"after W13",INT((N49-Assumptions!$C$2)/7)+1)</f>
        <v>3</v>
      </c>
      <c r="P49" s="38" t="n">
        <f aca="false">IF(AND(D49="Receipt",G49="C01"),WORKDAY(N49+Assumptions!$C$14-1,1),N49)</f>
        <v>46324</v>
      </c>
      <c r="Q49" s="11" t="n">
        <f aca="false">IF(INT((P49-Assumptions!$C$2)/7)+1&gt;Assumptions!$C$3,"after W13",INT((P49-Assumptions!$C$2)/7)+1)</f>
        <v>3</v>
      </c>
      <c r="R49" s="38" t="n">
        <f aca="false">IF(AND(D49="Receipt",OR(G49="C01",G49="C02",G49="C03",G49="C04",G49="C07")),WORKDAY(N49+IF(G49="C01",Assumptions!$C$14,Assumptions!$C$15)-1,1),N49)</f>
        <v>46324</v>
      </c>
      <c r="S49" s="11" t="n">
        <f aca="false">IF(INT((R49-Assumptions!$C$2)/7)+1&gt;Assumptions!$C$3,"after W13",INT((R49-Assumptions!$C$2)/7)+1)</f>
        <v>3</v>
      </c>
      <c r="T49" s="11" t="s">
        <v>309</v>
      </c>
      <c r="U49" s="11" t="s">
        <v>275</v>
      </c>
      <c r="V49" s="11" t="s">
        <v>314</v>
      </c>
    </row>
    <row r="50" customFormat="false" ht="15" hidden="false" customHeight="false" outlineLevel="0" collapsed="false">
      <c r="A50" s="11" t="s">
        <v>418</v>
      </c>
      <c r="B50" s="11" t="s">
        <v>305</v>
      </c>
      <c r="C50" s="11" t="s">
        <v>419</v>
      </c>
      <c r="D50" s="11" t="s">
        <v>271</v>
      </c>
      <c r="E50" s="11" t="s">
        <v>307</v>
      </c>
      <c r="F50" s="11" t="s">
        <v>420</v>
      </c>
      <c r="G50" s="11"/>
      <c r="H50" s="37" t="n">
        <v>-147760.97</v>
      </c>
      <c r="I50" s="26" t="n">
        <v>1</v>
      </c>
      <c r="J50" s="37" t="n">
        <f aca="false">H50*I50</f>
        <v>-147760.97</v>
      </c>
      <c r="K50" s="38" t="n">
        <v>46330</v>
      </c>
      <c r="L50" s="11"/>
      <c r="M50" s="11"/>
      <c r="N50" s="38" t="n">
        <v>46324</v>
      </c>
      <c r="O50" s="11" t="n">
        <f aca="false">IF(INT((N50-Assumptions!$C$2)/7)+1&gt;Assumptions!$C$3,"after W13",INT((N50-Assumptions!$C$2)/7)+1)</f>
        <v>3</v>
      </c>
      <c r="P50" s="38" t="n">
        <f aca="false">IF(AND(D50="Receipt",G50="C01"),WORKDAY(N50+Assumptions!$C$14-1,1),N50)</f>
        <v>46324</v>
      </c>
      <c r="Q50" s="11" t="n">
        <f aca="false">IF(INT((P50-Assumptions!$C$2)/7)+1&gt;Assumptions!$C$3,"after W13",INT((P50-Assumptions!$C$2)/7)+1)</f>
        <v>3</v>
      </c>
      <c r="R50" s="38" t="n">
        <f aca="false">IF(AND(D50="Receipt",OR(G50="C01",G50="C02",G50="C03",G50="C04",G50="C07")),WORKDAY(N50+IF(G50="C01",Assumptions!$C$14,Assumptions!$C$15)-1,1),N50)</f>
        <v>46324</v>
      </c>
      <c r="S50" s="11" t="n">
        <f aca="false">IF(INT((R50-Assumptions!$C$2)/7)+1&gt;Assumptions!$C$3,"after W13",INT((R50-Assumptions!$C$2)/7)+1)</f>
        <v>3</v>
      </c>
      <c r="T50" s="11" t="s">
        <v>309</v>
      </c>
      <c r="U50" s="11" t="s">
        <v>275</v>
      </c>
      <c r="V50" s="11" t="s">
        <v>421</v>
      </c>
    </row>
    <row r="51" customFormat="false" ht="15" hidden="false" customHeight="false" outlineLevel="0" collapsed="false">
      <c r="A51" s="11" t="s">
        <v>422</v>
      </c>
      <c r="B51" s="11" t="s">
        <v>55</v>
      </c>
      <c r="C51" s="11" t="s">
        <v>423</v>
      </c>
      <c r="D51" s="11" t="s">
        <v>271</v>
      </c>
      <c r="E51" s="11" t="s">
        <v>424</v>
      </c>
      <c r="F51" s="11" t="s">
        <v>425</v>
      </c>
      <c r="G51" s="11"/>
      <c r="H51" s="37" t="n">
        <v>-106000</v>
      </c>
      <c r="I51" s="26" t="n">
        <v>1</v>
      </c>
      <c r="J51" s="37" t="n">
        <f aca="false">H51*I51</f>
        <v>-106000</v>
      </c>
      <c r="K51" s="38" t="n">
        <v>46325</v>
      </c>
      <c r="L51" s="11"/>
      <c r="M51" s="11"/>
      <c r="N51" s="38" t="n">
        <v>46325</v>
      </c>
      <c r="O51" s="11" t="n">
        <f aca="false">IF(INT((N51-Assumptions!$C$2)/7)+1&gt;Assumptions!$C$3,"after W13",INT((N51-Assumptions!$C$2)/7)+1)</f>
        <v>3</v>
      </c>
      <c r="P51" s="38" t="n">
        <f aca="false">IF(AND(D51="Receipt",G51="C01"),WORKDAY(N51+Assumptions!$C$14-1,1),N51)</f>
        <v>46325</v>
      </c>
      <c r="Q51" s="11" t="n">
        <f aca="false">IF(INT((P51-Assumptions!$C$2)/7)+1&gt;Assumptions!$C$3,"after W13",INT((P51-Assumptions!$C$2)/7)+1)</f>
        <v>3</v>
      </c>
      <c r="R51" s="38" t="n">
        <f aca="false">IF(AND(D51="Receipt",OR(G51="C01",G51="C02",G51="C03",G51="C04",G51="C07")),WORKDAY(N51+IF(G51="C01",Assumptions!$C$14,Assumptions!$C$15)-1,1),N51)</f>
        <v>46325</v>
      </c>
      <c r="S51" s="11" t="n">
        <f aca="false">IF(INT((R51-Assumptions!$C$2)/7)+1&gt;Assumptions!$C$3,"after W13",INT((R51-Assumptions!$C$2)/7)+1)</f>
        <v>3</v>
      </c>
      <c r="T51" s="11" t="s">
        <v>274</v>
      </c>
      <c r="U51" s="11" t="s">
        <v>275</v>
      </c>
      <c r="V51" s="11"/>
    </row>
    <row r="52" customFormat="false" ht="15" hidden="false" customHeight="false" outlineLevel="0" collapsed="false">
      <c r="A52" s="11" t="s">
        <v>426</v>
      </c>
      <c r="B52" s="11" t="s">
        <v>47</v>
      </c>
      <c r="C52" s="11" t="s">
        <v>427</v>
      </c>
      <c r="D52" s="11" t="s">
        <v>278</v>
      </c>
      <c r="E52" s="11" t="s">
        <v>279</v>
      </c>
      <c r="F52" s="11" t="s">
        <v>335</v>
      </c>
      <c r="G52" s="11" t="s">
        <v>336</v>
      </c>
      <c r="H52" s="37" t="n">
        <v>4692</v>
      </c>
      <c r="I52" s="26" t="n">
        <v>1</v>
      </c>
      <c r="J52" s="37" t="n">
        <f aca="false">H52*I52</f>
        <v>4692</v>
      </c>
      <c r="K52" s="38" t="n">
        <v>46318</v>
      </c>
      <c r="L52" s="11" t="n">
        <v>0</v>
      </c>
      <c r="M52" s="11" t="n">
        <v>7</v>
      </c>
      <c r="N52" s="38" t="n">
        <v>46325</v>
      </c>
      <c r="O52" s="11" t="n">
        <f aca="false">IF(INT((N52-Assumptions!$C$2)/7)+1&gt;Assumptions!$C$3,"after W13",INT((N52-Assumptions!$C$2)/7)+1)</f>
        <v>3</v>
      </c>
      <c r="P52" s="38" t="n">
        <f aca="false">IF(AND(D52="Receipt",G52="C01"),WORKDAY(N52+Assumptions!$C$14-1,1),N52)</f>
        <v>46325</v>
      </c>
      <c r="Q52" s="11" t="n">
        <f aca="false">IF(INT((P52-Assumptions!$C$2)/7)+1&gt;Assumptions!$C$3,"after W13",INT((P52-Assumptions!$C$2)/7)+1)</f>
        <v>3</v>
      </c>
      <c r="R52" s="38" t="n">
        <f aca="false">IF(AND(D52="Receipt",OR(G52="C01",G52="C02",G52="C03",G52="C04",G52="C07")),WORKDAY(N52+IF(G52="C01",Assumptions!$C$14,Assumptions!$C$15)-1,1),N52)</f>
        <v>46325</v>
      </c>
      <c r="S52" s="11" t="n">
        <f aca="false">IF(INT((R52-Assumptions!$C$2)/7)+1&gt;Assumptions!$C$3,"after W13",INT((R52-Assumptions!$C$2)/7)+1)</f>
        <v>3</v>
      </c>
      <c r="T52" s="11" t="s">
        <v>282</v>
      </c>
      <c r="U52" s="11" t="s">
        <v>275</v>
      </c>
      <c r="V52" s="11" t="s">
        <v>283</v>
      </c>
    </row>
    <row r="53" customFormat="false" ht="15" hidden="false" customHeight="false" outlineLevel="0" collapsed="false">
      <c r="A53" s="11" t="s">
        <v>428</v>
      </c>
      <c r="B53" s="11" t="s">
        <v>47</v>
      </c>
      <c r="C53" s="11" t="s">
        <v>429</v>
      </c>
      <c r="D53" s="11" t="s">
        <v>278</v>
      </c>
      <c r="E53" s="11" t="s">
        <v>279</v>
      </c>
      <c r="F53" s="11" t="s">
        <v>335</v>
      </c>
      <c r="G53" s="11" t="s">
        <v>336</v>
      </c>
      <c r="H53" s="37" t="n">
        <v>9588</v>
      </c>
      <c r="I53" s="26" t="n">
        <v>1</v>
      </c>
      <c r="J53" s="37" t="n">
        <f aca="false">H53*I53</f>
        <v>9588</v>
      </c>
      <c r="K53" s="38" t="n">
        <v>46318</v>
      </c>
      <c r="L53" s="11" t="n">
        <v>0</v>
      </c>
      <c r="M53" s="11" t="n">
        <v>7</v>
      </c>
      <c r="N53" s="38" t="n">
        <v>46325</v>
      </c>
      <c r="O53" s="11" t="n">
        <f aca="false">IF(INT((N53-Assumptions!$C$2)/7)+1&gt;Assumptions!$C$3,"after W13",INT((N53-Assumptions!$C$2)/7)+1)</f>
        <v>3</v>
      </c>
      <c r="P53" s="38" t="n">
        <f aca="false">IF(AND(D53="Receipt",G53="C01"),WORKDAY(N53+Assumptions!$C$14-1,1),N53)</f>
        <v>46325</v>
      </c>
      <c r="Q53" s="11" t="n">
        <f aca="false">IF(INT((P53-Assumptions!$C$2)/7)+1&gt;Assumptions!$C$3,"after W13",INT((P53-Assumptions!$C$2)/7)+1)</f>
        <v>3</v>
      </c>
      <c r="R53" s="38" t="n">
        <f aca="false">IF(AND(D53="Receipt",OR(G53="C01",G53="C02",G53="C03",G53="C04",G53="C07")),WORKDAY(N53+IF(G53="C01",Assumptions!$C$14,Assumptions!$C$15)-1,1),N53)</f>
        <v>46325</v>
      </c>
      <c r="S53" s="11" t="n">
        <f aca="false">IF(INT((R53-Assumptions!$C$2)/7)+1&gt;Assumptions!$C$3,"after W13",INT((R53-Assumptions!$C$2)/7)+1)</f>
        <v>3</v>
      </c>
      <c r="T53" s="11" t="s">
        <v>282</v>
      </c>
      <c r="U53" s="11" t="s">
        <v>275</v>
      </c>
      <c r="V53" s="11" t="s">
        <v>283</v>
      </c>
    </row>
    <row r="54" customFormat="false" ht="15" hidden="false" customHeight="false" outlineLevel="0" collapsed="false">
      <c r="A54" s="11" t="s">
        <v>430</v>
      </c>
      <c r="B54" s="11" t="s">
        <v>47</v>
      </c>
      <c r="C54" s="11" t="s">
        <v>431</v>
      </c>
      <c r="D54" s="11" t="s">
        <v>278</v>
      </c>
      <c r="E54" s="11" t="s">
        <v>279</v>
      </c>
      <c r="F54" s="11" t="s">
        <v>280</v>
      </c>
      <c r="G54" s="11" t="s">
        <v>281</v>
      </c>
      <c r="H54" s="37" t="n">
        <v>9324</v>
      </c>
      <c r="I54" s="26" t="n">
        <v>1</v>
      </c>
      <c r="J54" s="37" t="n">
        <f aca="false">H54*I54</f>
        <v>9324</v>
      </c>
      <c r="K54" s="38" t="n">
        <v>46325</v>
      </c>
      <c r="L54" s="11" t="n">
        <v>0</v>
      </c>
      <c r="M54" s="11" t="n">
        <v>0</v>
      </c>
      <c r="N54" s="38" t="n">
        <v>46325</v>
      </c>
      <c r="O54" s="11" t="n">
        <f aca="false">IF(INT((N54-Assumptions!$C$2)/7)+1&gt;Assumptions!$C$3,"after W13",INT((N54-Assumptions!$C$2)/7)+1)</f>
        <v>3</v>
      </c>
      <c r="P54" s="38" t="n">
        <f aca="false">IF(AND(D54="Receipt",G54="C01"),WORKDAY(N54+Assumptions!$C$14-1,1),N54)</f>
        <v>46325</v>
      </c>
      <c r="Q54" s="11" t="n">
        <f aca="false">IF(INT((P54-Assumptions!$C$2)/7)+1&gt;Assumptions!$C$3,"after W13",INT((P54-Assumptions!$C$2)/7)+1)</f>
        <v>3</v>
      </c>
      <c r="R54" s="38" t="n">
        <f aca="false">IF(AND(D54="Receipt",OR(G54="C01",G54="C02",G54="C03",G54="C04",G54="C07")),WORKDAY(N54+IF(G54="C01",Assumptions!$C$14,Assumptions!$C$15)-1,1),N54)</f>
        <v>46325</v>
      </c>
      <c r="S54" s="11" t="n">
        <f aca="false">IF(INT((R54-Assumptions!$C$2)/7)+1&gt;Assumptions!$C$3,"after W13",INT((R54-Assumptions!$C$2)/7)+1)</f>
        <v>3</v>
      </c>
      <c r="T54" s="11" t="s">
        <v>282</v>
      </c>
      <c r="U54" s="11" t="s">
        <v>275</v>
      </c>
      <c r="V54" s="11" t="s">
        <v>283</v>
      </c>
    </row>
    <row r="55" customFormat="false" ht="15" hidden="false" customHeight="false" outlineLevel="0" collapsed="false">
      <c r="A55" s="11" t="s">
        <v>432</v>
      </c>
      <c r="B55" s="11" t="s">
        <v>47</v>
      </c>
      <c r="C55" s="11" t="s">
        <v>433</v>
      </c>
      <c r="D55" s="11" t="s">
        <v>278</v>
      </c>
      <c r="E55" s="11" t="s">
        <v>286</v>
      </c>
      <c r="F55" s="11" t="s">
        <v>327</v>
      </c>
      <c r="G55" s="11" t="s">
        <v>328</v>
      </c>
      <c r="H55" s="37" t="n">
        <v>45012</v>
      </c>
      <c r="I55" s="26" t="n">
        <v>1</v>
      </c>
      <c r="J55" s="37" t="n">
        <f aca="false">H55*I55</f>
        <v>45012</v>
      </c>
      <c r="K55" s="38" t="n">
        <v>46306</v>
      </c>
      <c r="L55" s="11" t="n">
        <v>0</v>
      </c>
      <c r="M55" s="11" t="n">
        <v>21</v>
      </c>
      <c r="N55" s="38" t="n">
        <v>46328</v>
      </c>
      <c r="O55" s="11" t="n">
        <f aca="false">IF(INT((N55-Assumptions!$C$2)/7)+1&gt;Assumptions!$C$3,"after W13",INT((N55-Assumptions!$C$2)/7)+1)</f>
        <v>4</v>
      </c>
      <c r="P55" s="38" t="n">
        <f aca="false">IF(AND(D55="Receipt",G55="C01"),WORKDAY(N55+Assumptions!$C$14-1,1),N55)</f>
        <v>46328</v>
      </c>
      <c r="Q55" s="11" t="n">
        <f aca="false">IF(INT((P55-Assumptions!$C$2)/7)+1&gt;Assumptions!$C$3,"after W13",INT((P55-Assumptions!$C$2)/7)+1)</f>
        <v>4</v>
      </c>
      <c r="R55" s="38" t="n">
        <f aca="false">IF(AND(D55="Receipt",OR(G55="C01",G55="C02",G55="C03",G55="C04",G55="C07")),WORKDAY(N55+IF(G55="C01",Assumptions!$C$14,Assumptions!$C$15)-1,1),N55)</f>
        <v>46343</v>
      </c>
      <c r="S55" s="11" t="n">
        <f aca="false">IF(INT((R55-Assumptions!$C$2)/7)+1&gt;Assumptions!$C$3,"after W13",INT((R55-Assumptions!$C$2)/7)+1)</f>
        <v>6</v>
      </c>
      <c r="T55" s="11" t="s">
        <v>282</v>
      </c>
      <c r="U55" s="11" t="s">
        <v>275</v>
      </c>
      <c r="V55" s="11" t="s">
        <v>283</v>
      </c>
    </row>
    <row r="56" customFormat="false" ht="15" hidden="false" customHeight="false" outlineLevel="0" collapsed="false">
      <c r="A56" s="11" t="s">
        <v>434</v>
      </c>
      <c r="B56" s="11" t="s">
        <v>47</v>
      </c>
      <c r="C56" s="11" t="s">
        <v>435</v>
      </c>
      <c r="D56" s="11" t="s">
        <v>278</v>
      </c>
      <c r="E56" s="11" t="s">
        <v>279</v>
      </c>
      <c r="F56" s="11" t="s">
        <v>335</v>
      </c>
      <c r="G56" s="11" t="s">
        <v>336</v>
      </c>
      <c r="H56" s="37" t="n">
        <v>4008</v>
      </c>
      <c r="I56" s="26" t="n">
        <v>1</v>
      </c>
      <c r="J56" s="37" t="n">
        <f aca="false">H56*I56</f>
        <v>4008</v>
      </c>
      <c r="K56" s="38" t="n">
        <v>46321</v>
      </c>
      <c r="L56" s="11" t="n">
        <v>0</v>
      </c>
      <c r="M56" s="11" t="n">
        <v>7</v>
      </c>
      <c r="N56" s="38" t="n">
        <v>46328</v>
      </c>
      <c r="O56" s="11" t="n">
        <f aca="false">IF(INT((N56-Assumptions!$C$2)/7)+1&gt;Assumptions!$C$3,"after W13",INT((N56-Assumptions!$C$2)/7)+1)</f>
        <v>4</v>
      </c>
      <c r="P56" s="38" t="n">
        <f aca="false">IF(AND(D56="Receipt",G56="C01"),WORKDAY(N56+Assumptions!$C$14-1,1),N56)</f>
        <v>46328</v>
      </c>
      <c r="Q56" s="11" t="n">
        <f aca="false">IF(INT((P56-Assumptions!$C$2)/7)+1&gt;Assumptions!$C$3,"after W13",INT((P56-Assumptions!$C$2)/7)+1)</f>
        <v>4</v>
      </c>
      <c r="R56" s="38" t="n">
        <f aca="false">IF(AND(D56="Receipt",OR(G56="C01",G56="C02",G56="C03",G56="C04",G56="C07")),WORKDAY(N56+IF(G56="C01",Assumptions!$C$14,Assumptions!$C$15)-1,1),N56)</f>
        <v>46328</v>
      </c>
      <c r="S56" s="11" t="n">
        <f aca="false">IF(INT((R56-Assumptions!$C$2)/7)+1&gt;Assumptions!$C$3,"after W13",INT((R56-Assumptions!$C$2)/7)+1)</f>
        <v>4</v>
      </c>
      <c r="T56" s="11" t="s">
        <v>282</v>
      </c>
      <c r="U56" s="11" t="s">
        <v>275</v>
      </c>
      <c r="V56" s="11" t="s">
        <v>283</v>
      </c>
    </row>
    <row r="57" customFormat="false" ht="15" hidden="false" customHeight="false" outlineLevel="0" collapsed="false">
      <c r="A57" s="11" t="s">
        <v>436</v>
      </c>
      <c r="B57" s="11" t="s">
        <v>47</v>
      </c>
      <c r="C57" s="11" t="s">
        <v>437</v>
      </c>
      <c r="D57" s="11" t="s">
        <v>278</v>
      </c>
      <c r="E57" s="11" t="s">
        <v>279</v>
      </c>
      <c r="F57" s="11" t="s">
        <v>280</v>
      </c>
      <c r="G57" s="11" t="s">
        <v>281</v>
      </c>
      <c r="H57" s="37" t="n">
        <v>8784</v>
      </c>
      <c r="I57" s="26" t="n">
        <v>1</v>
      </c>
      <c r="J57" s="37" t="n">
        <f aca="false">H57*I57</f>
        <v>8784</v>
      </c>
      <c r="K57" s="38" t="n">
        <v>46328</v>
      </c>
      <c r="L57" s="11" t="n">
        <v>0</v>
      </c>
      <c r="M57" s="11" t="n">
        <v>0</v>
      </c>
      <c r="N57" s="38" t="n">
        <v>46328</v>
      </c>
      <c r="O57" s="11" t="n">
        <f aca="false">IF(INT((N57-Assumptions!$C$2)/7)+1&gt;Assumptions!$C$3,"after W13",INT((N57-Assumptions!$C$2)/7)+1)</f>
        <v>4</v>
      </c>
      <c r="P57" s="38" t="n">
        <f aca="false">IF(AND(D57="Receipt",G57="C01"),WORKDAY(N57+Assumptions!$C$14-1,1),N57)</f>
        <v>46328</v>
      </c>
      <c r="Q57" s="11" t="n">
        <f aca="false">IF(INT((P57-Assumptions!$C$2)/7)+1&gt;Assumptions!$C$3,"after W13",INT((P57-Assumptions!$C$2)/7)+1)</f>
        <v>4</v>
      </c>
      <c r="R57" s="38" t="n">
        <f aca="false">IF(AND(D57="Receipt",OR(G57="C01",G57="C02",G57="C03",G57="C04",G57="C07")),WORKDAY(N57+IF(G57="C01",Assumptions!$C$14,Assumptions!$C$15)-1,1),N57)</f>
        <v>46328</v>
      </c>
      <c r="S57" s="11" t="n">
        <f aca="false">IF(INT((R57-Assumptions!$C$2)/7)+1&gt;Assumptions!$C$3,"after W13",INT((R57-Assumptions!$C$2)/7)+1)</f>
        <v>4</v>
      </c>
      <c r="T57" s="11" t="s">
        <v>282</v>
      </c>
      <c r="U57" s="11" t="s">
        <v>275</v>
      </c>
      <c r="V57" s="11" t="s">
        <v>283</v>
      </c>
    </row>
    <row r="58" customFormat="false" ht="15" hidden="false" customHeight="false" outlineLevel="0" collapsed="false">
      <c r="A58" s="11" t="s">
        <v>438</v>
      </c>
      <c r="B58" s="11" t="s">
        <v>47</v>
      </c>
      <c r="C58" s="11" t="s">
        <v>439</v>
      </c>
      <c r="D58" s="11" t="s">
        <v>278</v>
      </c>
      <c r="E58" s="11" t="s">
        <v>279</v>
      </c>
      <c r="F58" s="11" t="s">
        <v>280</v>
      </c>
      <c r="G58" s="11" t="s">
        <v>281</v>
      </c>
      <c r="H58" s="37" t="n">
        <v>11028</v>
      </c>
      <c r="I58" s="26" t="n">
        <v>1</v>
      </c>
      <c r="J58" s="37" t="n">
        <f aca="false">H58*I58</f>
        <v>11028</v>
      </c>
      <c r="K58" s="38" t="n">
        <v>46328</v>
      </c>
      <c r="L58" s="11" t="n">
        <v>0</v>
      </c>
      <c r="M58" s="11" t="n">
        <v>0</v>
      </c>
      <c r="N58" s="38" t="n">
        <v>46328</v>
      </c>
      <c r="O58" s="11" t="n">
        <f aca="false">IF(INT((N58-Assumptions!$C$2)/7)+1&gt;Assumptions!$C$3,"after W13",INT((N58-Assumptions!$C$2)/7)+1)</f>
        <v>4</v>
      </c>
      <c r="P58" s="38" t="n">
        <f aca="false">IF(AND(D58="Receipt",G58="C01"),WORKDAY(N58+Assumptions!$C$14-1,1),N58)</f>
        <v>46328</v>
      </c>
      <c r="Q58" s="11" t="n">
        <f aca="false">IF(INT((P58-Assumptions!$C$2)/7)+1&gt;Assumptions!$C$3,"after W13",INT((P58-Assumptions!$C$2)/7)+1)</f>
        <v>4</v>
      </c>
      <c r="R58" s="38" t="n">
        <f aca="false">IF(AND(D58="Receipt",OR(G58="C01",G58="C02",G58="C03",G58="C04",G58="C07")),WORKDAY(N58+IF(G58="C01",Assumptions!$C$14,Assumptions!$C$15)-1,1),N58)</f>
        <v>46328</v>
      </c>
      <c r="S58" s="11" t="n">
        <f aca="false">IF(INT((R58-Assumptions!$C$2)/7)+1&gt;Assumptions!$C$3,"after W13",INT((R58-Assumptions!$C$2)/7)+1)</f>
        <v>4</v>
      </c>
      <c r="T58" s="11" t="s">
        <v>282</v>
      </c>
      <c r="U58" s="11" t="s">
        <v>275</v>
      </c>
      <c r="V58" s="11" t="s">
        <v>283</v>
      </c>
    </row>
    <row r="59" customFormat="false" ht="15" hidden="false" customHeight="false" outlineLevel="0" collapsed="false">
      <c r="A59" s="11" t="s">
        <v>440</v>
      </c>
      <c r="B59" s="11" t="s">
        <v>47</v>
      </c>
      <c r="C59" s="11" t="s">
        <v>441</v>
      </c>
      <c r="D59" s="11" t="s">
        <v>278</v>
      </c>
      <c r="E59" s="11" t="s">
        <v>279</v>
      </c>
      <c r="F59" s="11" t="s">
        <v>280</v>
      </c>
      <c r="G59" s="11" t="s">
        <v>281</v>
      </c>
      <c r="H59" s="37" t="n">
        <v>6300</v>
      </c>
      <c r="I59" s="26" t="n">
        <v>1</v>
      </c>
      <c r="J59" s="37" t="n">
        <f aca="false">H59*I59</f>
        <v>6300</v>
      </c>
      <c r="K59" s="38" t="n">
        <v>46328</v>
      </c>
      <c r="L59" s="11" t="n">
        <v>0</v>
      </c>
      <c r="M59" s="11" t="n">
        <v>0</v>
      </c>
      <c r="N59" s="38" t="n">
        <v>46328</v>
      </c>
      <c r="O59" s="11" t="n">
        <f aca="false">IF(INT((N59-Assumptions!$C$2)/7)+1&gt;Assumptions!$C$3,"after W13",INT((N59-Assumptions!$C$2)/7)+1)</f>
        <v>4</v>
      </c>
      <c r="P59" s="38" t="n">
        <f aca="false">IF(AND(D59="Receipt",G59="C01"),WORKDAY(N59+Assumptions!$C$14-1,1),N59)</f>
        <v>46328</v>
      </c>
      <c r="Q59" s="11" t="n">
        <f aca="false">IF(INT((P59-Assumptions!$C$2)/7)+1&gt;Assumptions!$C$3,"after W13",INT((P59-Assumptions!$C$2)/7)+1)</f>
        <v>4</v>
      </c>
      <c r="R59" s="38" t="n">
        <f aca="false">IF(AND(D59="Receipt",OR(G59="C01",G59="C02",G59="C03",G59="C04",G59="C07")),WORKDAY(N59+IF(G59="C01",Assumptions!$C$14,Assumptions!$C$15)-1,1),N59)</f>
        <v>46328</v>
      </c>
      <c r="S59" s="11" t="n">
        <f aca="false">IF(INT((R59-Assumptions!$C$2)/7)+1&gt;Assumptions!$C$3,"after W13",INT((R59-Assumptions!$C$2)/7)+1)</f>
        <v>4</v>
      </c>
      <c r="T59" s="11" t="s">
        <v>282</v>
      </c>
      <c r="U59" s="11" t="s">
        <v>275</v>
      </c>
      <c r="V59" s="11" t="s">
        <v>283</v>
      </c>
    </row>
    <row r="60" customFormat="false" ht="15" hidden="false" customHeight="false" outlineLevel="0" collapsed="false">
      <c r="A60" s="11" t="s">
        <v>442</v>
      </c>
      <c r="B60" s="11" t="s">
        <v>47</v>
      </c>
      <c r="C60" s="11" t="s">
        <v>443</v>
      </c>
      <c r="D60" s="11" t="s">
        <v>278</v>
      </c>
      <c r="E60" s="11" t="s">
        <v>398</v>
      </c>
      <c r="F60" s="11" t="s">
        <v>399</v>
      </c>
      <c r="G60" s="11" t="s">
        <v>400</v>
      </c>
      <c r="H60" s="37" t="n">
        <v>29448</v>
      </c>
      <c r="I60" s="26" t="n">
        <v>1</v>
      </c>
      <c r="J60" s="37" t="n">
        <f aca="false">H60*I60</f>
        <v>29448</v>
      </c>
      <c r="K60" s="38" t="n">
        <v>46320</v>
      </c>
      <c r="L60" s="11" t="n">
        <v>0</v>
      </c>
      <c r="M60" s="11" t="n">
        <v>8.5</v>
      </c>
      <c r="N60" s="38" t="n">
        <v>46328</v>
      </c>
      <c r="O60" s="11" t="n">
        <f aca="false">IF(INT((N60-Assumptions!$C$2)/7)+1&gt;Assumptions!$C$3,"after W13",INT((N60-Assumptions!$C$2)/7)+1)</f>
        <v>4</v>
      </c>
      <c r="P60" s="38" t="n">
        <f aca="false">IF(AND(D60="Receipt",G60="C01"),WORKDAY(N60+Assumptions!$C$14-1,1),N60)</f>
        <v>46328</v>
      </c>
      <c r="Q60" s="11" t="n">
        <f aca="false">IF(INT((P60-Assumptions!$C$2)/7)+1&gt;Assumptions!$C$3,"after W13",INT((P60-Assumptions!$C$2)/7)+1)</f>
        <v>4</v>
      </c>
      <c r="R60" s="38" t="n">
        <f aca="false">IF(AND(D60="Receipt",OR(G60="C01",G60="C02",G60="C03",G60="C04",G60="C07")),WORKDAY(N60+IF(G60="C01",Assumptions!$C$14,Assumptions!$C$15)-1,1),N60)</f>
        <v>46328</v>
      </c>
      <c r="S60" s="11" t="n">
        <f aca="false">IF(INT((R60-Assumptions!$C$2)/7)+1&gt;Assumptions!$C$3,"after W13",INT((R60-Assumptions!$C$2)/7)+1)</f>
        <v>4</v>
      </c>
      <c r="T60" s="11" t="s">
        <v>282</v>
      </c>
      <c r="U60" s="11" t="s">
        <v>275</v>
      </c>
      <c r="V60" s="11" t="s">
        <v>283</v>
      </c>
    </row>
    <row r="61" customFormat="false" ht="15" hidden="false" customHeight="false" outlineLevel="0" collapsed="false">
      <c r="A61" s="11" t="s">
        <v>444</v>
      </c>
      <c r="B61" s="11" t="s">
        <v>47</v>
      </c>
      <c r="C61" s="11" t="s">
        <v>445</v>
      </c>
      <c r="D61" s="11" t="s">
        <v>278</v>
      </c>
      <c r="E61" s="11" t="s">
        <v>286</v>
      </c>
      <c r="F61" s="11" t="s">
        <v>287</v>
      </c>
      <c r="G61" s="11" t="s">
        <v>288</v>
      </c>
      <c r="H61" s="37" t="n">
        <v>3648</v>
      </c>
      <c r="I61" s="26" t="n">
        <v>1</v>
      </c>
      <c r="J61" s="37" t="n">
        <f aca="false">H61*I61</f>
        <v>3648</v>
      </c>
      <c r="K61" s="38" t="n">
        <v>46323</v>
      </c>
      <c r="L61" s="11" t="n">
        <v>0</v>
      </c>
      <c r="M61" s="11" t="n">
        <v>3</v>
      </c>
      <c r="N61" s="38" t="n">
        <v>46328</v>
      </c>
      <c r="O61" s="11" t="n">
        <f aca="false">IF(INT((N61-Assumptions!$C$2)/7)+1&gt;Assumptions!$C$3,"after W13",INT((N61-Assumptions!$C$2)/7)+1)</f>
        <v>4</v>
      </c>
      <c r="P61" s="38" t="n">
        <f aca="false">IF(AND(D61="Receipt",G61="C01"),WORKDAY(N61+Assumptions!$C$14-1,1),N61)</f>
        <v>46328</v>
      </c>
      <c r="Q61" s="11" t="n">
        <f aca="false">IF(INT((P61-Assumptions!$C$2)/7)+1&gt;Assumptions!$C$3,"after W13",INT((P61-Assumptions!$C$2)/7)+1)</f>
        <v>4</v>
      </c>
      <c r="R61" s="38" t="n">
        <f aca="false">IF(AND(D61="Receipt",OR(G61="C01",G61="C02",G61="C03",G61="C04",G61="C07")),WORKDAY(N61+IF(G61="C01",Assumptions!$C$14,Assumptions!$C$15)-1,1),N61)</f>
        <v>46343</v>
      </c>
      <c r="S61" s="11" t="n">
        <f aca="false">IF(INT((R61-Assumptions!$C$2)/7)+1&gt;Assumptions!$C$3,"after W13",INT((R61-Assumptions!$C$2)/7)+1)</f>
        <v>6</v>
      </c>
      <c r="T61" s="11" t="s">
        <v>282</v>
      </c>
      <c r="U61" s="11" t="s">
        <v>275</v>
      </c>
      <c r="V61" s="11" t="s">
        <v>283</v>
      </c>
    </row>
    <row r="62" customFormat="false" ht="15" hidden="false" customHeight="false" outlineLevel="0" collapsed="false">
      <c r="A62" s="11" t="s">
        <v>446</v>
      </c>
      <c r="B62" s="11" t="s">
        <v>55</v>
      </c>
      <c r="C62" s="11" t="s">
        <v>447</v>
      </c>
      <c r="D62" s="11" t="s">
        <v>271</v>
      </c>
      <c r="E62" s="11" t="s">
        <v>448</v>
      </c>
      <c r="F62" s="11" t="s">
        <v>449</v>
      </c>
      <c r="G62" s="11"/>
      <c r="H62" s="37" t="n">
        <v>-2880</v>
      </c>
      <c r="I62" s="26" t="n">
        <v>1</v>
      </c>
      <c r="J62" s="37" t="n">
        <f aca="false">H62*I62</f>
        <v>-2880</v>
      </c>
      <c r="K62" s="38" t="n">
        <v>46329</v>
      </c>
      <c r="L62" s="11"/>
      <c r="M62" s="11"/>
      <c r="N62" s="38" t="n">
        <v>46329</v>
      </c>
      <c r="O62" s="11" t="n">
        <f aca="false">IF(INT((N62-Assumptions!$C$2)/7)+1&gt;Assumptions!$C$3,"after W13",INT((N62-Assumptions!$C$2)/7)+1)</f>
        <v>4</v>
      </c>
      <c r="P62" s="38" t="n">
        <f aca="false">IF(AND(D62="Receipt",G62="C01"),WORKDAY(N62+Assumptions!$C$14-1,1),N62)</f>
        <v>46329</v>
      </c>
      <c r="Q62" s="11" t="n">
        <f aca="false">IF(INT((P62-Assumptions!$C$2)/7)+1&gt;Assumptions!$C$3,"after W13",INT((P62-Assumptions!$C$2)/7)+1)</f>
        <v>4</v>
      </c>
      <c r="R62" s="38" t="n">
        <f aca="false">IF(AND(D62="Receipt",OR(G62="C01",G62="C02",G62="C03",G62="C04",G62="C07")),WORKDAY(N62+IF(G62="C01",Assumptions!$C$14,Assumptions!$C$15)-1,1),N62)</f>
        <v>46329</v>
      </c>
      <c r="S62" s="11" t="n">
        <f aca="false">IF(INT((R62-Assumptions!$C$2)/7)+1&gt;Assumptions!$C$3,"after W13",INT((R62-Assumptions!$C$2)/7)+1)</f>
        <v>4</v>
      </c>
      <c r="T62" s="11" t="s">
        <v>274</v>
      </c>
      <c r="U62" s="11" t="s">
        <v>275</v>
      </c>
      <c r="V62" s="11"/>
    </row>
    <row r="63" customFormat="false" ht="15" hidden="false" customHeight="false" outlineLevel="0" collapsed="false">
      <c r="A63" s="11" t="s">
        <v>450</v>
      </c>
      <c r="B63" s="11" t="s">
        <v>47</v>
      </c>
      <c r="C63" s="11" t="s">
        <v>451</v>
      </c>
      <c r="D63" s="11" t="s">
        <v>278</v>
      </c>
      <c r="E63" s="11" t="s">
        <v>286</v>
      </c>
      <c r="F63" s="11" t="s">
        <v>349</v>
      </c>
      <c r="G63" s="11" t="s">
        <v>350</v>
      </c>
      <c r="H63" s="37" t="n">
        <v>5496</v>
      </c>
      <c r="I63" s="26" t="n">
        <v>1</v>
      </c>
      <c r="J63" s="37" t="n">
        <f aca="false">H63*I63</f>
        <v>5496</v>
      </c>
      <c r="K63" s="38" t="n">
        <v>46319</v>
      </c>
      <c r="L63" s="11" t="n">
        <v>0</v>
      </c>
      <c r="M63" s="11" t="n">
        <v>10</v>
      </c>
      <c r="N63" s="38" t="n">
        <v>46329</v>
      </c>
      <c r="O63" s="11" t="n">
        <f aca="false">IF(INT((N63-Assumptions!$C$2)/7)+1&gt;Assumptions!$C$3,"after W13",INT((N63-Assumptions!$C$2)/7)+1)</f>
        <v>4</v>
      </c>
      <c r="P63" s="38" t="n">
        <f aca="false">IF(AND(D63="Receipt",G63="C01"),WORKDAY(N63+Assumptions!$C$14-1,1),N63)</f>
        <v>46329</v>
      </c>
      <c r="Q63" s="11" t="n">
        <f aca="false">IF(INT((P63-Assumptions!$C$2)/7)+1&gt;Assumptions!$C$3,"after W13",INT((P63-Assumptions!$C$2)/7)+1)</f>
        <v>4</v>
      </c>
      <c r="R63" s="38" t="n">
        <f aca="false">IF(AND(D63="Receipt",OR(G63="C01",G63="C02",G63="C03",G63="C04",G63="C07")),WORKDAY(N63+IF(G63="C01",Assumptions!$C$14,Assumptions!$C$15)-1,1),N63)</f>
        <v>46344</v>
      </c>
      <c r="S63" s="11" t="n">
        <f aca="false">IF(INT((R63-Assumptions!$C$2)/7)+1&gt;Assumptions!$C$3,"after W13",INT((R63-Assumptions!$C$2)/7)+1)</f>
        <v>6</v>
      </c>
      <c r="T63" s="11" t="s">
        <v>282</v>
      </c>
      <c r="U63" s="11" t="s">
        <v>275</v>
      </c>
      <c r="V63" s="11" t="s">
        <v>283</v>
      </c>
    </row>
    <row r="64" customFormat="false" ht="15" hidden="false" customHeight="false" outlineLevel="0" collapsed="false">
      <c r="A64" s="11" t="s">
        <v>452</v>
      </c>
      <c r="B64" s="11" t="s">
        <v>55</v>
      </c>
      <c r="C64" s="11" t="s">
        <v>453</v>
      </c>
      <c r="D64" s="11" t="s">
        <v>271</v>
      </c>
      <c r="E64" s="11" t="s">
        <v>291</v>
      </c>
      <c r="F64" s="11" t="s">
        <v>292</v>
      </c>
      <c r="G64" s="11"/>
      <c r="H64" s="37" t="n">
        <v>-4700</v>
      </c>
      <c r="I64" s="26" t="n">
        <v>1</v>
      </c>
      <c r="J64" s="37" t="n">
        <f aca="false">H64*I64</f>
        <v>-4700</v>
      </c>
      <c r="K64" s="38" t="n">
        <v>46330</v>
      </c>
      <c r="L64" s="11"/>
      <c r="M64" s="11"/>
      <c r="N64" s="38" t="n">
        <v>46330</v>
      </c>
      <c r="O64" s="11" t="n">
        <f aca="false">IF(INT((N64-Assumptions!$C$2)/7)+1&gt;Assumptions!$C$3,"after W13",INT((N64-Assumptions!$C$2)/7)+1)</f>
        <v>4</v>
      </c>
      <c r="P64" s="38" t="n">
        <f aca="false">IF(AND(D64="Receipt",G64="C01"),WORKDAY(N64+Assumptions!$C$14-1,1),N64)</f>
        <v>46330</v>
      </c>
      <c r="Q64" s="11" t="n">
        <f aca="false">IF(INT((P64-Assumptions!$C$2)/7)+1&gt;Assumptions!$C$3,"after W13",INT((P64-Assumptions!$C$2)/7)+1)</f>
        <v>4</v>
      </c>
      <c r="R64" s="38" t="n">
        <f aca="false">IF(AND(D64="Receipt",OR(G64="C01",G64="C02",G64="C03",G64="C04",G64="C07")),WORKDAY(N64+IF(G64="C01",Assumptions!$C$14,Assumptions!$C$15)-1,1),N64)</f>
        <v>46330</v>
      </c>
      <c r="S64" s="11" t="n">
        <f aca="false">IF(INT((R64-Assumptions!$C$2)/7)+1&gt;Assumptions!$C$3,"after W13",INT((R64-Assumptions!$C$2)/7)+1)</f>
        <v>4</v>
      </c>
      <c r="T64" s="11" t="s">
        <v>293</v>
      </c>
      <c r="U64" s="11" t="s">
        <v>275</v>
      </c>
      <c r="V64" s="11" t="s">
        <v>294</v>
      </c>
    </row>
    <row r="65" customFormat="false" ht="15" hidden="false" customHeight="false" outlineLevel="0" collapsed="false">
      <c r="A65" s="11" t="s">
        <v>454</v>
      </c>
      <c r="B65" s="11" t="s">
        <v>47</v>
      </c>
      <c r="C65" s="11" t="s">
        <v>455</v>
      </c>
      <c r="D65" s="11" t="s">
        <v>278</v>
      </c>
      <c r="E65" s="11" t="s">
        <v>286</v>
      </c>
      <c r="F65" s="11" t="s">
        <v>349</v>
      </c>
      <c r="G65" s="11" t="s">
        <v>350</v>
      </c>
      <c r="H65" s="37" t="n">
        <v>9852</v>
      </c>
      <c r="I65" s="26" t="n">
        <v>1</v>
      </c>
      <c r="J65" s="37" t="n">
        <f aca="false">H65*I65</f>
        <v>9852</v>
      </c>
      <c r="K65" s="38" t="n">
        <v>46320</v>
      </c>
      <c r="L65" s="11" t="n">
        <v>0</v>
      </c>
      <c r="M65" s="11" t="n">
        <v>10</v>
      </c>
      <c r="N65" s="38" t="n">
        <v>46330</v>
      </c>
      <c r="O65" s="11" t="n">
        <f aca="false">IF(INT((N65-Assumptions!$C$2)/7)+1&gt;Assumptions!$C$3,"after W13",INT((N65-Assumptions!$C$2)/7)+1)</f>
        <v>4</v>
      </c>
      <c r="P65" s="38" t="n">
        <f aca="false">IF(AND(D65="Receipt",G65="C01"),WORKDAY(N65+Assumptions!$C$14-1,1),N65)</f>
        <v>46330</v>
      </c>
      <c r="Q65" s="11" t="n">
        <f aca="false">IF(INT((P65-Assumptions!$C$2)/7)+1&gt;Assumptions!$C$3,"after W13",INT((P65-Assumptions!$C$2)/7)+1)</f>
        <v>4</v>
      </c>
      <c r="R65" s="38" t="n">
        <f aca="false">IF(AND(D65="Receipt",OR(G65="C01",G65="C02",G65="C03",G65="C04",G65="C07")),WORKDAY(N65+IF(G65="C01",Assumptions!$C$14,Assumptions!$C$15)-1,1),N65)</f>
        <v>46345</v>
      </c>
      <c r="S65" s="11" t="n">
        <f aca="false">IF(INT((R65-Assumptions!$C$2)/7)+1&gt;Assumptions!$C$3,"after W13",INT((R65-Assumptions!$C$2)/7)+1)</f>
        <v>6</v>
      </c>
      <c r="T65" s="11" t="s">
        <v>282</v>
      </c>
      <c r="U65" s="11" t="s">
        <v>275</v>
      </c>
      <c r="V65" s="11" t="s">
        <v>283</v>
      </c>
    </row>
    <row r="66" customFormat="false" ht="15" hidden="false" customHeight="false" outlineLevel="0" collapsed="false">
      <c r="A66" s="11" t="s">
        <v>456</v>
      </c>
      <c r="B66" s="11" t="s">
        <v>305</v>
      </c>
      <c r="C66" s="11" t="s">
        <v>457</v>
      </c>
      <c r="D66" s="11" t="s">
        <v>271</v>
      </c>
      <c r="E66" s="11" t="s">
        <v>307</v>
      </c>
      <c r="F66" s="11" t="s">
        <v>458</v>
      </c>
      <c r="G66" s="11"/>
      <c r="H66" s="37" t="n">
        <v>-39090.92</v>
      </c>
      <c r="I66" s="26" t="n">
        <v>1</v>
      </c>
      <c r="J66" s="37" t="n">
        <f aca="false">H66*I66</f>
        <v>-39090.92</v>
      </c>
      <c r="K66" s="38" t="n">
        <v>46335</v>
      </c>
      <c r="L66" s="11"/>
      <c r="M66" s="11"/>
      <c r="N66" s="38" t="n">
        <v>46331</v>
      </c>
      <c r="O66" s="11" t="n">
        <f aca="false">IF(INT((N66-Assumptions!$C$2)/7)+1&gt;Assumptions!$C$3,"after W13",INT((N66-Assumptions!$C$2)/7)+1)</f>
        <v>4</v>
      </c>
      <c r="P66" s="38" t="n">
        <f aca="false">IF(AND(D66="Receipt",G66="C01"),WORKDAY(N66+Assumptions!$C$14-1,1),N66)</f>
        <v>46331</v>
      </c>
      <c r="Q66" s="11" t="n">
        <f aca="false">IF(INT((P66-Assumptions!$C$2)/7)+1&gt;Assumptions!$C$3,"after W13",INT((P66-Assumptions!$C$2)/7)+1)</f>
        <v>4</v>
      </c>
      <c r="R66" s="38" t="n">
        <f aca="false">IF(AND(D66="Receipt",OR(G66="C01",G66="C02",G66="C03",G66="C04",G66="C07")),WORKDAY(N66+IF(G66="C01",Assumptions!$C$14,Assumptions!$C$15)-1,1),N66)</f>
        <v>46331</v>
      </c>
      <c r="S66" s="11" t="n">
        <f aca="false">IF(INT((R66-Assumptions!$C$2)/7)+1&gt;Assumptions!$C$3,"after W13",INT((R66-Assumptions!$C$2)/7)+1)</f>
        <v>4</v>
      </c>
      <c r="T66" s="11" t="s">
        <v>309</v>
      </c>
      <c r="U66" s="11" t="s">
        <v>275</v>
      </c>
      <c r="V66" s="11" t="s">
        <v>459</v>
      </c>
    </row>
    <row r="67" customFormat="false" ht="15" hidden="false" customHeight="false" outlineLevel="0" collapsed="false">
      <c r="A67" s="11" t="s">
        <v>460</v>
      </c>
      <c r="B67" s="11" t="s">
        <v>305</v>
      </c>
      <c r="C67" s="11" t="s">
        <v>461</v>
      </c>
      <c r="D67" s="11" t="s">
        <v>271</v>
      </c>
      <c r="E67" s="11" t="s">
        <v>307</v>
      </c>
      <c r="F67" s="11" t="s">
        <v>313</v>
      </c>
      <c r="G67" s="11"/>
      <c r="H67" s="37" t="n">
        <v>-5965.56</v>
      </c>
      <c r="I67" s="26" t="n">
        <v>1</v>
      </c>
      <c r="J67" s="37" t="n">
        <f aca="false">H67*I67</f>
        <v>-5965.56</v>
      </c>
      <c r="K67" s="38" t="n">
        <v>46334</v>
      </c>
      <c r="L67" s="11"/>
      <c r="M67" s="11"/>
      <c r="N67" s="38" t="n">
        <v>46331</v>
      </c>
      <c r="O67" s="11" t="n">
        <f aca="false">IF(INT((N67-Assumptions!$C$2)/7)+1&gt;Assumptions!$C$3,"after W13",INT((N67-Assumptions!$C$2)/7)+1)</f>
        <v>4</v>
      </c>
      <c r="P67" s="38" t="n">
        <f aca="false">IF(AND(D67="Receipt",G67="C01"),WORKDAY(N67+Assumptions!$C$14-1,1),N67)</f>
        <v>46331</v>
      </c>
      <c r="Q67" s="11" t="n">
        <f aca="false">IF(INT((P67-Assumptions!$C$2)/7)+1&gt;Assumptions!$C$3,"after W13",INT((P67-Assumptions!$C$2)/7)+1)</f>
        <v>4</v>
      </c>
      <c r="R67" s="38" t="n">
        <f aca="false">IF(AND(D67="Receipt",OR(G67="C01",G67="C02",G67="C03",G67="C04",G67="C07")),WORKDAY(N67+IF(G67="C01",Assumptions!$C$14,Assumptions!$C$15)-1,1),N67)</f>
        <v>46331</v>
      </c>
      <c r="S67" s="11" t="n">
        <f aca="false">IF(INT((R67-Assumptions!$C$2)/7)+1&gt;Assumptions!$C$3,"after W13",INT((R67-Assumptions!$C$2)/7)+1)</f>
        <v>4</v>
      </c>
      <c r="T67" s="11" t="s">
        <v>309</v>
      </c>
      <c r="U67" s="11" t="s">
        <v>275</v>
      </c>
      <c r="V67" s="11" t="s">
        <v>314</v>
      </c>
    </row>
    <row r="68" customFormat="false" ht="15" hidden="false" customHeight="false" outlineLevel="0" collapsed="false">
      <c r="A68" s="11" t="s">
        <v>462</v>
      </c>
      <c r="B68" s="11" t="s">
        <v>53</v>
      </c>
      <c r="C68" s="11" t="s">
        <v>463</v>
      </c>
      <c r="D68" s="11" t="s">
        <v>271</v>
      </c>
      <c r="E68" s="11" t="s">
        <v>307</v>
      </c>
      <c r="F68" s="11" t="s">
        <v>464</v>
      </c>
      <c r="G68" s="11"/>
      <c r="H68" s="37" t="n">
        <v>-15961.99</v>
      </c>
      <c r="I68" s="26" t="n">
        <v>1</v>
      </c>
      <c r="J68" s="37" t="n">
        <f aca="false">H68*I68</f>
        <v>-15961.99</v>
      </c>
      <c r="K68" s="38" t="n">
        <v>46337</v>
      </c>
      <c r="L68" s="11"/>
      <c r="M68" s="11"/>
      <c r="N68" s="38" t="n">
        <v>46331</v>
      </c>
      <c r="O68" s="11" t="n">
        <f aca="false">IF(INT((N68-Assumptions!$C$2)/7)+1&gt;Assumptions!$C$3,"after W13",INT((N68-Assumptions!$C$2)/7)+1)</f>
        <v>4</v>
      </c>
      <c r="P68" s="38" t="n">
        <f aca="false">IF(AND(D68="Receipt",G68="C01"),WORKDAY(N68+Assumptions!$C$14-1,1),N68)</f>
        <v>46331</v>
      </c>
      <c r="Q68" s="11" t="n">
        <f aca="false">IF(INT((P68-Assumptions!$C$2)/7)+1&gt;Assumptions!$C$3,"after W13",INT((P68-Assumptions!$C$2)/7)+1)</f>
        <v>4</v>
      </c>
      <c r="R68" s="38" t="n">
        <f aca="false">IF(AND(D68="Receipt",OR(G68="C01",G68="C02",G68="C03",G68="C04",G68="C07")),WORKDAY(N68+IF(G68="C01",Assumptions!$C$14,Assumptions!$C$15)-1,1),N68)</f>
        <v>46331</v>
      </c>
      <c r="S68" s="11" t="n">
        <f aca="false">IF(INT((R68-Assumptions!$C$2)/7)+1&gt;Assumptions!$C$3,"after W13",INT((R68-Assumptions!$C$2)/7)+1)</f>
        <v>4</v>
      </c>
      <c r="T68" s="11" t="s">
        <v>465</v>
      </c>
      <c r="U68" s="11" t="s">
        <v>275</v>
      </c>
      <c r="V68" s="11" t="s">
        <v>466</v>
      </c>
    </row>
    <row r="69" customFormat="false" ht="15" hidden="false" customHeight="false" outlineLevel="0" collapsed="false">
      <c r="A69" s="11" t="s">
        <v>467</v>
      </c>
      <c r="B69" s="11" t="s">
        <v>55</v>
      </c>
      <c r="C69" s="11" t="s">
        <v>468</v>
      </c>
      <c r="D69" s="11" t="s">
        <v>271</v>
      </c>
      <c r="E69" s="11" t="s">
        <v>469</v>
      </c>
      <c r="F69" s="11" t="s">
        <v>470</v>
      </c>
      <c r="G69" s="11"/>
      <c r="H69" s="37" t="n">
        <v>-8900</v>
      </c>
      <c r="I69" s="26" t="n">
        <v>1</v>
      </c>
      <c r="J69" s="37" t="n">
        <f aca="false">H69*I69</f>
        <v>-8900</v>
      </c>
      <c r="K69" s="38" t="n">
        <v>46331</v>
      </c>
      <c r="L69" s="11"/>
      <c r="M69" s="11"/>
      <c r="N69" s="38" t="n">
        <v>46331</v>
      </c>
      <c r="O69" s="11" t="n">
        <f aca="false">IF(INT((N69-Assumptions!$C$2)/7)+1&gt;Assumptions!$C$3,"after W13",INT((N69-Assumptions!$C$2)/7)+1)</f>
        <v>4</v>
      </c>
      <c r="P69" s="38" t="n">
        <f aca="false">IF(AND(D69="Receipt",G69="C01"),WORKDAY(N69+Assumptions!$C$14-1,1),N69)</f>
        <v>46331</v>
      </c>
      <c r="Q69" s="11" t="n">
        <f aca="false">IF(INT((P69-Assumptions!$C$2)/7)+1&gt;Assumptions!$C$3,"after W13",INT((P69-Assumptions!$C$2)/7)+1)</f>
        <v>4</v>
      </c>
      <c r="R69" s="38" t="n">
        <f aca="false">IF(AND(D69="Receipt",OR(G69="C01",G69="C02",G69="C03",G69="C04",G69="C07")),WORKDAY(N69+IF(G69="C01",Assumptions!$C$14,Assumptions!$C$15)-1,1),N69)</f>
        <v>46331</v>
      </c>
      <c r="S69" s="11" t="n">
        <f aca="false">IF(INT((R69-Assumptions!$C$2)/7)+1&gt;Assumptions!$C$3,"after W13",INT((R69-Assumptions!$C$2)/7)+1)</f>
        <v>4</v>
      </c>
      <c r="T69" s="11" t="s">
        <v>274</v>
      </c>
      <c r="U69" s="11" t="s">
        <v>275</v>
      </c>
      <c r="V69" s="11" t="s">
        <v>471</v>
      </c>
    </row>
    <row r="70" customFormat="false" ht="15" hidden="false" customHeight="false" outlineLevel="0" collapsed="false">
      <c r="A70" s="11" t="s">
        <v>472</v>
      </c>
      <c r="B70" s="11" t="s">
        <v>47</v>
      </c>
      <c r="C70" s="11" t="s">
        <v>473</v>
      </c>
      <c r="D70" s="11" t="s">
        <v>278</v>
      </c>
      <c r="E70" s="11" t="s">
        <v>286</v>
      </c>
      <c r="F70" s="11" t="s">
        <v>331</v>
      </c>
      <c r="G70" s="11" t="s">
        <v>332</v>
      </c>
      <c r="H70" s="37" t="n">
        <v>6360</v>
      </c>
      <c r="I70" s="26" t="n">
        <v>1</v>
      </c>
      <c r="J70" s="37" t="n">
        <f aca="false">H70*I70</f>
        <v>6360</v>
      </c>
      <c r="K70" s="38" t="n">
        <v>46306</v>
      </c>
      <c r="L70" s="11" t="n">
        <v>0</v>
      </c>
      <c r="M70" s="11" t="n">
        <v>25</v>
      </c>
      <c r="N70" s="38" t="n">
        <v>46331</v>
      </c>
      <c r="O70" s="11" t="n">
        <f aca="false">IF(INT((N70-Assumptions!$C$2)/7)+1&gt;Assumptions!$C$3,"after W13",INT((N70-Assumptions!$C$2)/7)+1)</f>
        <v>4</v>
      </c>
      <c r="P70" s="38" t="n">
        <f aca="false">IF(AND(D70="Receipt",G70="C01"),WORKDAY(N70+Assumptions!$C$14-1,1),N70)</f>
        <v>46331</v>
      </c>
      <c r="Q70" s="11" t="n">
        <f aca="false">IF(INT((P70-Assumptions!$C$2)/7)+1&gt;Assumptions!$C$3,"after W13",INT((P70-Assumptions!$C$2)/7)+1)</f>
        <v>4</v>
      </c>
      <c r="R70" s="38" t="n">
        <f aca="false">IF(AND(D70="Receipt",OR(G70="C01",G70="C02",G70="C03",G70="C04",G70="C07")),WORKDAY(N70+IF(G70="C01",Assumptions!$C$14,Assumptions!$C$15)-1,1),N70)</f>
        <v>46346</v>
      </c>
      <c r="S70" s="11" t="n">
        <f aca="false">IF(INT((R70-Assumptions!$C$2)/7)+1&gt;Assumptions!$C$3,"after W13",INT((R70-Assumptions!$C$2)/7)+1)</f>
        <v>6</v>
      </c>
      <c r="T70" s="11" t="s">
        <v>282</v>
      </c>
      <c r="U70" s="11" t="s">
        <v>275</v>
      </c>
      <c r="V70" s="11" t="s">
        <v>283</v>
      </c>
    </row>
    <row r="71" customFormat="false" ht="15" hidden="false" customHeight="false" outlineLevel="0" collapsed="false">
      <c r="A71" s="11" t="s">
        <v>474</v>
      </c>
      <c r="B71" s="11" t="s">
        <v>47</v>
      </c>
      <c r="C71" s="11" t="s">
        <v>475</v>
      </c>
      <c r="D71" s="11" t="s">
        <v>278</v>
      </c>
      <c r="E71" s="11" t="s">
        <v>279</v>
      </c>
      <c r="F71" s="11" t="s">
        <v>335</v>
      </c>
      <c r="G71" s="11" t="s">
        <v>336</v>
      </c>
      <c r="H71" s="37" t="n">
        <v>9564</v>
      </c>
      <c r="I71" s="26" t="n">
        <v>1</v>
      </c>
      <c r="J71" s="37" t="n">
        <f aca="false">H71*I71</f>
        <v>9564</v>
      </c>
      <c r="K71" s="38" t="n">
        <v>46324</v>
      </c>
      <c r="L71" s="11" t="n">
        <v>0</v>
      </c>
      <c r="M71" s="11" t="n">
        <v>7</v>
      </c>
      <c r="N71" s="38" t="n">
        <v>46331</v>
      </c>
      <c r="O71" s="11" t="n">
        <f aca="false">IF(INT((N71-Assumptions!$C$2)/7)+1&gt;Assumptions!$C$3,"after W13",INT((N71-Assumptions!$C$2)/7)+1)</f>
        <v>4</v>
      </c>
      <c r="P71" s="38" t="n">
        <f aca="false">IF(AND(D71="Receipt",G71="C01"),WORKDAY(N71+Assumptions!$C$14-1,1),N71)</f>
        <v>46331</v>
      </c>
      <c r="Q71" s="11" t="n">
        <f aca="false">IF(INT((P71-Assumptions!$C$2)/7)+1&gt;Assumptions!$C$3,"after W13",INT((P71-Assumptions!$C$2)/7)+1)</f>
        <v>4</v>
      </c>
      <c r="R71" s="38" t="n">
        <f aca="false">IF(AND(D71="Receipt",OR(G71="C01",G71="C02",G71="C03",G71="C04",G71="C07")),WORKDAY(N71+IF(G71="C01",Assumptions!$C$14,Assumptions!$C$15)-1,1),N71)</f>
        <v>46331</v>
      </c>
      <c r="S71" s="11" t="n">
        <f aca="false">IF(INT((R71-Assumptions!$C$2)/7)+1&gt;Assumptions!$C$3,"after W13",INT((R71-Assumptions!$C$2)/7)+1)</f>
        <v>4</v>
      </c>
      <c r="T71" s="11" t="s">
        <v>282</v>
      </c>
      <c r="U71" s="11" t="s">
        <v>275</v>
      </c>
      <c r="V71" s="11" t="s">
        <v>283</v>
      </c>
    </row>
    <row r="72" customFormat="false" ht="15" hidden="false" customHeight="false" outlineLevel="0" collapsed="false">
      <c r="A72" s="11" t="s">
        <v>476</v>
      </c>
      <c r="B72" s="11" t="s">
        <v>47</v>
      </c>
      <c r="C72" s="11" t="s">
        <v>477</v>
      </c>
      <c r="D72" s="11" t="s">
        <v>278</v>
      </c>
      <c r="E72" s="11" t="s">
        <v>279</v>
      </c>
      <c r="F72" s="11" t="s">
        <v>280</v>
      </c>
      <c r="G72" s="11" t="s">
        <v>281</v>
      </c>
      <c r="H72" s="37" t="n">
        <v>7932</v>
      </c>
      <c r="I72" s="26" t="n">
        <v>1</v>
      </c>
      <c r="J72" s="37" t="n">
        <f aca="false">H72*I72</f>
        <v>7932</v>
      </c>
      <c r="K72" s="38" t="n">
        <v>46332</v>
      </c>
      <c r="L72" s="11" t="n">
        <v>0</v>
      </c>
      <c r="M72" s="11" t="n">
        <v>0</v>
      </c>
      <c r="N72" s="38" t="n">
        <v>46332</v>
      </c>
      <c r="O72" s="11" t="n">
        <f aca="false">IF(INT((N72-Assumptions!$C$2)/7)+1&gt;Assumptions!$C$3,"after W13",INT((N72-Assumptions!$C$2)/7)+1)</f>
        <v>4</v>
      </c>
      <c r="P72" s="38" t="n">
        <f aca="false">IF(AND(D72="Receipt",G72="C01"),WORKDAY(N72+Assumptions!$C$14-1,1),N72)</f>
        <v>46332</v>
      </c>
      <c r="Q72" s="11" t="n">
        <f aca="false">IF(INT((P72-Assumptions!$C$2)/7)+1&gt;Assumptions!$C$3,"after W13",INT((P72-Assumptions!$C$2)/7)+1)</f>
        <v>4</v>
      </c>
      <c r="R72" s="38" t="n">
        <f aca="false">IF(AND(D72="Receipt",OR(G72="C01",G72="C02",G72="C03",G72="C04",G72="C07")),WORKDAY(N72+IF(G72="C01",Assumptions!$C$14,Assumptions!$C$15)-1,1),N72)</f>
        <v>46332</v>
      </c>
      <c r="S72" s="11" t="n">
        <f aca="false">IF(INT((R72-Assumptions!$C$2)/7)+1&gt;Assumptions!$C$3,"after W13",INT((R72-Assumptions!$C$2)/7)+1)</f>
        <v>4</v>
      </c>
      <c r="T72" s="11" t="s">
        <v>282</v>
      </c>
      <c r="U72" s="11" t="s">
        <v>275</v>
      </c>
      <c r="V72" s="11" t="s">
        <v>283</v>
      </c>
    </row>
    <row r="73" customFormat="false" ht="15" hidden="false" customHeight="false" outlineLevel="0" collapsed="false">
      <c r="A73" s="11" t="s">
        <v>478</v>
      </c>
      <c r="B73" s="11" t="s">
        <v>55</v>
      </c>
      <c r="C73" s="11" t="s">
        <v>479</v>
      </c>
      <c r="D73" s="11" t="s">
        <v>271</v>
      </c>
      <c r="E73" s="11" t="s">
        <v>480</v>
      </c>
      <c r="F73" s="11" t="s">
        <v>481</v>
      </c>
      <c r="G73" s="11"/>
      <c r="H73" s="37" t="n">
        <v>-14160</v>
      </c>
      <c r="I73" s="26" t="n">
        <v>1</v>
      </c>
      <c r="J73" s="37" t="n">
        <f aca="false">H73*I73</f>
        <v>-14160</v>
      </c>
      <c r="K73" s="38" t="n">
        <v>46335</v>
      </c>
      <c r="L73" s="11"/>
      <c r="M73" s="11"/>
      <c r="N73" s="38" t="n">
        <v>46335</v>
      </c>
      <c r="O73" s="11" t="n">
        <f aca="false">IF(INT((N73-Assumptions!$C$2)/7)+1&gt;Assumptions!$C$3,"after W13",INT((N73-Assumptions!$C$2)/7)+1)</f>
        <v>5</v>
      </c>
      <c r="P73" s="38" t="n">
        <f aca="false">IF(AND(D73="Receipt",G73="C01"),WORKDAY(N73+Assumptions!$C$14-1,1),N73)</f>
        <v>46335</v>
      </c>
      <c r="Q73" s="11" t="n">
        <f aca="false">IF(INT((P73-Assumptions!$C$2)/7)+1&gt;Assumptions!$C$3,"after W13",INT((P73-Assumptions!$C$2)/7)+1)</f>
        <v>5</v>
      </c>
      <c r="R73" s="38" t="n">
        <f aca="false">IF(AND(D73="Receipt",OR(G73="C01",G73="C02",G73="C03",G73="C04",G73="C07")),WORKDAY(N73+IF(G73="C01",Assumptions!$C$14,Assumptions!$C$15)-1,1),N73)</f>
        <v>46335</v>
      </c>
      <c r="S73" s="11" t="n">
        <f aca="false">IF(INT((R73-Assumptions!$C$2)/7)+1&gt;Assumptions!$C$3,"after W13",INT((R73-Assumptions!$C$2)/7)+1)</f>
        <v>5</v>
      </c>
      <c r="T73" s="11" t="s">
        <v>274</v>
      </c>
      <c r="U73" s="11" t="s">
        <v>275</v>
      </c>
      <c r="V73" s="11"/>
    </row>
    <row r="74" customFormat="false" ht="15" hidden="false" customHeight="false" outlineLevel="0" collapsed="false">
      <c r="A74" s="11" t="s">
        <v>482</v>
      </c>
      <c r="B74" s="11" t="s">
        <v>47</v>
      </c>
      <c r="C74" s="11" t="s">
        <v>483</v>
      </c>
      <c r="D74" s="11" t="s">
        <v>278</v>
      </c>
      <c r="E74" s="11" t="s">
        <v>297</v>
      </c>
      <c r="F74" s="11" t="s">
        <v>298</v>
      </c>
      <c r="G74" s="11" t="s">
        <v>299</v>
      </c>
      <c r="H74" s="37" t="n">
        <v>13160</v>
      </c>
      <c r="I74" s="26" t="n">
        <v>1</v>
      </c>
      <c r="J74" s="37" t="n">
        <f aca="false">H74*I74</f>
        <v>13160</v>
      </c>
      <c r="K74" s="38" t="n">
        <v>46329</v>
      </c>
      <c r="L74" s="11" t="n">
        <v>0</v>
      </c>
      <c r="M74" s="11" t="n">
        <v>6</v>
      </c>
      <c r="N74" s="38" t="n">
        <v>46335</v>
      </c>
      <c r="O74" s="11" t="n">
        <f aca="false">IF(INT((N74-Assumptions!$C$2)/7)+1&gt;Assumptions!$C$3,"after W13",INT((N74-Assumptions!$C$2)/7)+1)</f>
        <v>5</v>
      </c>
      <c r="P74" s="38" t="n">
        <f aca="false">IF(AND(D74="Receipt",G74="C01"),WORKDAY(N74+Assumptions!$C$14-1,1),N74)</f>
        <v>46335</v>
      </c>
      <c r="Q74" s="11" t="n">
        <f aca="false">IF(INT((P74-Assumptions!$C$2)/7)+1&gt;Assumptions!$C$3,"after W13",INT((P74-Assumptions!$C$2)/7)+1)</f>
        <v>5</v>
      </c>
      <c r="R74" s="38" t="n">
        <f aca="false">IF(AND(D74="Receipt",OR(G74="C01",G74="C02",G74="C03",G74="C04",G74="C07")),WORKDAY(N74+IF(G74="C01",Assumptions!$C$14,Assumptions!$C$15)-1,1),N74)</f>
        <v>46335</v>
      </c>
      <c r="S74" s="11" t="n">
        <f aca="false">IF(INT((R74-Assumptions!$C$2)/7)+1&gt;Assumptions!$C$3,"after W13",INT((R74-Assumptions!$C$2)/7)+1)</f>
        <v>5</v>
      </c>
      <c r="T74" s="11" t="s">
        <v>282</v>
      </c>
      <c r="U74" s="11" t="s">
        <v>275</v>
      </c>
      <c r="V74" s="11" t="s">
        <v>283</v>
      </c>
    </row>
    <row r="75" customFormat="false" ht="15" hidden="false" customHeight="false" outlineLevel="0" collapsed="false">
      <c r="A75" s="11" t="s">
        <v>484</v>
      </c>
      <c r="B75" s="11" t="s">
        <v>47</v>
      </c>
      <c r="C75" s="11" t="s">
        <v>485</v>
      </c>
      <c r="D75" s="11" t="s">
        <v>278</v>
      </c>
      <c r="E75" s="11" t="s">
        <v>279</v>
      </c>
      <c r="F75" s="11" t="s">
        <v>335</v>
      </c>
      <c r="G75" s="11" t="s">
        <v>336</v>
      </c>
      <c r="H75" s="37" t="n">
        <v>7908</v>
      </c>
      <c r="I75" s="26" t="n">
        <v>1</v>
      </c>
      <c r="J75" s="37" t="n">
        <f aca="false">H75*I75</f>
        <v>7908</v>
      </c>
      <c r="K75" s="38" t="n">
        <v>46327</v>
      </c>
      <c r="L75" s="11" t="n">
        <v>0</v>
      </c>
      <c r="M75" s="11" t="n">
        <v>7</v>
      </c>
      <c r="N75" s="38" t="n">
        <v>46335</v>
      </c>
      <c r="O75" s="11" t="n">
        <f aca="false">IF(INT((N75-Assumptions!$C$2)/7)+1&gt;Assumptions!$C$3,"after W13",INT((N75-Assumptions!$C$2)/7)+1)</f>
        <v>5</v>
      </c>
      <c r="P75" s="38" t="n">
        <f aca="false">IF(AND(D75="Receipt",G75="C01"),WORKDAY(N75+Assumptions!$C$14-1,1),N75)</f>
        <v>46335</v>
      </c>
      <c r="Q75" s="11" t="n">
        <f aca="false">IF(INT((P75-Assumptions!$C$2)/7)+1&gt;Assumptions!$C$3,"after W13",INT((P75-Assumptions!$C$2)/7)+1)</f>
        <v>5</v>
      </c>
      <c r="R75" s="38" t="n">
        <f aca="false">IF(AND(D75="Receipt",OR(G75="C01",G75="C02",G75="C03",G75="C04",G75="C07")),WORKDAY(N75+IF(G75="C01",Assumptions!$C$14,Assumptions!$C$15)-1,1),N75)</f>
        <v>46335</v>
      </c>
      <c r="S75" s="11" t="n">
        <f aca="false">IF(INT((R75-Assumptions!$C$2)/7)+1&gt;Assumptions!$C$3,"after W13",INT((R75-Assumptions!$C$2)/7)+1)</f>
        <v>5</v>
      </c>
      <c r="T75" s="11" t="s">
        <v>282</v>
      </c>
      <c r="U75" s="11" t="s">
        <v>275</v>
      </c>
      <c r="V75" s="11" t="s">
        <v>283</v>
      </c>
    </row>
    <row r="76" customFormat="false" ht="15" hidden="false" customHeight="false" outlineLevel="0" collapsed="false">
      <c r="A76" s="11" t="s">
        <v>486</v>
      </c>
      <c r="B76" s="11" t="s">
        <v>47</v>
      </c>
      <c r="C76" s="11" t="s">
        <v>487</v>
      </c>
      <c r="D76" s="11" t="s">
        <v>278</v>
      </c>
      <c r="E76" s="11" t="s">
        <v>279</v>
      </c>
      <c r="F76" s="11" t="s">
        <v>335</v>
      </c>
      <c r="G76" s="11" t="s">
        <v>336</v>
      </c>
      <c r="H76" s="37" t="n">
        <v>8244</v>
      </c>
      <c r="I76" s="26" t="n">
        <v>1</v>
      </c>
      <c r="J76" s="37" t="n">
        <f aca="false">H76*I76</f>
        <v>8244</v>
      </c>
      <c r="K76" s="38" t="n">
        <v>46327</v>
      </c>
      <c r="L76" s="11" t="n">
        <v>0</v>
      </c>
      <c r="M76" s="11" t="n">
        <v>7</v>
      </c>
      <c r="N76" s="38" t="n">
        <v>46335</v>
      </c>
      <c r="O76" s="11" t="n">
        <f aca="false">IF(INT((N76-Assumptions!$C$2)/7)+1&gt;Assumptions!$C$3,"after W13",INT((N76-Assumptions!$C$2)/7)+1)</f>
        <v>5</v>
      </c>
      <c r="P76" s="38" t="n">
        <f aca="false">IF(AND(D76="Receipt",G76="C01"),WORKDAY(N76+Assumptions!$C$14-1,1),N76)</f>
        <v>46335</v>
      </c>
      <c r="Q76" s="11" t="n">
        <f aca="false">IF(INT((P76-Assumptions!$C$2)/7)+1&gt;Assumptions!$C$3,"after W13",INT((P76-Assumptions!$C$2)/7)+1)</f>
        <v>5</v>
      </c>
      <c r="R76" s="38" t="n">
        <f aca="false">IF(AND(D76="Receipt",OR(G76="C01",G76="C02",G76="C03",G76="C04",G76="C07")),WORKDAY(N76+IF(G76="C01",Assumptions!$C$14,Assumptions!$C$15)-1,1),N76)</f>
        <v>46335</v>
      </c>
      <c r="S76" s="11" t="n">
        <f aca="false">IF(INT((R76-Assumptions!$C$2)/7)+1&gt;Assumptions!$C$3,"after W13",INT((R76-Assumptions!$C$2)/7)+1)</f>
        <v>5</v>
      </c>
      <c r="T76" s="11" t="s">
        <v>282</v>
      </c>
      <c r="U76" s="11" t="s">
        <v>275</v>
      </c>
      <c r="V76" s="11" t="s">
        <v>283</v>
      </c>
    </row>
    <row r="77" customFormat="false" ht="15" hidden="false" customHeight="false" outlineLevel="0" collapsed="false">
      <c r="A77" s="11" t="s">
        <v>488</v>
      </c>
      <c r="B77" s="11" t="s">
        <v>47</v>
      </c>
      <c r="C77" s="11" t="s">
        <v>489</v>
      </c>
      <c r="D77" s="11" t="s">
        <v>278</v>
      </c>
      <c r="E77" s="11" t="s">
        <v>279</v>
      </c>
      <c r="F77" s="11" t="s">
        <v>335</v>
      </c>
      <c r="G77" s="11" t="s">
        <v>336</v>
      </c>
      <c r="H77" s="37" t="n">
        <v>5472</v>
      </c>
      <c r="I77" s="26" t="n">
        <v>1</v>
      </c>
      <c r="J77" s="37" t="n">
        <f aca="false">H77*I77</f>
        <v>5472</v>
      </c>
      <c r="K77" s="38" t="n">
        <v>46328</v>
      </c>
      <c r="L77" s="11" t="n">
        <v>0</v>
      </c>
      <c r="M77" s="11" t="n">
        <v>7</v>
      </c>
      <c r="N77" s="38" t="n">
        <v>46335</v>
      </c>
      <c r="O77" s="11" t="n">
        <f aca="false">IF(INT((N77-Assumptions!$C$2)/7)+1&gt;Assumptions!$C$3,"after W13",INT((N77-Assumptions!$C$2)/7)+1)</f>
        <v>5</v>
      </c>
      <c r="P77" s="38" t="n">
        <f aca="false">IF(AND(D77="Receipt",G77="C01"),WORKDAY(N77+Assumptions!$C$14-1,1),N77)</f>
        <v>46335</v>
      </c>
      <c r="Q77" s="11" t="n">
        <f aca="false">IF(INT((P77-Assumptions!$C$2)/7)+1&gt;Assumptions!$C$3,"after W13",INT((P77-Assumptions!$C$2)/7)+1)</f>
        <v>5</v>
      </c>
      <c r="R77" s="38" t="n">
        <f aca="false">IF(AND(D77="Receipt",OR(G77="C01",G77="C02",G77="C03",G77="C04",G77="C07")),WORKDAY(N77+IF(G77="C01",Assumptions!$C$14,Assumptions!$C$15)-1,1),N77)</f>
        <v>46335</v>
      </c>
      <c r="S77" s="11" t="n">
        <f aca="false">IF(INT((R77-Assumptions!$C$2)/7)+1&gt;Assumptions!$C$3,"after W13",INT((R77-Assumptions!$C$2)/7)+1)</f>
        <v>5</v>
      </c>
      <c r="T77" s="11" t="s">
        <v>282</v>
      </c>
      <c r="U77" s="11" t="s">
        <v>275</v>
      </c>
      <c r="V77" s="11" t="s">
        <v>283</v>
      </c>
    </row>
    <row r="78" customFormat="false" ht="15" hidden="false" customHeight="false" outlineLevel="0" collapsed="false">
      <c r="A78" s="11" t="s">
        <v>490</v>
      </c>
      <c r="B78" s="11" t="s">
        <v>47</v>
      </c>
      <c r="C78" s="11" t="s">
        <v>491</v>
      </c>
      <c r="D78" s="11" t="s">
        <v>278</v>
      </c>
      <c r="E78" s="11" t="s">
        <v>286</v>
      </c>
      <c r="F78" s="11" t="s">
        <v>287</v>
      </c>
      <c r="G78" s="11" t="s">
        <v>288</v>
      </c>
      <c r="H78" s="37" t="n">
        <v>5448</v>
      </c>
      <c r="I78" s="26" t="n">
        <v>1</v>
      </c>
      <c r="J78" s="37" t="n">
        <f aca="false">H78*I78</f>
        <v>5448</v>
      </c>
      <c r="K78" s="38" t="n">
        <v>46330</v>
      </c>
      <c r="L78" s="11" t="n">
        <v>0</v>
      </c>
      <c r="M78" s="11" t="n">
        <v>3</v>
      </c>
      <c r="N78" s="38" t="n">
        <v>46335</v>
      </c>
      <c r="O78" s="11" t="n">
        <f aca="false">IF(INT((N78-Assumptions!$C$2)/7)+1&gt;Assumptions!$C$3,"after W13",INT((N78-Assumptions!$C$2)/7)+1)</f>
        <v>5</v>
      </c>
      <c r="P78" s="38" t="n">
        <f aca="false">IF(AND(D78="Receipt",G78="C01"),WORKDAY(N78+Assumptions!$C$14-1,1),N78)</f>
        <v>46335</v>
      </c>
      <c r="Q78" s="11" t="n">
        <f aca="false">IF(INT((P78-Assumptions!$C$2)/7)+1&gt;Assumptions!$C$3,"after W13",INT((P78-Assumptions!$C$2)/7)+1)</f>
        <v>5</v>
      </c>
      <c r="R78" s="38" t="n">
        <f aca="false">IF(AND(D78="Receipt",OR(G78="C01",G78="C02",G78="C03",G78="C04",G78="C07")),WORKDAY(N78+IF(G78="C01",Assumptions!$C$14,Assumptions!$C$15)-1,1),N78)</f>
        <v>46350</v>
      </c>
      <c r="S78" s="11" t="n">
        <f aca="false">IF(INT((R78-Assumptions!$C$2)/7)+1&gt;Assumptions!$C$3,"after W13",INT((R78-Assumptions!$C$2)/7)+1)</f>
        <v>7</v>
      </c>
      <c r="T78" s="11" t="s">
        <v>282</v>
      </c>
      <c r="U78" s="11" t="s">
        <v>275</v>
      </c>
      <c r="V78" s="11" t="s">
        <v>283</v>
      </c>
    </row>
    <row r="79" customFormat="false" ht="15" hidden="false" customHeight="false" outlineLevel="0" collapsed="false">
      <c r="A79" s="11" t="s">
        <v>492</v>
      </c>
      <c r="B79" s="11" t="s">
        <v>55</v>
      </c>
      <c r="C79" s="11" t="s">
        <v>493</v>
      </c>
      <c r="D79" s="11" t="s">
        <v>271</v>
      </c>
      <c r="E79" s="11" t="s">
        <v>272</v>
      </c>
      <c r="F79" s="11" t="s">
        <v>273</v>
      </c>
      <c r="G79" s="11"/>
      <c r="H79" s="37" t="n">
        <v>-3840</v>
      </c>
      <c r="I79" s="26" t="n">
        <v>1</v>
      </c>
      <c r="J79" s="37" t="n">
        <f aca="false">H79*I79</f>
        <v>-3840</v>
      </c>
      <c r="K79" s="38" t="n">
        <v>46336</v>
      </c>
      <c r="L79" s="11"/>
      <c r="M79" s="11"/>
      <c r="N79" s="38" t="n">
        <v>46336</v>
      </c>
      <c r="O79" s="11" t="n">
        <f aca="false">IF(INT((N79-Assumptions!$C$2)/7)+1&gt;Assumptions!$C$3,"after W13",INT((N79-Assumptions!$C$2)/7)+1)</f>
        <v>5</v>
      </c>
      <c r="P79" s="38" t="n">
        <f aca="false">IF(AND(D79="Receipt",G79="C01"),WORKDAY(N79+Assumptions!$C$14-1,1),N79)</f>
        <v>46336</v>
      </c>
      <c r="Q79" s="11" t="n">
        <f aca="false">IF(INT((P79-Assumptions!$C$2)/7)+1&gt;Assumptions!$C$3,"after W13",INT((P79-Assumptions!$C$2)/7)+1)</f>
        <v>5</v>
      </c>
      <c r="R79" s="38" t="n">
        <f aca="false">IF(AND(D79="Receipt",OR(G79="C01",G79="C02",G79="C03",G79="C04",G79="C07")),WORKDAY(N79+IF(G79="C01",Assumptions!$C$14,Assumptions!$C$15)-1,1),N79)</f>
        <v>46336</v>
      </c>
      <c r="S79" s="11" t="n">
        <f aca="false">IF(INT((R79-Assumptions!$C$2)/7)+1&gt;Assumptions!$C$3,"after W13",INT((R79-Assumptions!$C$2)/7)+1)</f>
        <v>5</v>
      </c>
      <c r="T79" s="11" t="s">
        <v>274</v>
      </c>
      <c r="U79" s="11" t="s">
        <v>275</v>
      </c>
      <c r="V79" s="11"/>
    </row>
    <row r="80" customFormat="false" ht="15" hidden="false" customHeight="false" outlineLevel="0" collapsed="false">
      <c r="A80" s="11" t="s">
        <v>494</v>
      </c>
      <c r="B80" s="11" t="s">
        <v>47</v>
      </c>
      <c r="C80" s="11" t="s">
        <v>495</v>
      </c>
      <c r="D80" s="11" t="s">
        <v>278</v>
      </c>
      <c r="E80" s="11" t="s">
        <v>286</v>
      </c>
      <c r="F80" s="11" t="s">
        <v>349</v>
      </c>
      <c r="G80" s="11" t="s">
        <v>350</v>
      </c>
      <c r="H80" s="37" t="n">
        <v>11676</v>
      </c>
      <c r="I80" s="26" t="n">
        <v>1</v>
      </c>
      <c r="J80" s="37" t="n">
        <f aca="false">H80*I80</f>
        <v>11676</v>
      </c>
      <c r="K80" s="38" t="n">
        <v>46326</v>
      </c>
      <c r="L80" s="11" t="n">
        <v>0</v>
      </c>
      <c r="M80" s="11" t="n">
        <v>10</v>
      </c>
      <c r="N80" s="38" t="n">
        <v>46336</v>
      </c>
      <c r="O80" s="11" t="n">
        <f aca="false">IF(INT((N80-Assumptions!$C$2)/7)+1&gt;Assumptions!$C$3,"after W13",INT((N80-Assumptions!$C$2)/7)+1)</f>
        <v>5</v>
      </c>
      <c r="P80" s="38" t="n">
        <f aca="false">IF(AND(D80="Receipt",G80="C01"),WORKDAY(N80+Assumptions!$C$14-1,1),N80)</f>
        <v>46336</v>
      </c>
      <c r="Q80" s="11" t="n">
        <f aca="false">IF(INT((P80-Assumptions!$C$2)/7)+1&gt;Assumptions!$C$3,"after W13",INT((P80-Assumptions!$C$2)/7)+1)</f>
        <v>5</v>
      </c>
      <c r="R80" s="38" t="n">
        <f aca="false">IF(AND(D80="Receipt",OR(G80="C01",G80="C02",G80="C03",G80="C04",G80="C07")),WORKDAY(N80+IF(G80="C01",Assumptions!$C$14,Assumptions!$C$15)-1,1),N80)</f>
        <v>46351</v>
      </c>
      <c r="S80" s="11" t="n">
        <f aca="false">IF(INT((R80-Assumptions!$C$2)/7)+1&gt;Assumptions!$C$3,"after W13",INT((R80-Assumptions!$C$2)/7)+1)</f>
        <v>7</v>
      </c>
      <c r="T80" s="11" t="s">
        <v>282</v>
      </c>
      <c r="U80" s="11" t="s">
        <v>275</v>
      </c>
      <c r="V80" s="11" t="s">
        <v>283</v>
      </c>
    </row>
    <row r="81" customFormat="false" ht="15" hidden="false" customHeight="false" outlineLevel="0" collapsed="false">
      <c r="A81" s="11" t="s">
        <v>496</v>
      </c>
      <c r="B81" s="11" t="s">
        <v>47</v>
      </c>
      <c r="C81" s="11" t="s">
        <v>497</v>
      </c>
      <c r="D81" s="11" t="s">
        <v>278</v>
      </c>
      <c r="E81" s="11" t="s">
        <v>286</v>
      </c>
      <c r="F81" s="11" t="s">
        <v>287</v>
      </c>
      <c r="G81" s="11" t="s">
        <v>288</v>
      </c>
      <c r="H81" s="37" t="n">
        <v>2916</v>
      </c>
      <c r="I81" s="26" t="n">
        <v>1</v>
      </c>
      <c r="J81" s="37" t="n">
        <f aca="false">H81*I81</f>
        <v>2916</v>
      </c>
      <c r="K81" s="38" t="n">
        <v>46333</v>
      </c>
      <c r="L81" s="11" t="n">
        <v>0</v>
      </c>
      <c r="M81" s="11" t="n">
        <v>3</v>
      </c>
      <c r="N81" s="38" t="n">
        <v>46336</v>
      </c>
      <c r="O81" s="11" t="n">
        <f aca="false">IF(INT((N81-Assumptions!$C$2)/7)+1&gt;Assumptions!$C$3,"after W13",INT((N81-Assumptions!$C$2)/7)+1)</f>
        <v>5</v>
      </c>
      <c r="P81" s="38" t="n">
        <f aca="false">IF(AND(D81="Receipt",G81="C01"),WORKDAY(N81+Assumptions!$C$14-1,1),N81)</f>
        <v>46336</v>
      </c>
      <c r="Q81" s="11" t="n">
        <f aca="false">IF(INT((P81-Assumptions!$C$2)/7)+1&gt;Assumptions!$C$3,"after W13",INT((P81-Assumptions!$C$2)/7)+1)</f>
        <v>5</v>
      </c>
      <c r="R81" s="38" t="n">
        <f aca="false">IF(AND(D81="Receipt",OR(G81="C01",G81="C02",G81="C03",G81="C04",G81="C07")),WORKDAY(N81+IF(G81="C01",Assumptions!$C$14,Assumptions!$C$15)-1,1),N81)</f>
        <v>46351</v>
      </c>
      <c r="S81" s="11" t="n">
        <f aca="false">IF(INT((R81-Assumptions!$C$2)/7)+1&gt;Assumptions!$C$3,"after W13",INT((R81-Assumptions!$C$2)/7)+1)</f>
        <v>7</v>
      </c>
      <c r="T81" s="11" t="s">
        <v>282</v>
      </c>
      <c r="U81" s="11" t="s">
        <v>275</v>
      </c>
      <c r="V81" s="11" t="s">
        <v>283</v>
      </c>
    </row>
    <row r="82" customFormat="false" ht="15" hidden="false" customHeight="false" outlineLevel="0" collapsed="false">
      <c r="A82" s="11" t="s">
        <v>498</v>
      </c>
      <c r="B82" s="11" t="s">
        <v>47</v>
      </c>
      <c r="C82" s="11" t="s">
        <v>499</v>
      </c>
      <c r="D82" s="11" t="s">
        <v>278</v>
      </c>
      <c r="E82" s="11" t="s">
        <v>286</v>
      </c>
      <c r="F82" s="11" t="s">
        <v>287</v>
      </c>
      <c r="G82" s="11" t="s">
        <v>288</v>
      </c>
      <c r="H82" s="37" t="n">
        <v>5808</v>
      </c>
      <c r="I82" s="26" t="n">
        <v>1</v>
      </c>
      <c r="J82" s="37" t="n">
        <f aca="false">H82*I82</f>
        <v>5808</v>
      </c>
      <c r="K82" s="38" t="n">
        <v>46333</v>
      </c>
      <c r="L82" s="11" t="n">
        <v>0</v>
      </c>
      <c r="M82" s="11" t="n">
        <v>3</v>
      </c>
      <c r="N82" s="38" t="n">
        <v>46336</v>
      </c>
      <c r="O82" s="11" t="n">
        <f aca="false">IF(INT((N82-Assumptions!$C$2)/7)+1&gt;Assumptions!$C$3,"after W13",INT((N82-Assumptions!$C$2)/7)+1)</f>
        <v>5</v>
      </c>
      <c r="P82" s="38" t="n">
        <f aca="false">IF(AND(D82="Receipt",G82="C01"),WORKDAY(N82+Assumptions!$C$14-1,1),N82)</f>
        <v>46336</v>
      </c>
      <c r="Q82" s="11" t="n">
        <f aca="false">IF(INT((P82-Assumptions!$C$2)/7)+1&gt;Assumptions!$C$3,"after W13",INT((P82-Assumptions!$C$2)/7)+1)</f>
        <v>5</v>
      </c>
      <c r="R82" s="38" t="n">
        <f aca="false">IF(AND(D82="Receipt",OR(G82="C01",G82="C02",G82="C03",G82="C04",G82="C07")),WORKDAY(N82+IF(G82="C01",Assumptions!$C$14,Assumptions!$C$15)-1,1),N82)</f>
        <v>46351</v>
      </c>
      <c r="S82" s="11" t="n">
        <f aca="false">IF(INT((R82-Assumptions!$C$2)/7)+1&gt;Assumptions!$C$3,"after W13",INT((R82-Assumptions!$C$2)/7)+1)</f>
        <v>7</v>
      </c>
      <c r="T82" s="11" t="s">
        <v>282</v>
      </c>
      <c r="U82" s="11" t="s">
        <v>275</v>
      </c>
      <c r="V82" s="11" t="s">
        <v>283</v>
      </c>
    </row>
    <row r="83" customFormat="false" ht="15" hidden="false" customHeight="false" outlineLevel="0" collapsed="false">
      <c r="A83" s="11" t="s">
        <v>500</v>
      </c>
      <c r="B83" s="11" t="s">
        <v>55</v>
      </c>
      <c r="C83" s="11" t="s">
        <v>501</v>
      </c>
      <c r="D83" s="11" t="s">
        <v>271</v>
      </c>
      <c r="E83" s="11" t="s">
        <v>291</v>
      </c>
      <c r="F83" s="11" t="s">
        <v>292</v>
      </c>
      <c r="G83" s="11"/>
      <c r="H83" s="37" t="n">
        <v>-4700</v>
      </c>
      <c r="I83" s="26" t="n">
        <v>1</v>
      </c>
      <c r="J83" s="37" t="n">
        <f aca="false">H83*I83</f>
        <v>-4700</v>
      </c>
      <c r="K83" s="38" t="n">
        <v>46337</v>
      </c>
      <c r="L83" s="11"/>
      <c r="M83" s="11"/>
      <c r="N83" s="38" t="n">
        <v>46337</v>
      </c>
      <c r="O83" s="11" t="n">
        <f aca="false">IF(INT((N83-Assumptions!$C$2)/7)+1&gt;Assumptions!$C$3,"after W13",INT((N83-Assumptions!$C$2)/7)+1)</f>
        <v>5</v>
      </c>
      <c r="P83" s="38" t="n">
        <f aca="false">IF(AND(D83="Receipt",G83="C01"),WORKDAY(N83+Assumptions!$C$14-1,1),N83)</f>
        <v>46337</v>
      </c>
      <c r="Q83" s="11" t="n">
        <f aca="false">IF(INT((P83-Assumptions!$C$2)/7)+1&gt;Assumptions!$C$3,"after W13",INT((P83-Assumptions!$C$2)/7)+1)</f>
        <v>5</v>
      </c>
      <c r="R83" s="38" t="n">
        <f aca="false">IF(AND(D83="Receipt",OR(G83="C01",G83="C02",G83="C03",G83="C04",G83="C07")),WORKDAY(N83+IF(G83="C01",Assumptions!$C$14,Assumptions!$C$15)-1,1),N83)</f>
        <v>46337</v>
      </c>
      <c r="S83" s="11" t="n">
        <f aca="false">IF(INT((R83-Assumptions!$C$2)/7)+1&gt;Assumptions!$C$3,"after W13",INT((R83-Assumptions!$C$2)/7)+1)</f>
        <v>5</v>
      </c>
      <c r="T83" s="11" t="s">
        <v>293</v>
      </c>
      <c r="U83" s="11" t="s">
        <v>275</v>
      </c>
      <c r="V83" s="11" t="s">
        <v>294</v>
      </c>
    </row>
    <row r="84" customFormat="false" ht="15" hidden="false" customHeight="false" outlineLevel="0" collapsed="false">
      <c r="A84" s="11" t="s">
        <v>502</v>
      </c>
      <c r="B84" s="11" t="s">
        <v>47</v>
      </c>
      <c r="C84" s="11" t="s">
        <v>503</v>
      </c>
      <c r="D84" s="11" t="s">
        <v>278</v>
      </c>
      <c r="E84" s="11" t="s">
        <v>286</v>
      </c>
      <c r="F84" s="11" t="s">
        <v>331</v>
      </c>
      <c r="G84" s="11" t="s">
        <v>332</v>
      </c>
      <c r="H84" s="37" t="n">
        <v>5820</v>
      </c>
      <c r="I84" s="26" t="n">
        <v>1</v>
      </c>
      <c r="J84" s="37" t="n">
        <f aca="false">H84*I84</f>
        <v>5820</v>
      </c>
      <c r="K84" s="38" t="n">
        <v>46312</v>
      </c>
      <c r="L84" s="11" t="n">
        <v>0</v>
      </c>
      <c r="M84" s="11" t="n">
        <v>25</v>
      </c>
      <c r="N84" s="38" t="n">
        <v>46337</v>
      </c>
      <c r="O84" s="11" t="n">
        <f aca="false">IF(INT((N84-Assumptions!$C$2)/7)+1&gt;Assumptions!$C$3,"after W13",INT((N84-Assumptions!$C$2)/7)+1)</f>
        <v>5</v>
      </c>
      <c r="P84" s="38" t="n">
        <f aca="false">IF(AND(D84="Receipt",G84="C01"),WORKDAY(N84+Assumptions!$C$14-1,1),N84)</f>
        <v>46337</v>
      </c>
      <c r="Q84" s="11" t="n">
        <f aca="false">IF(INT((P84-Assumptions!$C$2)/7)+1&gt;Assumptions!$C$3,"after W13",INT((P84-Assumptions!$C$2)/7)+1)</f>
        <v>5</v>
      </c>
      <c r="R84" s="38" t="n">
        <f aca="false">IF(AND(D84="Receipt",OR(G84="C01",G84="C02",G84="C03",G84="C04",G84="C07")),WORKDAY(N84+IF(G84="C01",Assumptions!$C$14,Assumptions!$C$15)-1,1),N84)</f>
        <v>46352</v>
      </c>
      <c r="S84" s="11" t="n">
        <f aca="false">IF(INT((R84-Assumptions!$C$2)/7)+1&gt;Assumptions!$C$3,"after W13",INT((R84-Assumptions!$C$2)/7)+1)</f>
        <v>7</v>
      </c>
      <c r="T84" s="11" t="s">
        <v>282</v>
      </c>
      <c r="U84" s="11" t="s">
        <v>275</v>
      </c>
      <c r="V84" s="11" t="s">
        <v>283</v>
      </c>
    </row>
    <row r="85" customFormat="false" ht="15" hidden="false" customHeight="false" outlineLevel="0" collapsed="false">
      <c r="A85" s="11" t="s">
        <v>504</v>
      </c>
      <c r="B85" s="11" t="s">
        <v>47</v>
      </c>
      <c r="C85" s="11" t="s">
        <v>505</v>
      </c>
      <c r="D85" s="11" t="s">
        <v>278</v>
      </c>
      <c r="E85" s="11" t="s">
        <v>286</v>
      </c>
      <c r="F85" s="11" t="s">
        <v>331</v>
      </c>
      <c r="G85" s="11" t="s">
        <v>332</v>
      </c>
      <c r="H85" s="37" t="n">
        <v>9564</v>
      </c>
      <c r="I85" s="26" t="n">
        <v>1</v>
      </c>
      <c r="J85" s="37" t="n">
        <f aca="false">H85*I85</f>
        <v>9564</v>
      </c>
      <c r="K85" s="38" t="n">
        <v>46312</v>
      </c>
      <c r="L85" s="11" t="n">
        <v>0</v>
      </c>
      <c r="M85" s="11" t="n">
        <v>25</v>
      </c>
      <c r="N85" s="38" t="n">
        <v>46337</v>
      </c>
      <c r="O85" s="11" t="n">
        <f aca="false">IF(INT((N85-Assumptions!$C$2)/7)+1&gt;Assumptions!$C$3,"after W13",INT((N85-Assumptions!$C$2)/7)+1)</f>
        <v>5</v>
      </c>
      <c r="P85" s="38" t="n">
        <f aca="false">IF(AND(D85="Receipt",G85="C01"),WORKDAY(N85+Assumptions!$C$14-1,1),N85)</f>
        <v>46337</v>
      </c>
      <c r="Q85" s="11" t="n">
        <f aca="false">IF(INT((P85-Assumptions!$C$2)/7)+1&gt;Assumptions!$C$3,"after W13",INT((P85-Assumptions!$C$2)/7)+1)</f>
        <v>5</v>
      </c>
      <c r="R85" s="38" t="n">
        <f aca="false">IF(AND(D85="Receipt",OR(G85="C01",G85="C02",G85="C03",G85="C04",G85="C07")),WORKDAY(N85+IF(G85="C01",Assumptions!$C$14,Assumptions!$C$15)-1,1),N85)</f>
        <v>46352</v>
      </c>
      <c r="S85" s="11" t="n">
        <f aca="false">IF(INT((R85-Assumptions!$C$2)/7)+1&gt;Assumptions!$C$3,"after W13",INT((R85-Assumptions!$C$2)/7)+1)</f>
        <v>7</v>
      </c>
      <c r="T85" s="11" t="s">
        <v>282</v>
      </c>
      <c r="U85" s="11" t="s">
        <v>275</v>
      </c>
      <c r="V85" s="11" t="s">
        <v>283</v>
      </c>
    </row>
    <row r="86" customFormat="false" ht="15" hidden="false" customHeight="false" outlineLevel="0" collapsed="false">
      <c r="A86" s="11" t="s">
        <v>506</v>
      </c>
      <c r="B86" s="11" t="s">
        <v>47</v>
      </c>
      <c r="C86" s="11" t="s">
        <v>507</v>
      </c>
      <c r="D86" s="11" t="s">
        <v>278</v>
      </c>
      <c r="E86" s="11" t="s">
        <v>286</v>
      </c>
      <c r="F86" s="11" t="s">
        <v>287</v>
      </c>
      <c r="G86" s="11" t="s">
        <v>288</v>
      </c>
      <c r="H86" s="37" t="n">
        <v>2604</v>
      </c>
      <c r="I86" s="26" t="n">
        <v>1</v>
      </c>
      <c r="J86" s="37" t="n">
        <f aca="false">H86*I86</f>
        <v>2604</v>
      </c>
      <c r="K86" s="38" t="n">
        <v>46334</v>
      </c>
      <c r="L86" s="11" t="n">
        <v>0</v>
      </c>
      <c r="M86" s="11" t="n">
        <v>3</v>
      </c>
      <c r="N86" s="38" t="n">
        <v>46337</v>
      </c>
      <c r="O86" s="11" t="n">
        <f aca="false">IF(INT((N86-Assumptions!$C$2)/7)+1&gt;Assumptions!$C$3,"after W13",INT((N86-Assumptions!$C$2)/7)+1)</f>
        <v>5</v>
      </c>
      <c r="P86" s="38" t="n">
        <f aca="false">IF(AND(D86="Receipt",G86="C01"),WORKDAY(N86+Assumptions!$C$14-1,1),N86)</f>
        <v>46337</v>
      </c>
      <c r="Q86" s="11" t="n">
        <f aca="false">IF(INT((P86-Assumptions!$C$2)/7)+1&gt;Assumptions!$C$3,"after W13",INT((P86-Assumptions!$C$2)/7)+1)</f>
        <v>5</v>
      </c>
      <c r="R86" s="38" t="n">
        <f aca="false">IF(AND(D86="Receipt",OR(G86="C01",G86="C02",G86="C03",G86="C04",G86="C07")),WORKDAY(N86+IF(G86="C01",Assumptions!$C$14,Assumptions!$C$15)-1,1),N86)</f>
        <v>46352</v>
      </c>
      <c r="S86" s="11" t="n">
        <f aca="false">IF(INT((R86-Assumptions!$C$2)/7)+1&gt;Assumptions!$C$3,"after W13",INT((R86-Assumptions!$C$2)/7)+1)</f>
        <v>7</v>
      </c>
      <c r="T86" s="11" t="s">
        <v>282</v>
      </c>
      <c r="U86" s="11" t="s">
        <v>275</v>
      </c>
      <c r="V86" s="11" t="s">
        <v>283</v>
      </c>
    </row>
    <row r="87" customFormat="false" ht="15" hidden="false" customHeight="false" outlineLevel="0" collapsed="false">
      <c r="A87" s="11" t="s">
        <v>508</v>
      </c>
      <c r="B87" s="11" t="s">
        <v>53</v>
      </c>
      <c r="C87" s="11" t="s">
        <v>509</v>
      </c>
      <c r="D87" s="11" t="s">
        <v>271</v>
      </c>
      <c r="E87" s="11" t="s">
        <v>307</v>
      </c>
      <c r="F87" s="11" t="s">
        <v>313</v>
      </c>
      <c r="G87" s="11"/>
      <c r="H87" s="37" t="n">
        <v>-6312.02</v>
      </c>
      <c r="I87" s="26" t="n">
        <v>1</v>
      </c>
      <c r="J87" s="37" t="n">
        <f aca="false">H87*I87</f>
        <v>-6312.02</v>
      </c>
      <c r="K87" s="38" t="n">
        <v>46341</v>
      </c>
      <c r="L87" s="11"/>
      <c r="M87" s="11"/>
      <c r="N87" s="38" t="n">
        <v>46338</v>
      </c>
      <c r="O87" s="11" t="n">
        <f aca="false">IF(INT((N87-Assumptions!$C$2)/7)+1&gt;Assumptions!$C$3,"after W13",INT((N87-Assumptions!$C$2)/7)+1)</f>
        <v>5</v>
      </c>
      <c r="P87" s="38" t="n">
        <f aca="false">IF(AND(D87="Receipt",G87="C01"),WORKDAY(N87+Assumptions!$C$14-1,1),N87)</f>
        <v>46338</v>
      </c>
      <c r="Q87" s="11" t="n">
        <f aca="false">IF(INT((P87-Assumptions!$C$2)/7)+1&gt;Assumptions!$C$3,"after W13",INT((P87-Assumptions!$C$2)/7)+1)</f>
        <v>5</v>
      </c>
      <c r="R87" s="38" t="n">
        <f aca="false">IF(AND(D87="Receipt",OR(G87="C01",G87="C02",G87="C03",G87="C04",G87="C07")),WORKDAY(N87+IF(G87="C01",Assumptions!$C$14,Assumptions!$C$15)-1,1),N87)</f>
        <v>46338</v>
      </c>
      <c r="S87" s="11" t="n">
        <f aca="false">IF(INT((R87-Assumptions!$C$2)/7)+1&gt;Assumptions!$C$3,"after W13",INT((R87-Assumptions!$C$2)/7)+1)</f>
        <v>5</v>
      </c>
      <c r="T87" s="11" t="s">
        <v>465</v>
      </c>
      <c r="U87" s="11" t="s">
        <v>275</v>
      </c>
      <c r="V87" s="11" t="s">
        <v>314</v>
      </c>
    </row>
    <row r="88" customFormat="false" ht="15" hidden="false" customHeight="false" outlineLevel="0" collapsed="false">
      <c r="A88" s="11" t="s">
        <v>510</v>
      </c>
      <c r="B88" s="11" t="s">
        <v>47</v>
      </c>
      <c r="C88" s="11" t="s">
        <v>511</v>
      </c>
      <c r="D88" s="11" t="s">
        <v>278</v>
      </c>
      <c r="E88" s="11" t="s">
        <v>279</v>
      </c>
      <c r="F88" s="11" t="s">
        <v>280</v>
      </c>
      <c r="G88" s="11" t="s">
        <v>281</v>
      </c>
      <c r="H88" s="37" t="n">
        <v>18120</v>
      </c>
      <c r="I88" s="26" t="n">
        <v>1</v>
      </c>
      <c r="J88" s="37" t="n">
        <f aca="false">H88*I88</f>
        <v>18120</v>
      </c>
      <c r="K88" s="38" t="n">
        <v>46339</v>
      </c>
      <c r="L88" s="11" t="n">
        <v>0</v>
      </c>
      <c r="M88" s="11" t="n">
        <v>0</v>
      </c>
      <c r="N88" s="38" t="n">
        <v>46339</v>
      </c>
      <c r="O88" s="11" t="n">
        <f aca="false">IF(INT((N88-Assumptions!$C$2)/7)+1&gt;Assumptions!$C$3,"after W13",INT((N88-Assumptions!$C$2)/7)+1)</f>
        <v>5</v>
      </c>
      <c r="P88" s="38" t="n">
        <f aca="false">IF(AND(D88="Receipt",G88="C01"),WORKDAY(N88+Assumptions!$C$14-1,1),N88)</f>
        <v>46339</v>
      </c>
      <c r="Q88" s="11" t="n">
        <f aca="false">IF(INT((P88-Assumptions!$C$2)/7)+1&gt;Assumptions!$C$3,"after W13",INT((P88-Assumptions!$C$2)/7)+1)</f>
        <v>5</v>
      </c>
      <c r="R88" s="38" t="n">
        <f aca="false">IF(AND(D88="Receipt",OR(G88="C01",G88="C02",G88="C03",G88="C04",G88="C07")),WORKDAY(N88+IF(G88="C01",Assumptions!$C$14,Assumptions!$C$15)-1,1),N88)</f>
        <v>46339</v>
      </c>
      <c r="S88" s="11" t="n">
        <f aca="false">IF(INT((R88-Assumptions!$C$2)/7)+1&gt;Assumptions!$C$3,"after W13",INT((R88-Assumptions!$C$2)/7)+1)</f>
        <v>5</v>
      </c>
      <c r="T88" s="11" t="s">
        <v>282</v>
      </c>
      <c r="U88" s="11" t="s">
        <v>275</v>
      </c>
      <c r="V88" s="11" t="s">
        <v>283</v>
      </c>
    </row>
    <row r="89" customFormat="false" ht="15" hidden="false" customHeight="false" outlineLevel="0" collapsed="false">
      <c r="A89" s="11" t="s">
        <v>512</v>
      </c>
      <c r="B89" s="11" t="s">
        <v>47</v>
      </c>
      <c r="C89" s="11" t="s">
        <v>513</v>
      </c>
      <c r="D89" s="11" t="s">
        <v>278</v>
      </c>
      <c r="E89" s="11" t="s">
        <v>279</v>
      </c>
      <c r="F89" s="11" t="s">
        <v>280</v>
      </c>
      <c r="G89" s="11" t="s">
        <v>281</v>
      </c>
      <c r="H89" s="37" t="n">
        <v>7452</v>
      </c>
      <c r="I89" s="26" t="n">
        <v>1</v>
      </c>
      <c r="J89" s="37" t="n">
        <f aca="false">H89*I89</f>
        <v>7452</v>
      </c>
      <c r="K89" s="38" t="n">
        <v>46339</v>
      </c>
      <c r="L89" s="11" t="n">
        <v>0</v>
      </c>
      <c r="M89" s="11" t="n">
        <v>0</v>
      </c>
      <c r="N89" s="38" t="n">
        <v>46339</v>
      </c>
      <c r="O89" s="11" t="n">
        <f aca="false">IF(INT((N89-Assumptions!$C$2)/7)+1&gt;Assumptions!$C$3,"after W13",INT((N89-Assumptions!$C$2)/7)+1)</f>
        <v>5</v>
      </c>
      <c r="P89" s="38" t="n">
        <f aca="false">IF(AND(D89="Receipt",G89="C01"),WORKDAY(N89+Assumptions!$C$14-1,1),N89)</f>
        <v>46339</v>
      </c>
      <c r="Q89" s="11" t="n">
        <f aca="false">IF(INT((P89-Assumptions!$C$2)/7)+1&gt;Assumptions!$C$3,"after W13",INT((P89-Assumptions!$C$2)/7)+1)</f>
        <v>5</v>
      </c>
      <c r="R89" s="38" t="n">
        <f aca="false">IF(AND(D89="Receipt",OR(G89="C01",G89="C02",G89="C03",G89="C04",G89="C07")),WORKDAY(N89+IF(G89="C01",Assumptions!$C$14,Assumptions!$C$15)-1,1),N89)</f>
        <v>46339</v>
      </c>
      <c r="S89" s="11" t="n">
        <f aca="false">IF(INT((R89-Assumptions!$C$2)/7)+1&gt;Assumptions!$C$3,"after W13",INT((R89-Assumptions!$C$2)/7)+1)</f>
        <v>5</v>
      </c>
      <c r="T89" s="11" t="s">
        <v>282</v>
      </c>
      <c r="U89" s="11" t="s">
        <v>275</v>
      </c>
      <c r="V89" s="11" t="s">
        <v>283</v>
      </c>
    </row>
    <row r="90" customFormat="false" ht="15" hidden="false" customHeight="false" outlineLevel="0" collapsed="false">
      <c r="A90" s="11" t="s">
        <v>514</v>
      </c>
      <c r="B90" s="11" t="s">
        <v>47</v>
      </c>
      <c r="C90" s="11" t="s">
        <v>515</v>
      </c>
      <c r="D90" s="11" t="s">
        <v>278</v>
      </c>
      <c r="E90" s="11" t="s">
        <v>322</v>
      </c>
      <c r="F90" s="11" t="s">
        <v>323</v>
      </c>
      <c r="G90" s="11" t="s">
        <v>324</v>
      </c>
      <c r="H90" s="37" t="n">
        <v>8004</v>
      </c>
      <c r="I90" s="26" t="n">
        <v>1</v>
      </c>
      <c r="J90" s="37" t="n">
        <f aca="false">H90*I90</f>
        <v>8004</v>
      </c>
      <c r="K90" s="38" t="n">
        <v>46327</v>
      </c>
      <c r="L90" s="11" t="n">
        <v>0</v>
      </c>
      <c r="M90" s="11" t="n">
        <v>12</v>
      </c>
      <c r="N90" s="38" t="n">
        <v>46339</v>
      </c>
      <c r="O90" s="11" t="n">
        <f aca="false">IF(INT((N90-Assumptions!$C$2)/7)+1&gt;Assumptions!$C$3,"after W13",INT((N90-Assumptions!$C$2)/7)+1)</f>
        <v>5</v>
      </c>
      <c r="P90" s="38" t="n">
        <f aca="false">IF(AND(D90="Receipt",G90="C01"),WORKDAY(N90+Assumptions!$C$14-1,1),N90)</f>
        <v>46339</v>
      </c>
      <c r="Q90" s="11" t="n">
        <f aca="false">IF(INT((P90-Assumptions!$C$2)/7)+1&gt;Assumptions!$C$3,"after W13",INT((P90-Assumptions!$C$2)/7)+1)</f>
        <v>5</v>
      </c>
      <c r="R90" s="38" t="n">
        <f aca="false">IF(AND(D90="Receipt",OR(G90="C01",G90="C02",G90="C03",G90="C04",G90="C07")),WORKDAY(N90+IF(G90="C01",Assumptions!$C$14,Assumptions!$C$15)-1,1),N90)</f>
        <v>46339</v>
      </c>
      <c r="S90" s="11" t="n">
        <f aca="false">IF(INT((R90-Assumptions!$C$2)/7)+1&gt;Assumptions!$C$3,"after W13",INT((R90-Assumptions!$C$2)/7)+1)</f>
        <v>5</v>
      </c>
      <c r="T90" s="11" t="s">
        <v>282</v>
      </c>
      <c r="U90" s="11" t="s">
        <v>275</v>
      </c>
      <c r="V90" s="11" t="s">
        <v>283</v>
      </c>
    </row>
    <row r="91" customFormat="false" ht="15" hidden="false" customHeight="false" outlineLevel="0" collapsed="false">
      <c r="A91" s="11" t="s">
        <v>516</v>
      </c>
      <c r="B91" s="11" t="s">
        <v>55</v>
      </c>
      <c r="C91" s="11" t="s">
        <v>517</v>
      </c>
      <c r="D91" s="11" t="s">
        <v>271</v>
      </c>
      <c r="E91" s="11" t="s">
        <v>317</v>
      </c>
      <c r="F91" s="11" t="s">
        <v>318</v>
      </c>
      <c r="G91" s="11"/>
      <c r="H91" s="37" t="n">
        <v>-86000</v>
      </c>
      <c r="I91" s="26" t="n">
        <v>1</v>
      </c>
      <c r="J91" s="37" t="n">
        <f aca="false">H91*I91</f>
        <v>-86000</v>
      </c>
      <c r="K91" s="38" t="n">
        <v>46342</v>
      </c>
      <c r="L91" s="11"/>
      <c r="M91" s="11"/>
      <c r="N91" s="38" t="n">
        <v>46342</v>
      </c>
      <c r="O91" s="11" t="n">
        <f aca="false">IF(INT((N91-Assumptions!$C$2)/7)+1&gt;Assumptions!$C$3,"after W13",INT((N91-Assumptions!$C$2)/7)+1)</f>
        <v>6</v>
      </c>
      <c r="P91" s="38" t="n">
        <f aca="false">IF(AND(D91="Receipt",G91="C01"),WORKDAY(N91+Assumptions!$C$14-1,1),N91)</f>
        <v>46342</v>
      </c>
      <c r="Q91" s="11" t="n">
        <f aca="false">IF(INT((P91-Assumptions!$C$2)/7)+1&gt;Assumptions!$C$3,"after W13",INT((P91-Assumptions!$C$2)/7)+1)</f>
        <v>6</v>
      </c>
      <c r="R91" s="38" t="n">
        <f aca="false">IF(AND(D91="Receipt",OR(G91="C01",G91="C02",G91="C03",G91="C04",G91="C07")),WORKDAY(N91+IF(G91="C01",Assumptions!$C$14,Assumptions!$C$15)-1,1),N91)</f>
        <v>46342</v>
      </c>
      <c r="S91" s="11" t="n">
        <f aca="false">IF(INT((R91-Assumptions!$C$2)/7)+1&gt;Assumptions!$C$3,"after W13",INT((R91-Assumptions!$C$2)/7)+1)</f>
        <v>6</v>
      </c>
      <c r="T91" s="11" t="s">
        <v>274</v>
      </c>
      <c r="U91" s="11" t="s">
        <v>275</v>
      </c>
      <c r="V91" s="11" t="s">
        <v>319</v>
      </c>
    </row>
    <row r="92" customFormat="false" ht="15" hidden="false" customHeight="false" outlineLevel="0" collapsed="false">
      <c r="A92" s="11" t="s">
        <v>518</v>
      </c>
      <c r="B92" s="11" t="s">
        <v>47</v>
      </c>
      <c r="C92" s="11" t="s">
        <v>519</v>
      </c>
      <c r="D92" s="11" t="s">
        <v>278</v>
      </c>
      <c r="E92" s="11" t="s">
        <v>286</v>
      </c>
      <c r="F92" s="11" t="s">
        <v>349</v>
      </c>
      <c r="G92" s="11" t="s">
        <v>350</v>
      </c>
      <c r="H92" s="37" t="n">
        <v>40488</v>
      </c>
      <c r="I92" s="26" t="n">
        <v>1</v>
      </c>
      <c r="J92" s="37" t="n">
        <f aca="false">H92*I92</f>
        <v>40488</v>
      </c>
      <c r="K92" s="38" t="n">
        <v>46332</v>
      </c>
      <c r="L92" s="11" t="n">
        <v>0</v>
      </c>
      <c r="M92" s="11" t="n">
        <v>10</v>
      </c>
      <c r="N92" s="38" t="n">
        <v>46342</v>
      </c>
      <c r="O92" s="11" t="n">
        <f aca="false">IF(INT((N92-Assumptions!$C$2)/7)+1&gt;Assumptions!$C$3,"after W13",INT((N92-Assumptions!$C$2)/7)+1)</f>
        <v>6</v>
      </c>
      <c r="P92" s="38" t="n">
        <f aca="false">IF(AND(D92="Receipt",G92="C01"),WORKDAY(N92+Assumptions!$C$14-1,1),N92)</f>
        <v>46342</v>
      </c>
      <c r="Q92" s="11" t="n">
        <f aca="false">IF(INT((P92-Assumptions!$C$2)/7)+1&gt;Assumptions!$C$3,"after W13",INT((P92-Assumptions!$C$2)/7)+1)</f>
        <v>6</v>
      </c>
      <c r="R92" s="38" t="n">
        <f aca="false">IF(AND(D92="Receipt",OR(G92="C01",G92="C02",G92="C03",G92="C04",G92="C07")),WORKDAY(N92+IF(G92="C01",Assumptions!$C$14,Assumptions!$C$15)-1,1),N92)</f>
        <v>46357</v>
      </c>
      <c r="S92" s="11" t="n">
        <f aca="false">IF(INT((R92-Assumptions!$C$2)/7)+1&gt;Assumptions!$C$3,"after W13",INT((R92-Assumptions!$C$2)/7)+1)</f>
        <v>8</v>
      </c>
      <c r="T92" s="11" t="s">
        <v>282</v>
      </c>
      <c r="U92" s="11" t="s">
        <v>275</v>
      </c>
      <c r="V92" s="11" t="s">
        <v>283</v>
      </c>
    </row>
    <row r="93" customFormat="false" ht="15" hidden="false" customHeight="false" outlineLevel="0" collapsed="false">
      <c r="A93" s="11" t="s">
        <v>520</v>
      </c>
      <c r="B93" s="11" t="s">
        <v>47</v>
      </c>
      <c r="C93" s="11" t="s">
        <v>521</v>
      </c>
      <c r="D93" s="11" t="s">
        <v>278</v>
      </c>
      <c r="E93" s="11" t="s">
        <v>297</v>
      </c>
      <c r="F93" s="11" t="s">
        <v>298</v>
      </c>
      <c r="G93" s="11" t="s">
        <v>299</v>
      </c>
      <c r="H93" s="37" t="n">
        <v>13020</v>
      </c>
      <c r="I93" s="26" t="n">
        <v>1</v>
      </c>
      <c r="J93" s="37" t="n">
        <f aca="false">H93*I93</f>
        <v>13020</v>
      </c>
      <c r="K93" s="38" t="n">
        <v>46335</v>
      </c>
      <c r="L93" s="11" t="n">
        <v>0</v>
      </c>
      <c r="M93" s="11" t="n">
        <v>6</v>
      </c>
      <c r="N93" s="38" t="n">
        <v>46342</v>
      </c>
      <c r="O93" s="11" t="n">
        <f aca="false">IF(INT((N93-Assumptions!$C$2)/7)+1&gt;Assumptions!$C$3,"after W13",INT((N93-Assumptions!$C$2)/7)+1)</f>
        <v>6</v>
      </c>
      <c r="P93" s="38" t="n">
        <f aca="false">IF(AND(D93="Receipt",G93="C01"),WORKDAY(N93+Assumptions!$C$14-1,1),N93)</f>
        <v>46342</v>
      </c>
      <c r="Q93" s="11" t="n">
        <f aca="false">IF(INT((P93-Assumptions!$C$2)/7)+1&gt;Assumptions!$C$3,"after W13",INT((P93-Assumptions!$C$2)/7)+1)</f>
        <v>6</v>
      </c>
      <c r="R93" s="38" t="n">
        <f aca="false">IF(AND(D93="Receipt",OR(G93="C01",G93="C02",G93="C03",G93="C04",G93="C07")),WORKDAY(N93+IF(G93="C01",Assumptions!$C$14,Assumptions!$C$15)-1,1),N93)</f>
        <v>46342</v>
      </c>
      <c r="S93" s="11" t="n">
        <f aca="false">IF(INT((R93-Assumptions!$C$2)/7)+1&gt;Assumptions!$C$3,"after W13",INT((R93-Assumptions!$C$2)/7)+1)</f>
        <v>6</v>
      </c>
      <c r="T93" s="11" t="s">
        <v>282</v>
      </c>
      <c r="U93" s="11" t="s">
        <v>275</v>
      </c>
      <c r="V93" s="11" t="s">
        <v>283</v>
      </c>
    </row>
    <row r="94" customFormat="false" ht="15" hidden="false" customHeight="false" outlineLevel="0" collapsed="false">
      <c r="A94" s="11" t="s">
        <v>522</v>
      </c>
      <c r="B94" s="11" t="s">
        <v>47</v>
      </c>
      <c r="C94" s="11" t="s">
        <v>523</v>
      </c>
      <c r="D94" s="11" t="s">
        <v>278</v>
      </c>
      <c r="E94" s="11" t="s">
        <v>279</v>
      </c>
      <c r="F94" s="11" t="s">
        <v>335</v>
      </c>
      <c r="G94" s="11" t="s">
        <v>336</v>
      </c>
      <c r="H94" s="37" t="n">
        <v>8100</v>
      </c>
      <c r="I94" s="26" t="n">
        <v>1</v>
      </c>
      <c r="J94" s="37" t="n">
        <f aca="false">H94*I94</f>
        <v>8100</v>
      </c>
      <c r="K94" s="38" t="n">
        <v>46335</v>
      </c>
      <c r="L94" s="11" t="n">
        <v>0</v>
      </c>
      <c r="M94" s="11" t="n">
        <v>7</v>
      </c>
      <c r="N94" s="38" t="n">
        <v>46342</v>
      </c>
      <c r="O94" s="11" t="n">
        <f aca="false">IF(INT((N94-Assumptions!$C$2)/7)+1&gt;Assumptions!$C$3,"after W13",INT((N94-Assumptions!$C$2)/7)+1)</f>
        <v>6</v>
      </c>
      <c r="P94" s="38" t="n">
        <f aca="false">IF(AND(D94="Receipt",G94="C01"),WORKDAY(N94+Assumptions!$C$14-1,1),N94)</f>
        <v>46342</v>
      </c>
      <c r="Q94" s="11" t="n">
        <f aca="false">IF(INT((P94-Assumptions!$C$2)/7)+1&gt;Assumptions!$C$3,"after W13",INT((P94-Assumptions!$C$2)/7)+1)</f>
        <v>6</v>
      </c>
      <c r="R94" s="38" t="n">
        <f aca="false">IF(AND(D94="Receipt",OR(G94="C01",G94="C02",G94="C03",G94="C04",G94="C07")),WORKDAY(N94+IF(G94="C01",Assumptions!$C$14,Assumptions!$C$15)-1,1),N94)</f>
        <v>46342</v>
      </c>
      <c r="S94" s="11" t="n">
        <f aca="false">IF(INT((R94-Assumptions!$C$2)/7)+1&gt;Assumptions!$C$3,"after W13",INT((R94-Assumptions!$C$2)/7)+1)</f>
        <v>6</v>
      </c>
      <c r="T94" s="11" t="s">
        <v>282</v>
      </c>
      <c r="U94" s="11" t="s">
        <v>275</v>
      </c>
      <c r="V94" s="11" t="s">
        <v>283</v>
      </c>
    </row>
    <row r="95" customFormat="false" ht="15" hidden="false" customHeight="false" outlineLevel="0" collapsed="false">
      <c r="A95" s="11" t="s">
        <v>524</v>
      </c>
      <c r="B95" s="11" t="s">
        <v>47</v>
      </c>
      <c r="C95" s="11" t="s">
        <v>525</v>
      </c>
      <c r="D95" s="11" t="s">
        <v>278</v>
      </c>
      <c r="E95" s="11" t="s">
        <v>279</v>
      </c>
      <c r="F95" s="11" t="s">
        <v>280</v>
      </c>
      <c r="G95" s="11" t="s">
        <v>281</v>
      </c>
      <c r="H95" s="37" t="n">
        <v>9444</v>
      </c>
      <c r="I95" s="26" t="n">
        <v>1</v>
      </c>
      <c r="J95" s="37" t="n">
        <f aca="false">H95*I95</f>
        <v>9444</v>
      </c>
      <c r="K95" s="38" t="n">
        <v>46342</v>
      </c>
      <c r="L95" s="11" t="n">
        <v>0</v>
      </c>
      <c r="M95" s="11" t="n">
        <v>0</v>
      </c>
      <c r="N95" s="38" t="n">
        <v>46342</v>
      </c>
      <c r="O95" s="11" t="n">
        <f aca="false">IF(INT((N95-Assumptions!$C$2)/7)+1&gt;Assumptions!$C$3,"after W13",INT((N95-Assumptions!$C$2)/7)+1)</f>
        <v>6</v>
      </c>
      <c r="P95" s="38" t="n">
        <f aca="false">IF(AND(D95="Receipt",G95="C01"),WORKDAY(N95+Assumptions!$C$14-1,1),N95)</f>
        <v>46342</v>
      </c>
      <c r="Q95" s="11" t="n">
        <f aca="false">IF(INT((P95-Assumptions!$C$2)/7)+1&gt;Assumptions!$C$3,"after W13",INT((P95-Assumptions!$C$2)/7)+1)</f>
        <v>6</v>
      </c>
      <c r="R95" s="38" t="n">
        <f aca="false">IF(AND(D95="Receipt",OR(G95="C01",G95="C02",G95="C03",G95="C04",G95="C07")),WORKDAY(N95+IF(G95="C01",Assumptions!$C$14,Assumptions!$C$15)-1,1),N95)</f>
        <v>46342</v>
      </c>
      <c r="S95" s="11" t="n">
        <f aca="false">IF(INT((R95-Assumptions!$C$2)/7)+1&gt;Assumptions!$C$3,"after W13",INT((R95-Assumptions!$C$2)/7)+1)</f>
        <v>6</v>
      </c>
      <c r="T95" s="11" t="s">
        <v>282</v>
      </c>
      <c r="U95" s="11" t="s">
        <v>275</v>
      </c>
      <c r="V95" s="11" t="s">
        <v>283</v>
      </c>
    </row>
    <row r="96" customFormat="false" ht="15" hidden="false" customHeight="false" outlineLevel="0" collapsed="false">
      <c r="A96" s="11" t="s">
        <v>526</v>
      </c>
      <c r="B96" s="11" t="s">
        <v>47</v>
      </c>
      <c r="C96" s="11" t="s">
        <v>527</v>
      </c>
      <c r="D96" s="11" t="s">
        <v>278</v>
      </c>
      <c r="E96" s="11" t="s">
        <v>279</v>
      </c>
      <c r="F96" s="11" t="s">
        <v>280</v>
      </c>
      <c r="G96" s="11" t="s">
        <v>281</v>
      </c>
      <c r="H96" s="37" t="n">
        <v>6360</v>
      </c>
      <c r="I96" s="26" t="n">
        <v>1</v>
      </c>
      <c r="J96" s="37" t="n">
        <f aca="false">H96*I96</f>
        <v>6360</v>
      </c>
      <c r="K96" s="38" t="n">
        <v>46342</v>
      </c>
      <c r="L96" s="11" t="n">
        <v>0</v>
      </c>
      <c r="M96" s="11" t="n">
        <v>0</v>
      </c>
      <c r="N96" s="38" t="n">
        <v>46342</v>
      </c>
      <c r="O96" s="11" t="n">
        <f aca="false">IF(INT((N96-Assumptions!$C$2)/7)+1&gt;Assumptions!$C$3,"after W13",INT((N96-Assumptions!$C$2)/7)+1)</f>
        <v>6</v>
      </c>
      <c r="P96" s="38" t="n">
        <f aca="false">IF(AND(D96="Receipt",G96="C01"),WORKDAY(N96+Assumptions!$C$14-1,1),N96)</f>
        <v>46342</v>
      </c>
      <c r="Q96" s="11" t="n">
        <f aca="false">IF(INT((P96-Assumptions!$C$2)/7)+1&gt;Assumptions!$C$3,"after W13",INT((P96-Assumptions!$C$2)/7)+1)</f>
        <v>6</v>
      </c>
      <c r="R96" s="38" t="n">
        <f aca="false">IF(AND(D96="Receipt",OR(G96="C01",G96="C02",G96="C03",G96="C04",G96="C07")),WORKDAY(N96+IF(G96="C01",Assumptions!$C$14,Assumptions!$C$15)-1,1),N96)</f>
        <v>46342</v>
      </c>
      <c r="S96" s="11" t="n">
        <f aca="false">IF(INT((R96-Assumptions!$C$2)/7)+1&gt;Assumptions!$C$3,"after W13",INT((R96-Assumptions!$C$2)/7)+1)</f>
        <v>6</v>
      </c>
      <c r="T96" s="11" t="s">
        <v>282</v>
      </c>
      <c r="U96" s="11" t="s">
        <v>275</v>
      </c>
      <c r="V96" s="11" t="s">
        <v>283</v>
      </c>
    </row>
    <row r="97" customFormat="false" ht="15" hidden="false" customHeight="false" outlineLevel="0" collapsed="false">
      <c r="A97" s="11" t="s">
        <v>528</v>
      </c>
      <c r="B97" s="11" t="s">
        <v>47</v>
      </c>
      <c r="C97" s="11" t="s">
        <v>529</v>
      </c>
      <c r="D97" s="11" t="s">
        <v>278</v>
      </c>
      <c r="E97" s="11" t="s">
        <v>398</v>
      </c>
      <c r="F97" s="11" t="s">
        <v>399</v>
      </c>
      <c r="G97" s="11" t="s">
        <v>400</v>
      </c>
      <c r="H97" s="37" t="n">
        <v>18588</v>
      </c>
      <c r="I97" s="26" t="n">
        <v>1</v>
      </c>
      <c r="J97" s="37" t="n">
        <f aca="false">H97*I97</f>
        <v>18588</v>
      </c>
      <c r="K97" s="38" t="n">
        <v>46334</v>
      </c>
      <c r="L97" s="11" t="n">
        <v>0</v>
      </c>
      <c r="M97" s="11" t="n">
        <v>8.5</v>
      </c>
      <c r="N97" s="38" t="n">
        <v>46342</v>
      </c>
      <c r="O97" s="11" t="n">
        <f aca="false">IF(INT((N97-Assumptions!$C$2)/7)+1&gt;Assumptions!$C$3,"after W13",INT((N97-Assumptions!$C$2)/7)+1)</f>
        <v>6</v>
      </c>
      <c r="P97" s="38" t="n">
        <f aca="false">IF(AND(D97="Receipt",G97="C01"),WORKDAY(N97+Assumptions!$C$14-1,1),N97)</f>
        <v>46342</v>
      </c>
      <c r="Q97" s="11" t="n">
        <f aca="false">IF(INT((P97-Assumptions!$C$2)/7)+1&gt;Assumptions!$C$3,"after W13",INT((P97-Assumptions!$C$2)/7)+1)</f>
        <v>6</v>
      </c>
      <c r="R97" s="38" t="n">
        <f aca="false">IF(AND(D97="Receipt",OR(G97="C01",G97="C02",G97="C03",G97="C04",G97="C07")),WORKDAY(N97+IF(G97="C01",Assumptions!$C$14,Assumptions!$C$15)-1,1),N97)</f>
        <v>46342</v>
      </c>
      <c r="S97" s="11" t="n">
        <f aca="false">IF(INT((R97-Assumptions!$C$2)/7)+1&gt;Assumptions!$C$3,"after W13",INT((R97-Assumptions!$C$2)/7)+1)</f>
        <v>6</v>
      </c>
      <c r="T97" s="11" t="s">
        <v>282</v>
      </c>
      <c r="U97" s="11" t="s">
        <v>275</v>
      </c>
      <c r="V97" s="11" t="s">
        <v>283</v>
      </c>
    </row>
    <row r="98" customFormat="false" ht="15" hidden="false" customHeight="false" outlineLevel="0" collapsed="false">
      <c r="A98" s="11" t="s">
        <v>530</v>
      </c>
      <c r="B98" s="11" t="s">
        <v>47</v>
      </c>
      <c r="C98" s="11" t="s">
        <v>531</v>
      </c>
      <c r="D98" s="11" t="s">
        <v>278</v>
      </c>
      <c r="E98" s="11" t="s">
        <v>322</v>
      </c>
      <c r="F98" s="11" t="s">
        <v>323</v>
      </c>
      <c r="G98" s="11" t="s">
        <v>324</v>
      </c>
      <c r="H98" s="37" t="n">
        <v>7680</v>
      </c>
      <c r="I98" s="26" t="n">
        <v>1</v>
      </c>
      <c r="J98" s="37" t="n">
        <f aca="false">H98*I98</f>
        <v>7680</v>
      </c>
      <c r="K98" s="38" t="n">
        <v>46331</v>
      </c>
      <c r="L98" s="11" t="n">
        <v>0</v>
      </c>
      <c r="M98" s="11" t="n">
        <v>12</v>
      </c>
      <c r="N98" s="38" t="n">
        <v>46343</v>
      </c>
      <c r="O98" s="11" t="n">
        <f aca="false">IF(INT((N98-Assumptions!$C$2)/7)+1&gt;Assumptions!$C$3,"after W13",INT((N98-Assumptions!$C$2)/7)+1)</f>
        <v>6</v>
      </c>
      <c r="P98" s="38" t="n">
        <f aca="false">IF(AND(D98="Receipt",G98="C01"),WORKDAY(N98+Assumptions!$C$14-1,1),N98)</f>
        <v>46343</v>
      </c>
      <c r="Q98" s="11" t="n">
        <f aca="false">IF(INT((P98-Assumptions!$C$2)/7)+1&gt;Assumptions!$C$3,"after W13",INT((P98-Assumptions!$C$2)/7)+1)</f>
        <v>6</v>
      </c>
      <c r="R98" s="38" t="n">
        <f aca="false">IF(AND(D98="Receipt",OR(G98="C01",G98="C02",G98="C03",G98="C04",G98="C07")),WORKDAY(N98+IF(G98="C01",Assumptions!$C$14,Assumptions!$C$15)-1,1),N98)</f>
        <v>46343</v>
      </c>
      <c r="S98" s="11" t="n">
        <f aca="false">IF(INT((R98-Assumptions!$C$2)/7)+1&gt;Assumptions!$C$3,"after W13",INT((R98-Assumptions!$C$2)/7)+1)</f>
        <v>6</v>
      </c>
      <c r="T98" s="11" t="s">
        <v>282</v>
      </c>
      <c r="U98" s="11" t="s">
        <v>275</v>
      </c>
      <c r="V98" s="11" t="s">
        <v>283</v>
      </c>
    </row>
    <row r="99" customFormat="false" ht="15" hidden="false" customHeight="false" outlineLevel="0" collapsed="false">
      <c r="A99" s="11" t="s">
        <v>532</v>
      </c>
      <c r="B99" s="11" t="s">
        <v>55</v>
      </c>
      <c r="C99" s="11" t="s">
        <v>533</v>
      </c>
      <c r="D99" s="11" t="s">
        <v>271</v>
      </c>
      <c r="E99" s="11" t="s">
        <v>291</v>
      </c>
      <c r="F99" s="11" t="s">
        <v>292</v>
      </c>
      <c r="G99" s="11"/>
      <c r="H99" s="37" t="n">
        <v>-4700</v>
      </c>
      <c r="I99" s="26" t="n">
        <v>1</v>
      </c>
      <c r="J99" s="37" t="n">
        <f aca="false">H99*I99</f>
        <v>-4700</v>
      </c>
      <c r="K99" s="38" t="n">
        <v>46344</v>
      </c>
      <c r="L99" s="11"/>
      <c r="M99" s="11"/>
      <c r="N99" s="38" t="n">
        <v>46344</v>
      </c>
      <c r="O99" s="11" t="n">
        <f aca="false">IF(INT((N99-Assumptions!$C$2)/7)+1&gt;Assumptions!$C$3,"after W13",INT((N99-Assumptions!$C$2)/7)+1)</f>
        <v>6</v>
      </c>
      <c r="P99" s="38" t="n">
        <f aca="false">IF(AND(D99="Receipt",G99="C01"),WORKDAY(N99+Assumptions!$C$14-1,1),N99)</f>
        <v>46344</v>
      </c>
      <c r="Q99" s="11" t="n">
        <f aca="false">IF(INT((P99-Assumptions!$C$2)/7)+1&gt;Assumptions!$C$3,"after W13",INT((P99-Assumptions!$C$2)/7)+1)</f>
        <v>6</v>
      </c>
      <c r="R99" s="38" t="n">
        <f aca="false">IF(AND(D99="Receipt",OR(G99="C01",G99="C02",G99="C03",G99="C04",G99="C07")),WORKDAY(N99+IF(G99="C01",Assumptions!$C$14,Assumptions!$C$15)-1,1),N99)</f>
        <v>46344</v>
      </c>
      <c r="S99" s="11" t="n">
        <f aca="false">IF(INT((R99-Assumptions!$C$2)/7)+1&gt;Assumptions!$C$3,"after W13",INT((R99-Assumptions!$C$2)/7)+1)</f>
        <v>6</v>
      </c>
      <c r="T99" s="11" t="s">
        <v>293</v>
      </c>
      <c r="U99" s="11" t="s">
        <v>275</v>
      </c>
      <c r="V99" s="11" t="s">
        <v>294</v>
      </c>
    </row>
    <row r="100" customFormat="false" ht="15" hidden="false" customHeight="false" outlineLevel="0" collapsed="false">
      <c r="A100" s="11" t="s">
        <v>534</v>
      </c>
      <c r="B100" s="11" t="s">
        <v>47</v>
      </c>
      <c r="C100" s="11" t="s">
        <v>535</v>
      </c>
      <c r="D100" s="11" t="s">
        <v>278</v>
      </c>
      <c r="E100" s="11" t="s">
        <v>286</v>
      </c>
      <c r="F100" s="11" t="s">
        <v>349</v>
      </c>
      <c r="G100" s="11" t="s">
        <v>350</v>
      </c>
      <c r="H100" s="37" t="n">
        <v>4440</v>
      </c>
      <c r="I100" s="26" t="n">
        <v>1</v>
      </c>
      <c r="J100" s="37" t="n">
        <f aca="false">H100*I100</f>
        <v>4440</v>
      </c>
      <c r="K100" s="38" t="n">
        <v>46334</v>
      </c>
      <c r="L100" s="11" t="n">
        <v>0</v>
      </c>
      <c r="M100" s="11" t="n">
        <v>10</v>
      </c>
      <c r="N100" s="38" t="n">
        <v>46344</v>
      </c>
      <c r="O100" s="11" t="n">
        <f aca="false">IF(INT((N100-Assumptions!$C$2)/7)+1&gt;Assumptions!$C$3,"after W13",INT((N100-Assumptions!$C$2)/7)+1)</f>
        <v>6</v>
      </c>
      <c r="P100" s="38" t="n">
        <f aca="false">IF(AND(D100="Receipt",G100="C01"),WORKDAY(N100+Assumptions!$C$14-1,1),N100)</f>
        <v>46344</v>
      </c>
      <c r="Q100" s="11" t="n">
        <f aca="false">IF(INT((P100-Assumptions!$C$2)/7)+1&gt;Assumptions!$C$3,"after W13",INT((P100-Assumptions!$C$2)/7)+1)</f>
        <v>6</v>
      </c>
      <c r="R100" s="38" t="n">
        <f aca="false">IF(AND(D100="Receipt",OR(G100="C01",G100="C02",G100="C03",G100="C04",G100="C07")),WORKDAY(N100+IF(G100="C01",Assumptions!$C$14,Assumptions!$C$15)-1,1),N100)</f>
        <v>46359</v>
      </c>
      <c r="S100" s="11" t="n">
        <f aca="false">IF(INT((R100-Assumptions!$C$2)/7)+1&gt;Assumptions!$C$3,"after W13",INT((R100-Assumptions!$C$2)/7)+1)</f>
        <v>8</v>
      </c>
      <c r="T100" s="11" t="s">
        <v>282</v>
      </c>
      <c r="U100" s="11" t="s">
        <v>275</v>
      </c>
      <c r="V100" s="11" t="s">
        <v>283</v>
      </c>
    </row>
    <row r="101" customFormat="false" ht="15" hidden="false" customHeight="false" outlineLevel="0" collapsed="false">
      <c r="A101" s="11" t="s">
        <v>536</v>
      </c>
      <c r="B101" s="11" t="s">
        <v>49</v>
      </c>
      <c r="C101" s="11" t="s">
        <v>537</v>
      </c>
      <c r="D101" s="11" t="s">
        <v>278</v>
      </c>
      <c r="E101" s="11" t="s">
        <v>286</v>
      </c>
      <c r="F101" s="11" t="s">
        <v>287</v>
      </c>
      <c r="G101" s="11" t="s">
        <v>288</v>
      </c>
      <c r="H101" s="37" t="n">
        <v>3000</v>
      </c>
      <c r="I101" s="26" t="n">
        <v>1</v>
      </c>
      <c r="J101" s="37" t="n">
        <f aca="false">H101*I101</f>
        <v>3000</v>
      </c>
      <c r="K101" s="38" t="n">
        <v>46341</v>
      </c>
      <c r="L101" s="11" t="n">
        <v>0</v>
      </c>
      <c r="M101" s="11" t="n">
        <v>3</v>
      </c>
      <c r="N101" s="38" t="n">
        <v>46344</v>
      </c>
      <c r="O101" s="11" t="n">
        <f aca="false">IF(INT((N101-Assumptions!$C$2)/7)+1&gt;Assumptions!$C$3,"after W13",INT((N101-Assumptions!$C$2)/7)+1)</f>
        <v>6</v>
      </c>
      <c r="P101" s="38" t="n">
        <f aca="false">IF(AND(D101="Receipt",G101="C01"),WORKDAY(N101+Assumptions!$C$14-1,1),N101)</f>
        <v>46344</v>
      </c>
      <c r="Q101" s="11" t="n">
        <f aca="false">IF(INT((P101-Assumptions!$C$2)/7)+1&gt;Assumptions!$C$3,"after W13",INT((P101-Assumptions!$C$2)/7)+1)</f>
        <v>6</v>
      </c>
      <c r="R101" s="38" t="n">
        <f aca="false">IF(AND(D101="Receipt",OR(G101="C01",G101="C02",G101="C03",G101="C04",G101="C07")),WORKDAY(N101+IF(G101="C01",Assumptions!$C$14,Assumptions!$C$15)-1,1),N101)</f>
        <v>46359</v>
      </c>
      <c r="S101" s="11" t="n">
        <f aca="false">IF(INT((R101-Assumptions!$C$2)/7)+1&gt;Assumptions!$C$3,"after W13",INT((R101-Assumptions!$C$2)/7)+1)</f>
        <v>8</v>
      </c>
      <c r="T101" s="11" t="s">
        <v>538</v>
      </c>
      <c r="U101" s="11" t="s">
        <v>275</v>
      </c>
      <c r="V101" s="11" t="s">
        <v>283</v>
      </c>
    </row>
    <row r="102" customFormat="false" ht="15" hidden="false" customHeight="false" outlineLevel="0" collapsed="false">
      <c r="A102" s="11" t="s">
        <v>539</v>
      </c>
      <c r="B102" s="11" t="s">
        <v>49</v>
      </c>
      <c r="C102" s="11" t="s">
        <v>540</v>
      </c>
      <c r="D102" s="11" t="s">
        <v>278</v>
      </c>
      <c r="E102" s="11" t="s">
        <v>286</v>
      </c>
      <c r="F102" s="11" t="s">
        <v>287</v>
      </c>
      <c r="G102" s="11" t="s">
        <v>288</v>
      </c>
      <c r="H102" s="37" t="n">
        <v>4152</v>
      </c>
      <c r="I102" s="26" t="n">
        <v>1</v>
      </c>
      <c r="J102" s="37" t="n">
        <f aca="false">H102*I102</f>
        <v>4152</v>
      </c>
      <c r="K102" s="38" t="n">
        <v>46341</v>
      </c>
      <c r="L102" s="11" t="n">
        <v>0</v>
      </c>
      <c r="M102" s="11" t="n">
        <v>3</v>
      </c>
      <c r="N102" s="38" t="n">
        <v>46344</v>
      </c>
      <c r="O102" s="11" t="n">
        <f aca="false">IF(INT((N102-Assumptions!$C$2)/7)+1&gt;Assumptions!$C$3,"after W13",INT((N102-Assumptions!$C$2)/7)+1)</f>
        <v>6</v>
      </c>
      <c r="P102" s="38" t="n">
        <f aca="false">IF(AND(D102="Receipt",G102="C01"),WORKDAY(N102+Assumptions!$C$14-1,1),N102)</f>
        <v>46344</v>
      </c>
      <c r="Q102" s="11" t="n">
        <f aca="false">IF(INT((P102-Assumptions!$C$2)/7)+1&gt;Assumptions!$C$3,"after W13",INT((P102-Assumptions!$C$2)/7)+1)</f>
        <v>6</v>
      </c>
      <c r="R102" s="38" t="n">
        <f aca="false">IF(AND(D102="Receipt",OR(G102="C01",G102="C02",G102="C03",G102="C04",G102="C07")),WORKDAY(N102+IF(G102="C01",Assumptions!$C$14,Assumptions!$C$15)-1,1),N102)</f>
        <v>46359</v>
      </c>
      <c r="S102" s="11" t="n">
        <f aca="false">IF(INT((R102-Assumptions!$C$2)/7)+1&gt;Assumptions!$C$3,"after W13",INT((R102-Assumptions!$C$2)/7)+1)</f>
        <v>8</v>
      </c>
      <c r="T102" s="11" t="s">
        <v>538</v>
      </c>
      <c r="U102" s="11" t="s">
        <v>275</v>
      </c>
      <c r="V102" s="11" t="s">
        <v>283</v>
      </c>
    </row>
    <row r="103" customFormat="false" ht="15" hidden="false" customHeight="false" outlineLevel="0" collapsed="false">
      <c r="A103" s="11" t="s">
        <v>541</v>
      </c>
      <c r="B103" s="11" t="s">
        <v>305</v>
      </c>
      <c r="C103" s="11" t="s">
        <v>542</v>
      </c>
      <c r="D103" s="11" t="s">
        <v>271</v>
      </c>
      <c r="E103" s="11" t="s">
        <v>307</v>
      </c>
      <c r="F103" s="11" t="s">
        <v>308</v>
      </c>
      <c r="G103" s="11"/>
      <c r="H103" s="37" t="n">
        <v>-39736.28</v>
      </c>
      <c r="I103" s="26" t="n">
        <v>1</v>
      </c>
      <c r="J103" s="37" t="n">
        <f aca="false">H103*I103</f>
        <v>-39736.28</v>
      </c>
      <c r="K103" s="38" t="n">
        <v>46345</v>
      </c>
      <c r="L103" s="11"/>
      <c r="M103" s="11"/>
      <c r="N103" s="38" t="n">
        <v>46345</v>
      </c>
      <c r="O103" s="11" t="n">
        <f aca="false">IF(INT((N103-Assumptions!$C$2)/7)+1&gt;Assumptions!$C$3,"after W13",INT((N103-Assumptions!$C$2)/7)+1)</f>
        <v>6</v>
      </c>
      <c r="P103" s="38" t="n">
        <f aca="false">IF(AND(D103="Receipt",G103="C01"),WORKDAY(N103+Assumptions!$C$14-1,1),N103)</f>
        <v>46345</v>
      </c>
      <c r="Q103" s="11" t="n">
        <f aca="false">IF(INT((P103-Assumptions!$C$2)/7)+1&gt;Assumptions!$C$3,"after W13",INT((P103-Assumptions!$C$2)/7)+1)</f>
        <v>6</v>
      </c>
      <c r="R103" s="38" t="n">
        <f aca="false">IF(AND(D103="Receipt",OR(G103="C01",G103="C02",G103="C03",G103="C04",G103="C07")),WORKDAY(N103+IF(G103="C01",Assumptions!$C$14,Assumptions!$C$15)-1,1),N103)</f>
        <v>46345</v>
      </c>
      <c r="S103" s="11" t="n">
        <f aca="false">IF(INT((R103-Assumptions!$C$2)/7)+1&gt;Assumptions!$C$3,"after W13",INT((R103-Assumptions!$C$2)/7)+1)</f>
        <v>6</v>
      </c>
      <c r="T103" s="11" t="s">
        <v>309</v>
      </c>
      <c r="U103" s="11" t="s">
        <v>275</v>
      </c>
      <c r="V103" s="11" t="s">
        <v>310</v>
      </c>
    </row>
    <row r="104" customFormat="false" ht="15" hidden="false" customHeight="false" outlineLevel="0" collapsed="false">
      <c r="A104" s="11" t="s">
        <v>543</v>
      </c>
      <c r="B104" s="11" t="s">
        <v>53</v>
      </c>
      <c r="C104" s="11" t="s">
        <v>544</v>
      </c>
      <c r="D104" s="11" t="s">
        <v>271</v>
      </c>
      <c r="E104" s="11" t="s">
        <v>307</v>
      </c>
      <c r="F104" s="11" t="s">
        <v>420</v>
      </c>
      <c r="G104" s="11"/>
      <c r="H104" s="37" t="n">
        <v>-155000</v>
      </c>
      <c r="I104" s="26" t="n">
        <v>1</v>
      </c>
      <c r="J104" s="37" t="n">
        <f aca="false">H104*I104</f>
        <v>-155000</v>
      </c>
      <c r="K104" s="38" t="n">
        <v>46346</v>
      </c>
      <c r="L104" s="11"/>
      <c r="M104" s="11"/>
      <c r="N104" s="38" t="n">
        <v>46345</v>
      </c>
      <c r="O104" s="11" t="n">
        <f aca="false">IF(INT((N104-Assumptions!$C$2)/7)+1&gt;Assumptions!$C$3,"after W13",INT((N104-Assumptions!$C$2)/7)+1)</f>
        <v>6</v>
      </c>
      <c r="P104" s="38" t="n">
        <f aca="false">IF(AND(D104="Receipt",G104="C01"),WORKDAY(N104+Assumptions!$C$14-1,1),N104)</f>
        <v>46345</v>
      </c>
      <c r="Q104" s="11" t="n">
        <f aca="false">IF(INT((P104-Assumptions!$C$2)/7)+1&gt;Assumptions!$C$3,"after W13",INT((P104-Assumptions!$C$2)/7)+1)</f>
        <v>6</v>
      </c>
      <c r="R104" s="38" t="n">
        <f aca="false">IF(AND(D104="Receipt",OR(G104="C01",G104="C02",G104="C03",G104="C04",G104="C07")),WORKDAY(N104+IF(G104="C01",Assumptions!$C$14,Assumptions!$C$15)-1,1),N104)</f>
        <v>46345</v>
      </c>
      <c r="S104" s="11" t="n">
        <f aca="false">IF(INT((R104-Assumptions!$C$2)/7)+1&gt;Assumptions!$C$3,"after W13",INT((R104-Assumptions!$C$2)/7)+1)</f>
        <v>6</v>
      </c>
      <c r="T104" s="11" t="s">
        <v>545</v>
      </c>
      <c r="U104" s="11" t="s">
        <v>275</v>
      </c>
      <c r="V104" s="11" t="s">
        <v>546</v>
      </c>
    </row>
    <row r="105" customFormat="false" ht="15" hidden="false" customHeight="false" outlineLevel="0" collapsed="false">
      <c r="A105" s="11" t="s">
        <v>547</v>
      </c>
      <c r="B105" s="11" t="s">
        <v>53</v>
      </c>
      <c r="C105" s="11" t="s">
        <v>548</v>
      </c>
      <c r="D105" s="11" t="s">
        <v>271</v>
      </c>
      <c r="E105" s="11" t="s">
        <v>307</v>
      </c>
      <c r="F105" s="11" t="s">
        <v>313</v>
      </c>
      <c r="G105" s="11"/>
      <c r="H105" s="37" t="n">
        <v>-5733.61</v>
      </c>
      <c r="I105" s="26" t="n">
        <v>1</v>
      </c>
      <c r="J105" s="37" t="n">
        <f aca="false">H105*I105</f>
        <v>-5733.61</v>
      </c>
      <c r="K105" s="38" t="n">
        <v>46348</v>
      </c>
      <c r="L105" s="11"/>
      <c r="M105" s="11"/>
      <c r="N105" s="38" t="n">
        <v>46345</v>
      </c>
      <c r="O105" s="11" t="n">
        <f aca="false">IF(INT((N105-Assumptions!$C$2)/7)+1&gt;Assumptions!$C$3,"after W13",INT((N105-Assumptions!$C$2)/7)+1)</f>
        <v>6</v>
      </c>
      <c r="P105" s="38" t="n">
        <f aca="false">IF(AND(D105="Receipt",G105="C01"),WORKDAY(N105+Assumptions!$C$14-1,1),N105)</f>
        <v>46345</v>
      </c>
      <c r="Q105" s="11" t="n">
        <f aca="false">IF(INT((P105-Assumptions!$C$2)/7)+1&gt;Assumptions!$C$3,"after W13",INT((P105-Assumptions!$C$2)/7)+1)</f>
        <v>6</v>
      </c>
      <c r="R105" s="38" t="n">
        <f aca="false">IF(AND(D105="Receipt",OR(G105="C01",G105="C02",G105="C03",G105="C04",G105="C07")),WORKDAY(N105+IF(G105="C01",Assumptions!$C$14,Assumptions!$C$15)-1,1),N105)</f>
        <v>46345</v>
      </c>
      <c r="S105" s="11" t="n">
        <f aca="false">IF(INT((R105-Assumptions!$C$2)/7)+1&gt;Assumptions!$C$3,"after W13",INT((R105-Assumptions!$C$2)/7)+1)</f>
        <v>6</v>
      </c>
      <c r="T105" s="11" t="s">
        <v>465</v>
      </c>
      <c r="U105" s="11" t="s">
        <v>275</v>
      </c>
      <c r="V105" s="11" t="s">
        <v>314</v>
      </c>
    </row>
    <row r="106" customFormat="false" ht="15" hidden="false" customHeight="false" outlineLevel="0" collapsed="false">
      <c r="A106" s="11" t="s">
        <v>549</v>
      </c>
      <c r="B106" s="11" t="s">
        <v>49</v>
      </c>
      <c r="C106" s="11" t="s">
        <v>550</v>
      </c>
      <c r="D106" s="11" t="s">
        <v>278</v>
      </c>
      <c r="E106" s="11" t="s">
        <v>398</v>
      </c>
      <c r="F106" s="11" t="s">
        <v>399</v>
      </c>
      <c r="G106" s="11" t="s">
        <v>400</v>
      </c>
      <c r="H106" s="37" t="n">
        <v>18852</v>
      </c>
      <c r="I106" s="26" t="n">
        <v>1</v>
      </c>
      <c r="J106" s="37" t="n">
        <f aca="false">H106*I106</f>
        <v>18852</v>
      </c>
      <c r="K106" s="38" t="n">
        <v>46337</v>
      </c>
      <c r="L106" s="11" t="n">
        <v>0</v>
      </c>
      <c r="M106" s="11" t="n">
        <v>8.5</v>
      </c>
      <c r="N106" s="38" t="n">
        <v>46345</v>
      </c>
      <c r="O106" s="11" t="n">
        <f aca="false">IF(INT((N106-Assumptions!$C$2)/7)+1&gt;Assumptions!$C$3,"after W13",INT((N106-Assumptions!$C$2)/7)+1)</f>
        <v>6</v>
      </c>
      <c r="P106" s="38" t="n">
        <f aca="false">IF(AND(D106="Receipt",G106="C01"),WORKDAY(N106+Assumptions!$C$14-1,1),N106)</f>
        <v>46345</v>
      </c>
      <c r="Q106" s="11" t="n">
        <f aca="false">IF(INT((P106-Assumptions!$C$2)/7)+1&gt;Assumptions!$C$3,"after W13",INT((P106-Assumptions!$C$2)/7)+1)</f>
        <v>6</v>
      </c>
      <c r="R106" s="38" t="n">
        <f aca="false">IF(AND(D106="Receipt",OR(G106="C01",G106="C02",G106="C03",G106="C04",G106="C07")),WORKDAY(N106+IF(G106="C01",Assumptions!$C$14,Assumptions!$C$15)-1,1),N106)</f>
        <v>46345</v>
      </c>
      <c r="S106" s="11" t="n">
        <f aca="false">IF(INT((R106-Assumptions!$C$2)/7)+1&gt;Assumptions!$C$3,"after W13",INT((R106-Assumptions!$C$2)/7)+1)</f>
        <v>6</v>
      </c>
      <c r="T106" s="11" t="s">
        <v>538</v>
      </c>
      <c r="U106" s="11" t="s">
        <v>275</v>
      </c>
      <c r="V106" s="11" t="s">
        <v>283</v>
      </c>
    </row>
    <row r="107" customFormat="false" ht="15" hidden="false" customHeight="false" outlineLevel="0" collapsed="false">
      <c r="A107" s="11" t="s">
        <v>551</v>
      </c>
      <c r="B107" s="11" t="s">
        <v>47</v>
      </c>
      <c r="C107" s="11" t="s">
        <v>552</v>
      </c>
      <c r="D107" s="11" t="s">
        <v>278</v>
      </c>
      <c r="E107" s="11" t="s">
        <v>286</v>
      </c>
      <c r="F107" s="11" t="s">
        <v>349</v>
      </c>
      <c r="G107" s="11" t="s">
        <v>350</v>
      </c>
      <c r="H107" s="37" t="n">
        <v>5976</v>
      </c>
      <c r="I107" s="26" t="n">
        <v>1</v>
      </c>
      <c r="J107" s="37" t="n">
        <f aca="false">H107*I107</f>
        <v>5976</v>
      </c>
      <c r="K107" s="38" t="n">
        <v>46336</v>
      </c>
      <c r="L107" s="11" t="n">
        <v>0</v>
      </c>
      <c r="M107" s="11" t="n">
        <v>10</v>
      </c>
      <c r="N107" s="38" t="n">
        <v>46346</v>
      </c>
      <c r="O107" s="11" t="n">
        <f aca="false">IF(INT((N107-Assumptions!$C$2)/7)+1&gt;Assumptions!$C$3,"after W13",INT((N107-Assumptions!$C$2)/7)+1)</f>
        <v>6</v>
      </c>
      <c r="P107" s="38" t="n">
        <f aca="false">IF(AND(D107="Receipt",G107="C01"),WORKDAY(N107+Assumptions!$C$14-1,1),N107)</f>
        <v>46346</v>
      </c>
      <c r="Q107" s="11" t="n">
        <f aca="false">IF(INT((P107-Assumptions!$C$2)/7)+1&gt;Assumptions!$C$3,"after W13",INT((P107-Assumptions!$C$2)/7)+1)</f>
        <v>6</v>
      </c>
      <c r="R107" s="38" t="n">
        <f aca="false">IF(AND(D107="Receipt",OR(G107="C01",G107="C02",G107="C03",G107="C04",G107="C07")),WORKDAY(N107+IF(G107="C01",Assumptions!$C$14,Assumptions!$C$15)-1,1),N107)</f>
        <v>46363</v>
      </c>
      <c r="S107" s="11" t="n">
        <f aca="false">IF(INT((R107-Assumptions!$C$2)/7)+1&gt;Assumptions!$C$3,"after W13",INT((R107-Assumptions!$C$2)/7)+1)</f>
        <v>9</v>
      </c>
      <c r="T107" s="11" t="s">
        <v>282</v>
      </c>
      <c r="U107" s="11" t="s">
        <v>275</v>
      </c>
      <c r="V107" s="11" t="s">
        <v>283</v>
      </c>
    </row>
    <row r="108" customFormat="false" ht="15" hidden="false" customHeight="false" outlineLevel="0" collapsed="false">
      <c r="A108" s="11" t="s">
        <v>553</v>
      </c>
      <c r="B108" s="11" t="s">
        <v>47</v>
      </c>
      <c r="C108" s="11" t="s">
        <v>554</v>
      </c>
      <c r="D108" s="11" t="s">
        <v>278</v>
      </c>
      <c r="E108" s="11" t="s">
        <v>286</v>
      </c>
      <c r="F108" s="11" t="s">
        <v>349</v>
      </c>
      <c r="G108" s="11" t="s">
        <v>350</v>
      </c>
      <c r="H108" s="37" t="n">
        <v>15732</v>
      </c>
      <c r="I108" s="26" t="n">
        <v>1</v>
      </c>
      <c r="J108" s="37" t="n">
        <f aca="false">H108*I108</f>
        <v>15732</v>
      </c>
      <c r="K108" s="38" t="n">
        <v>46336</v>
      </c>
      <c r="L108" s="11" t="n">
        <v>0</v>
      </c>
      <c r="M108" s="11" t="n">
        <v>10</v>
      </c>
      <c r="N108" s="38" t="n">
        <v>46346</v>
      </c>
      <c r="O108" s="11" t="n">
        <f aca="false">IF(INT((N108-Assumptions!$C$2)/7)+1&gt;Assumptions!$C$3,"after W13",INT((N108-Assumptions!$C$2)/7)+1)</f>
        <v>6</v>
      </c>
      <c r="P108" s="38" t="n">
        <f aca="false">IF(AND(D108="Receipt",G108="C01"),WORKDAY(N108+Assumptions!$C$14-1,1),N108)</f>
        <v>46346</v>
      </c>
      <c r="Q108" s="11" t="n">
        <f aca="false">IF(INT((P108-Assumptions!$C$2)/7)+1&gt;Assumptions!$C$3,"after W13",INT((P108-Assumptions!$C$2)/7)+1)</f>
        <v>6</v>
      </c>
      <c r="R108" s="38" t="n">
        <f aca="false">IF(AND(D108="Receipt",OR(G108="C01",G108="C02",G108="C03",G108="C04",G108="C07")),WORKDAY(N108+IF(G108="C01",Assumptions!$C$14,Assumptions!$C$15)-1,1),N108)</f>
        <v>46363</v>
      </c>
      <c r="S108" s="11" t="n">
        <f aca="false">IF(INT((R108-Assumptions!$C$2)/7)+1&gt;Assumptions!$C$3,"after W13",INT((R108-Assumptions!$C$2)/7)+1)</f>
        <v>9</v>
      </c>
      <c r="T108" s="11" t="s">
        <v>282</v>
      </c>
      <c r="U108" s="11" t="s">
        <v>275</v>
      </c>
      <c r="V108" s="11" t="s">
        <v>283</v>
      </c>
    </row>
    <row r="109" customFormat="false" ht="15" hidden="false" customHeight="false" outlineLevel="0" collapsed="false">
      <c r="A109" s="11" t="s">
        <v>555</v>
      </c>
      <c r="B109" s="11" t="s">
        <v>47</v>
      </c>
      <c r="C109" s="11" t="s">
        <v>556</v>
      </c>
      <c r="D109" s="11" t="s">
        <v>278</v>
      </c>
      <c r="E109" s="11" t="s">
        <v>286</v>
      </c>
      <c r="F109" s="11" t="s">
        <v>327</v>
      </c>
      <c r="G109" s="11" t="s">
        <v>328</v>
      </c>
      <c r="H109" s="37" t="n">
        <v>13440</v>
      </c>
      <c r="I109" s="26" t="n">
        <v>1</v>
      </c>
      <c r="J109" s="37" t="n">
        <f aca="false">H109*I109</f>
        <v>13440</v>
      </c>
      <c r="K109" s="38" t="n">
        <v>46326</v>
      </c>
      <c r="L109" s="11" t="n">
        <v>0</v>
      </c>
      <c r="M109" s="11" t="n">
        <v>21</v>
      </c>
      <c r="N109" s="38" t="n">
        <v>46349</v>
      </c>
      <c r="O109" s="11" t="n">
        <f aca="false">IF(INT((N109-Assumptions!$C$2)/7)+1&gt;Assumptions!$C$3,"after W13",INT((N109-Assumptions!$C$2)/7)+1)</f>
        <v>7</v>
      </c>
      <c r="P109" s="38" t="n">
        <f aca="false">IF(AND(D109="Receipt",G109="C01"),WORKDAY(N109+Assumptions!$C$14-1,1),N109)</f>
        <v>46349</v>
      </c>
      <c r="Q109" s="11" t="n">
        <f aca="false">IF(INT((P109-Assumptions!$C$2)/7)+1&gt;Assumptions!$C$3,"after W13",INT((P109-Assumptions!$C$2)/7)+1)</f>
        <v>7</v>
      </c>
      <c r="R109" s="38" t="n">
        <f aca="false">IF(AND(D109="Receipt",OR(G109="C01",G109="C02",G109="C03",G109="C04",G109="C07")),WORKDAY(N109+IF(G109="C01",Assumptions!$C$14,Assumptions!$C$15)-1,1),N109)</f>
        <v>46364</v>
      </c>
      <c r="S109" s="11" t="n">
        <f aca="false">IF(INT((R109-Assumptions!$C$2)/7)+1&gt;Assumptions!$C$3,"after W13",INT((R109-Assumptions!$C$2)/7)+1)</f>
        <v>9</v>
      </c>
      <c r="T109" s="11" t="s">
        <v>282</v>
      </c>
      <c r="U109" s="11" t="s">
        <v>275</v>
      </c>
      <c r="V109" s="11" t="s">
        <v>283</v>
      </c>
    </row>
    <row r="110" customFormat="false" ht="15" hidden="false" customHeight="false" outlineLevel="0" collapsed="false">
      <c r="A110" s="11" t="s">
        <v>557</v>
      </c>
      <c r="B110" s="11" t="s">
        <v>47</v>
      </c>
      <c r="C110" s="11" t="s">
        <v>558</v>
      </c>
      <c r="D110" s="11" t="s">
        <v>278</v>
      </c>
      <c r="E110" s="11" t="s">
        <v>297</v>
      </c>
      <c r="F110" s="11" t="s">
        <v>298</v>
      </c>
      <c r="G110" s="11" t="s">
        <v>299</v>
      </c>
      <c r="H110" s="37" t="n">
        <v>6820</v>
      </c>
      <c r="I110" s="26" t="n">
        <v>1</v>
      </c>
      <c r="J110" s="37" t="n">
        <f aca="false">H110*I110</f>
        <v>6820</v>
      </c>
      <c r="K110" s="38" t="n">
        <v>46341</v>
      </c>
      <c r="L110" s="11" t="n">
        <v>0</v>
      </c>
      <c r="M110" s="11" t="n">
        <v>6</v>
      </c>
      <c r="N110" s="38" t="n">
        <v>46349</v>
      </c>
      <c r="O110" s="11" t="n">
        <f aca="false">IF(INT((N110-Assumptions!$C$2)/7)+1&gt;Assumptions!$C$3,"after W13",INT((N110-Assumptions!$C$2)/7)+1)</f>
        <v>7</v>
      </c>
      <c r="P110" s="38" t="n">
        <f aca="false">IF(AND(D110="Receipt",G110="C01"),WORKDAY(N110+Assumptions!$C$14-1,1),N110)</f>
        <v>46349</v>
      </c>
      <c r="Q110" s="11" t="n">
        <f aca="false">IF(INT((P110-Assumptions!$C$2)/7)+1&gt;Assumptions!$C$3,"after W13",INT((P110-Assumptions!$C$2)/7)+1)</f>
        <v>7</v>
      </c>
      <c r="R110" s="38" t="n">
        <f aca="false">IF(AND(D110="Receipt",OR(G110="C01",G110="C02",G110="C03",G110="C04",G110="C07")),WORKDAY(N110+IF(G110="C01",Assumptions!$C$14,Assumptions!$C$15)-1,1),N110)</f>
        <v>46349</v>
      </c>
      <c r="S110" s="11" t="n">
        <f aca="false">IF(INT((R110-Assumptions!$C$2)/7)+1&gt;Assumptions!$C$3,"after W13",INT((R110-Assumptions!$C$2)/7)+1)</f>
        <v>7</v>
      </c>
      <c r="T110" s="11" t="s">
        <v>282</v>
      </c>
      <c r="U110" s="11" t="s">
        <v>275</v>
      </c>
      <c r="V110" s="11" t="s">
        <v>283</v>
      </c>
    </row>
    <row r="111" customFormat="false" ht="15" hidden="false" customHeight="false" outlineLevel="0" collapsed="false">
      <c r="A111" s="11" t="s">
        <v>559</v>
      </c>
      <c r="B111" s="11" t="s">
        <v>47</v>
      </c>
      <c r="C111" s="11" t="s">
        <v>560</v>
      </c>
      <c r="D111" s="11" t="s">
        <v>278</v>
      </c>
      <c r="E111" s="11" t="s">
        <v>279</v>
      </c>
      <c r="F111" s="11" t="s">
        <v>335</v>
      </c>
      <c r="G111" s="11" t="s">
        <v>336</v>
      </c>
      <c r="H111" s="37" t="n">
        <v>7764</v>
      </c>
      <c r="I111" s="26" t="n">
        <v>1</v>
      </c>
      <c r="J111" s="37" t="n">
        <f aca="false">H111*I111</f>
        <v>7764</v>
      </c>
      <c r="K111" s="38" t="n">
        <v>46342</v>
      </c>
      <c r="L111" s="11" t="n">
        <v>0</v>
      </c>
      <c r="M111" s="11" t="n">
        <v>7</v>
      </c>
      <c r="N111" s="38" t="n">
        <v>46349</v>
      </c>
      <c r="O111" s="11" t="n">
        <f aca="false">IF(INT((N111-Assumptions!$C$2)/7)+1&gt;Assumptions!$C$3,"after W13",INT((N111-Assumptions!$C$2)/7)+1)</f>
        <v>7</v>
      </c>
      <c r="P111" s="38" t="n">
        <f aca="false">IF(AND(D111="Receipt",G111="C01"),WORKDAY(N111+Assumptions!$C$14-1,1),N111)</f>
        <v>46349</v>
      </c>
      <c r="Q111" s="11" t="n">
        <f aca="false">IF(INT((P111-Assumptions!$C$2)/7)+1&gt;Assumptions!$C$3,"after W13",INT((P111-Assumptions!$C$2)/7)+1)</f>
        <v>7</v>
      </c>
      <c r="R111" s="38" t="n">
        <f aca="false">IF(AND(D111="Receipt",OR(G111="C01",G111="C02",G111="C03",G111="C04",G111="C07")),WORKDAY(N111+IF(G111="C01",Assumptions!$C$14,Assumptions!$C$15)-1,1),N111)</f>
        <v>46349</v>
      </c>
      <c r="S111" s="11" t="n">
        <f aca="false">IF(INT((R111-Assumptions!$C$2)/7)+1&gt;Assumptions!$C$3,"after W13",INT((R111-Assumptions!$C$2)/7)+1)</f>
        <v>7</v>
      </c>
      <c r="T111" s="11" t="s">
        <v>282</v>
      </c>
      <c r="U111" s="11" t="s">
        <v>275</v>
      </c>
      <c r="V111" s="11" t="s">
        <v>283</v>
      </c>
    </row>
    <row r="112" customFormat="false" ht="15" hidden="false" customHeight="false" outlineLevel="0" collapsed="false">
      <c r="A112" s="11" t="s">
        <v>561</v>
      </c>
      <c r="B112" s="11" t="s">
        <v>47</v>
      </c>
      <c r="C112" s="11" t="s">
        <v>562</v>
      </c>
      <c r="D112" s="11" t="s">
        <v>278</v>
      </c>
      <c r="E112" s="11" t="s">
        <v>279</v>
      </c>
      <c r="F112" s="11" t="s">
        <v>280</v>
      </c>
      <c r="G112" s="11" t="s">
        <v>281</v>
      </c>
      <c r="H112" s="37" t="n">
        <v>7260</v>
      </c>
      <c r="I112" s="26" t="n">
        <v>1</v>
      </c>
      <c r="J112" s="37" t="n">
        <f aca="false">H112*I112</f>
        <v>7260</v>
      </c>
      <c r="K112" s="38" t="n">
        <v>46347</v>
      </c>
      <c r="L112" s="11" t="n">
        <v>0</v>
      </c>
      <c r="M112" s="11" t="n">
        <v>0</v>
      </c>
      <c r="N112" s="38" t="n">
        <v>46349</v>
      </c>
      <c r="O112" s="11" t="n">
        <f aca="false">IF(INT((N112-Assumptions!$C$2)/7)+1&gt;Assumptions!$C$3,"after W13",INT((N112-Assumptions!$C$2)/7)+1)</f>
        <v>7</v>
      </c>
      <c r="P112" s="38" t="n">
        <f aca="false">IF(AND(D112="Receipt",G112="C01"),WORKDAY(N112+Assumptions!$C$14-1,1),N112)</f>
        <v>46349</v>
      </c>
      <c r="Q112" s="11" t="n">
        <f aca="false">IF(INT((P112-Assumptions!$C$2)/7)+1&gt;Assumptions!$C$3,"after W13",INT((P112-Assumptions!$C$2)/7)+1)</f>
        <v>7</v>
      </c>
      <c r="R112" s="38" t="n">
        <f aca="false">IF(AND(D112="Receipt",OR(G112="C01",G112="C02",G112="C03",G112="C04",G112="C07")),WORKDAY(N112+IF(G112="C01",Assumptions!$C$14,Assumptions!$C$15)-1,1),N112)</f>
        <v>46349</v>
      </c>
      <c r="S112" s="11" t="n">
        <f aca="false">IF(INT((R112-Assumptions!$C$2)/7)+1&gt;Assumptions!$C$3,"after W13",INT((R112-Assumptions!$C$2)/7)+1)</f>
        <v>7</v>
      </c>
      <c r="T112" s="11" t="s">
        <v>282</v>
      </c>
      <c r="U112" s="11" t="s">
        <v>275</v>
      </c>
      <c r="V112" s="11" t="s">
        <v>283</v>
      </c>
    </row>
    <row r="113" customFormat="false" ht="15" hidden="false" customHeight="false" outlineLevel="0" collapsed="false">
      <c r="A113" s="11" t="s">
        <v>563</v>
      </c>
      <c r="B113" s="11" t="s">
        <v>47</v>
      </c>
      <c r="C113" s="11" t="s">
        <v>564</v>
      </c>
      <c r="D113" s="11" t="s">
        <v>278</v>
      </c>
      <c r="E113" s="11" t="s">
        <v>279</v>
      </c>
      <c r="F113" s="11" t="s">
        <v>280</v>
      </c>
      <c r="G113" s="11" t="s">
        <v>281</v>
      </c>
      <c r="H113" s="37" t="n">
        <v>4284</v>
      </c>
      <c r="I113" s="26" t="n">
        <v>1</v>
      </c>
      <c r="J113" s="37" t="n">
        <f aca="false">H113*I113</f>
        <v>4284</v>
      </c>
      <c r="K113" s="38" t="n">
        <v>46347</v>
      </c>
      <c r="L113" s="11" t="n">
        <v>0</v>
      </c>
      <c r="M113" s="11" t="n">
        <v>0</v>
      </c>
      <c r="N113" s="38" t="n">
        <v>46349</v>
      </c>
      <c r="O113" s="11" t="n">
        <f aca="false">IF(INT((N113-Assumptions!$C$2)/7)+1&gt;Assumptions!$C$3,"after W13",INT((N113-Assumptions!$C$2)/7)+1)</f>
        <v>7</v>
      </c>
      <c r="P113" s="38" t="n">
        <f aca="false">IF(AND(D113="Receipt",G113="C01"),WORKDAY(N113+Assumptions!$C$14-1,1),N113)</f>
        <v>46349</v>
      </c>
      <c r="Q113" s="11" t="n">
        <f aca="false">IF(INT((P113-Assumptions!$C$2)/7)+1&gt;Assumptions!$C$3,"after W13",INT((P113-Assumptions!$C$2)/7)+1)</f>
        <v>7</v>
      </c>
      <c r="R113" s="38" t="n">
        <f aca="false">IF(AND(D113="Receipt",OR(G113="C01",G113="C02",G113="C03",G113="C04",G113="C07")),WORKDAY(N113+IF(G113="C01",Assumptions!$C$14,Assumptions!$C$15)-1,1),N113)</f>
        <v>46349</v>
      </c>
      <c r="S113" s="11" t="n">
        <f aca="false">IF(INT((R113-Assumptions!$C$2)/7)+1&gt;Assumptions!$C$3,"after W13",INT((R113-Assumptions!$C$2)/7)+1)</f>
        <v>7</v>
      </c>
      <c r="T113" s="11" t="s">
        <v>282</v>
      </c>
      <c r="U113" s="11" t="s">
        <v>275</v>
      </c>
      <c r="V113" s="11" t="s">
        <v>283</v>
      </c>
    </row>
    <row r="114" customFormat="false" ht="15" hidden="false" customHeight="false" outlineLevel="0" collapsed="false">
      <c r="A114" s="11" t="s">
        <v>565</v>
      </c>
      <c r="B114" s="11" t="s">
        <v>49</v>
      </c>
      <c r="C114" s="11" t="s">
        <v>566</v>
      </c>
      <c r="D114" s="11" t="s">
        <v>278</v>
      </c>
      <c r="E114" s="11" t="s">
        <v>286</v>
      </c>
      <c r="F114" s="11" t="s">
        <v>287</v>
      </c>
      <c r="G114" s="11" t="s">
        <v>288</v>
      </c>
      <c r="H114" s="37" t="n">
        <v>3624</v>
      </c>
      <c r="I114" s="26" t="n">
        <v>1</v>
      </c>
      <c r="J114" s="37" t="n">
        <f aca="false">H114*I114</f>
        <v>3624</v>
      </c>
      <c r="K114" s="38" t="n">
        <v>46344</v>
      </c>
      <c r="L114" s="11" t="n">
        <v>0</v>
      </c>
      <c r="M114" s="11" t="n">
        <v>3</v>
      </c>
      <c r="N114" s="38" t="n">
        <v>46349</v>
      </c>
      <c r="O114" s="11" t="n">
        <f aca="false">IF(INT((N114-Assumptions!$C$2)/7)+1&gt;Assumptions!$C$3,"after W13",INT((N114-Assumptions!$C$2)/7)+1)</f>
        <v>7</v>
      </c>
      <c r="P114" s="38" t="n">
        <f aca="false">IF(AND(D114="Receipt",G114="C01"),WORKDAY(N114+Assumptions!$C$14-1,1),N114)</f>
        <v>46349</v>
      </c>
      <c r="Q114" s="11" t="n">
        <f aca="false">IF(INT((P114-Assumptions!$C$2)/7)+1&gt;Assumptions!$C$3,"after W13",INT((P114-Assumptions!$C$2)/7)+1)</f>
        <v>7</v>
      </c>
      <c r="R114" s="38" t="n">
        <f aca="false">IF(AND(D114="Receipt",OR(G114="C01",G114="C02",G114="C03",G114="C04",G114="C07")),WORKDAY(N114+IF(G114="C01",Assumptions!$C$14,Assumptions!$C$15)-1,1),N114)</f>
        <v>46364</v>
      </c>
      <c r="S114" s="11" t="n">
        <f aca="false">IF(INT((R114-Assumptions!$C$2)/7)+1&gt;Assumptions!$C$3,"after W13",INT((R114-Assumptions!$C$2)/7)+1)</f>
        <v>9</v>
      </c>
      <c r="T114" s="11" t="s">
        <v>538</v>
      </c>
      <c r="U114" s="11" t="s">
        <v>275</v>
      </c>
      <c r="V114" s="11" t="s">
        <v>283</v>
      </c>
    </row>
    <row r="115" customFormat="false" ht="15" hidden="false" customHeight="false" outlineLevel="0" collapsed="false">
      <c r="A115" s="11" t="s">
        <v>567</v>
      </c>
      <c r="B115" s="11" t="s">
        <v>49</v>
      </c>
      <c r="C115" s="11" t="s">
        <v>568</v>
      </c>
      <c r="D115" s="11" t="s">
        <v>278</v>
      </c>
      <c r="E115" s="11" t="s">
        <v>286</v>
      </c>
      <c r="F115" s="11" t="s">
        <v>287</v>
      </c>
      <c r="G115" s="11" t="s">
        <v>288</v>
      </c>
      <c r="H115" s="37" t="n">
        <v>3840</v>
      </c>
      <c r="I115" s="26" t="n">
        <v>1</v>
      </c>
      <c r="J115" s="37" t="n">
        <f aca="false">H115*I115</f>
        <v>3840</v>
      </c>
      <c r="K115" s="38" t="n">
        <v>46345</v>
      </c>
      <c r="L115" s="11" t="n">
        <v>0</v>
      </c>
      <c r="M115" s="11" t="n">
        <v>3</v>
      </c>
      <c r="N115" s="38" t="n">
        <v>46349</v>
      </c>
      <c r="O115" s="11" t="n">
        <f aca="false">IF(INT((N115-Assumptions!$C$2)/7)+1&gt;Assumptions!$C$3,"after W13",INT((N115-Assumptions!$C$2)/7)+1)</f>
        <v>7</v>
      </c>
      <c r="P115" s="38" t="n">
        <f aca="false">IF(AND(D115="Receipt",G115="C01"),WORKDAY(N115+Assumptions!$C$14-1,1),N115)</f>
        <v>46349</v>
      </c>
      <c r="Q115" s="11" t="n">
        <f aca="false">IF(INT((P115-Assumptions!$C$2)/7)+1&gt;Assumptions!$C$3,"after W13",INT((P115-Assumptions!$C$2)/7)+1)</f>
        <v>7</v>
      </c>
      <c r="R115" s="38" t="n">
        <f aca="false">IF(AND(D115="Receipt",OR(G115="C01",G115="C02",G115="C03",G115="C04",G115="C07")),WORKDAY(N115+IF(G115="C01",Assumptions!$C$14,Assumptions!$C$15)-1,1),N115)</f>
        <v>46364</v>
      </c>
      <c r="S115" s="11" t="n">
        <f aca="false">IF(INT((R115-Assumptions!$C$2)/7)+1&gt;Assumptions!$C$3,"after W13",INT((R115-Assumptions!$C$2)/7)+1)</f>
        <v>9</v>
      </c>
      <c r="T115" s="11" t="s">
        <v>538</v>
      </c>
      <c r="U115" s="11" t="s">
        <v>275</v>
      </c>
      <c r="V115" s="11" t="s">
        <v>283</v>
      </c>
    </row>
    <row r="116" customFormat="false" ht="15" hidden="false" customHeight="false" outlineLevel="0" collapsed="false">
      <c r="A116" s="11" t="s">
        <v>569</v>
      </c>
      <c r="B116" s="11" t="s">
        <v>55</v>
      </c>
      <c r="C116" s="11" t="s">
        <v>570</v>
      </c>
      <c r="D116" s="11" t="s">
        <v>271</v>
      </c>
      <c r="E116" s="11" t="s">
        <v>383</v>
      </c>
      <c r="F116" s="11" t="s">
        <v>384</v>
      </c>
      <c r="G116" s="11"/>
      <c r="H116" s="37" t="n">
        <v>-102020</v>
      </c>
      <c r="I116" s="26" t="n">
        <v>1</v>
      </c>
      <c r="J116" s="37" t="n">
        <f aca="false">H116*I116</f>
        <v>-102020</v>
      </c>
      <c r="K116" s="38" t="n">
        <v>46350</v>
      </c>
      <c r="L116" s="11"/>
      <c r="M116" s="11"/>
      <c r="N116" s="38" t="n">
        <v>46350</v>
      </c>
      <c r="O116" s="11" t="n">
        <f aca="false">IF(INT((N116-Assumptions!$C$2)/7)+1&gt;Assumptions!$C$3,"after W13",INT((N116-Assumptions!$C$2)/7)+1)</f>
        <v>7</v>
      </c>
      <c r="P116" s="38" t="n">
        <f aca="false">IF(AND(D116="Receipt",G116="C01"),WORKDAY(N116+Assumptions!$C$14-1,1),N116)</f>
        <v>46350</v>
      </c>
      <c r="Q116" s="11" t="n">
        <f aca="false">IF(INT((P116-Assumptions!$C$2)/7)+1&gt;Assumptions!$C$3,"after W13",INT((P116-Assumptions!$C$2)/7)+1)</f>
        <v>7</v>
      </c>
      <c r="R116" s="38" t="n">
        <f aca="false">IF(AND(D116="Receipt",OR(G116="C01",G116="C02",G116="C03",G116="C04",G116="C07")),WORKDAY(N116+IF(G116="C01",Assumptions!$C$14,Assumptions!$C$15)-1,1),N116)</f>
        <v>46350</v>
      </c>
      <c r="S116" s="11" t="n">
        <f aca="false">IF(INT((R116-Assumptions!$C$2)/7)+1&gt;Assumptions!$C$3,"after W13",INT((R116-Assumptions!$C$2)/7)+1)</f>
        <v>7</v>
      </c>
      <c r="T116" s="11" t="s">
        <v>571</v>
      </c>
      <c r="U116" s="11" t="s">
        <v>275</v>
      </c>
      <c r="V116" s="11" t="s">
        <v>572</v>
      </c>
    </row>
    <row r="117" customFormat="false" ht="15" hidden="false" customHeight="false" outlineLevel="0" collapsed="false">
      <c r="A117" s="11" t="s">
        <v>573</v>
      </c>
      <c r="B117" s="11" t="s">
        <v>47</v>
      </c>
      <c r="C117" s="11" t="s">
        <v>574</v>
      </c>
      <c r="D117" s="11" t="s">
        <v>278</v>
      </c>
      <c r="E117" s="11" t="s">
        <v>286</v>
      </c>
      <c r="F117" s="11" t="s">
        <v>327</v>
      </c>
      <c r="G117" s="11" t="s">
        <v>328</v>
      </c>
      <c r="H117" s="37" t="n">
        <v>43020</v>
      </c>
      <c r="I117" s="26" t="n">
        <v>1</v>
      </c>
      <c r="J117" s="37" t="n">
        <f aca="false">H117*I117</f>
        <v>43020</v>
      </c>
      <c r="K117" s="38" t="n">
        <v>46329</v>
      </c>
      <c r="L117" s="11" t="n">
        <v>0</v>
      </c>
      <c r="M117" s="11" t="n">
        <v>21</v>
      </c>
      <c r="N117" s="38" t="n">
        <v>46350</v>
      </c>
      <c r="O117" s="11" t="n">
        <f aca="false">IF(INT((N117-Assumptions!$C$2)/7)+1&gt;Assumptions!$C$3,"after W13",INT((N117-Assumptions!$C$2)/7)+1)</f>
        <v>7</v>
      </c>
      <c r="P117" s="38" t="n">
        <f aca="false">IF(AND(D117="Receipt",G117="C01"),WORKDAY(N117+Assumptions!$C$14-1,1),N117)</f>
        <v>46350</v>
      </c>
      <c r="Q117" s="11" t="n">
        <f aca="false">IF(INT((P117-Assumptions!$C$2)/7)+1&gt;Assumptions!$C$3,"after W13",INT((P117-Assumptions!$C$2)/7)+1)</f>
        <v>7</v>
      </c>
      <c r="R117" s="38" t="n">
        <f aca="false">IF(AND(D117="Receipt",OR(G117="C01",G117="C02",G117="C03",G117="C04",G117="C07")),WORKDAY(N117+IF(G117="C01",Assumptions!$C$14,Assumptions!$C$15)-1,1),N117)</f>
        <v>46365</v>
      </c>
      <c r="S117" s="11" t="n">
        <f aca="false">IF(INT((R117-Assumptions!$C$2)/7)+1&gt;Assumptions!$C$3,"after W13",INT((R117-Assumptions!$C$2)/7)+1)</f>
        <v>9</v>
      </c>
      <c r="T117" s="11" t="s">
        <v>282</v>
      </c>
      <c r="U117" s="11" t="s">
        <v>275</v>
      </c>
      <c r="V117" s="11" t="s">
        <v>283</v>
      </c>
    </row>
    <row r="118" customFormat="false" ht="15" hidden="false" customHeight="false" outlineLevel="0" collapsed="false">
      <c r="A118" s="11" t="s">
        <v>575</v>
      </c>
      <c r="B118" s="11" t="s">
        <v>47</v>
      </c>
      <c r="C118" s="11" t="s">
        <v>576</v>
      </c>
      <c r="D118" s="11" t="s">
        <v>278</v>
      </c>
      <c r="E118" s="11" t="s">
        <v>391</v>
      </c>
      <c r="F118" s="11" t="s">
        <v>392</v>
      </c>
      <c r="G118" s="11" t="s">
        <v>393</v>
      </c>
      <c r="H118" s="37" t="n">
        <v>11292</v>
      </c>
      <c r="I118" s="26" t="n">
        <v>1</v>
      </c>
      <c r="J118" s="37" t="n">
        <f aca="false">H118*I118</f>
        <v>11292</v>
      </c>
      <c r="K118" s="38" t="n">
        <v>46326</v>
      </c>
      <c r="L118" s="11" t="n">
        <v>0</v>
      </c>
      <c r="M118" s="11" t="n">
        <v>23.5</v>
      </c>
      <c r="N118" s="38" t="n">
        <v>46350</v>
      </c>
      <c r="O118" s="11" t="n">
        <f aca="false">IF(INT((N118-Assumptions!$C$2)/7)+1&gt;Assumptions!$C$3,"after W13",INT((N118-Assumptions!$C$2)/7)+1)</f>
        <v>7</v>
      </c>
      <c r="P118" s="38" t="n">
        <f aca="false">IF(AND(D118="Receipt",G118="C01"),WORKDAY(N118+Assumptions!$C$14-1,1),N118)</f>
        <v>46350</v>
      </c>
      <c r="Q118" s="11" t="n">
        <f aca="false">IF(INT((P118-Assumptions!$C$2)/7)+1&gt;Assumptions!$C$3,"after W13",INT((P118-Assumptions!$C$2)/7)+1)</f>
        <v>7</v>
      </c>
      <c r="R118" s="38" t="n">
        <f aca="false">IF(AND(D118="Receipt",OR(G118="C01",G118="C02",G118="C03",G118="C04",G118="C07")),WORKDAY(N118+IF(G118="C01",Assumptions!$C$14,Assumptions!$C$15)-1,1),N118)</f>
        <v>46350</v>
      </c>
      <c r="S118" s="11" t="n">
        <f aca="false">IF(INT((R118-Assumptions!$C$2)/7)+1&gt;Assumptions!$C$3,"after W13",INT((R118-Assumptions!$C$2)/7)+1)</f>
        <v>7</v>
      </c>
      <c r="T118" s="11" t="s">
        <v>282</v>
      </c>
      <c r="U118" s="11" t="s">
        <v>275</v>
      </c>
      <c r="V118" s="11" t="s">
        <v>283</v>
      </c>
    </row>
    <row r="119" customFormat="false" ht="15" hidden="false" customHeight="false" outlineLevel="0" collapsed="false">
      <c r="A119" s="11" t="s">
        <v>577</v>
      </c>
      <c r="B119" s="11" t="s">
        <v>49</v>
      </c>
      <c r="C119" s="11" t="s">
        <v>578</v>
      </c>
      <c r="D119" s="11" t="s">
        <v>278</v>
      </c>
      <c r="E119" s="11" t="s">
        <v>322</v>
      </c>
      <c r="F119" s="11" t="s">
        <v>323</v>
      </c>
      <c r="G119" s="11" t="s">
        <v>324</v>
      </c>
      <c r="H119" s="37" t="n">
        <v>8760</v>
      </c>
      <c r="I119" s="26" t="n">
        <v>1</v>
      </c>
      <c r="J119" s="37" t="n">
        <f aca="false">H119*I119</f>
        <v>8760</v>
      </c>
      <c r="K119" s="38" t="n">
        <v>46338</v>
      </c>
      <c r="L119" s="11" t="n">
        <v>0</v>
      </c>
      <c r="M119" s="11" t="n">
        <v>12</v>
      </c>
      <c r="N119" s="38" t="n">
        <v>46350</v>
      </c>
      <c r="O119" s="11" t="n">
        <f aca="false">IF(INT((N119-Assumptions!$C$2)/7)+1&gt;Assumptions!$C$3,"after W13",INT((N119-Assumptions!$C$2)/7)+1)</f>
        <v>7</v>
      </c>
      <c r="P119" s="38" t="n">
        <f aca="false">IF(AND(D119="Receipt",G119="C01"),WORKDAY(N119+Assumptions!$C$14-1,1),N119)</f>
        <v>46350</v>
      </c>
      <c r="Q119" s="11" t="n">
        <f aca="false">IF(INT((P119-Assumptions!$C$2)/7)+1&gt;Assumptions!$C$3,"after W13",INT((P119-Assumptions!$C$2)/7)+1)</f>
        <v>7</v>
      </c>
      <c r="R119" s="38" t="n">
        <f aca="false">IF(AND(D119="Receipt",OR(G119="C01",G119="C02",G119="C03",G119="C04",G119="C07")),WORKDAY(N119+IF(G119="C01",Assumptions!$C$14,Assumptions!$C$15)-1,1),N119)</f>
        <v>46350</v>
      </c>
      <c r="S119" s="11" t="n">
        <f aca="false">IF(INT((R119-Assumptions!$C$2)/7)+1&gt;Assumptions!$C$3,"after W13",INT((R119-Assumptions!$C$2)/7)+1)</f>
        <v>7</v>
      </c>
      <c r="T119" s="11" t="s">
        <v>538</v>
      </c>
      <c r="U119" s="11" t="s">
        <v>275</v>
      </c>
      <c r="V119" s="11" t="s">
        <v>283</v>
      </c>
    </row>
    <row r="120" customFormat="false" ht="15" hidden="false" customHeight="false" outlineLevel="0" collapsed="false">
      <c r="A120" s="11" t="s">
        <v>579</v>
      </c>
      <c r="B120" s="11" t="s">
        <v>49</v>
      </c>
      <c r="C120" s="11" t="s">
        <v>580</v>
      </c>
      <c r="D120" s="11" t="s">
        <v>278</v>
      </c>
      <c r="E120" s="11" t="s">
        <v>286</v>
      </c>
      <c r="F120" s="11" t="s">
        <v>287</v>
      </c>
      <c r="G120" s="11" t="s">
        <v>288</v>
      </c>
      <c r="H120" s="37" t="n">
        <v>5316</v>
      </c>
      <c r="I120" s="26" t="n">
        <v>1</v>
      </c>
      <c r="J120" s="37" t="n">
        <f aca="false">H120*I120</f>
        <v>5316</v>
      </c>
      <c r="K120" s="38" t="n">
        <v>46347</v>
      </c>
      <c r="L120" s="11" t="n">
        <v>0</v>
      </c>
      <c r="M120" s="11" t="n">
        <v>3</v>
      </c>
      <c r="N120" s="38" t="n">
        <v>46350</v>
      </c>
      <c r="O120" s="11" t="n">
        <f aca="false">IF(INT((N120-Assumptions!$C$2)/7)+1&gt;Assumptions!$C$3,"after W13",INT((N120-Assumptions!$C$2)/7)+1)</f>
        <v>7</v>
      </c>
      <c r="P120" s="38" t="n">
        <f aca="false">IF(AND(D120="Receipt",G120="C01"),WORKDAY(N120+Assumptions!$C$14-1,1),N120)</f>
        <v>46350</v>
      </c>
      <c r="Q120" s="11" t="n">
        <f aca="false">IF(INT((P120-Assumptions!$C$2)/7)+1&gt;Assumptions!$C$3,"after W13",INT((P120-Assumptions!$C$2)/7)+1)</f>
        <v>7</v>
      </c>
      <c r="R120" s="38" t="n">
        <f aca="false">IF(AND(D120="Receipt",OR(G120="C01",G120="C02",G120="C03",G120="C04",G120="C07")),WORKDAY(N120+IF(G120="C01",Assumptions!$C$14,Assumptions!$C$15)-1,1),N120)</f>
        <v>46365</v>
      </c>
      <c r="S120" s="11" t="n">
        <f aca="false">IF(INT((R120-Assumptions!$C$2)/7)+1&gt;Assumptions!$C$3,"after W13",INT((R120-Assumptions!$C$2)/7)+1)</f>
        <v>9</v>
      </c>
      <c r="T120" s="11" t="s">
        <v>538</v>
      </c>
      <c r="U120" s="11" t="s">
        <v>275</v>
      </c>
      <c r="V120" s="11" t="s">
        <v>283</v>
      </c>
    </row>
    <row r="121" customFormat="false" ht="15" hidden="false" customHeight="false" outlineLevel="0" collapsed="false">
      <c r="A121" s="11" t="s">
        <v>581</v>
      </c>
      <c r="B121" s="11" t="s">
        <v>55</v>
      </c>
      <c r="C121" s="11" t="s">
        <v>582</v>
      </c>
      <c r="D121" s="11" t="s">
        <v>271</v>
      </c>
      <c r="E121" s="11" t="s">
        <v>291</v>
      </c>
      <c r="F121" s="11" t="s">
        <v>292</v>
      </c>
      <c r="G121" s="11"/>
      <c r="H121" s="37" t="n">
        <v>-4700</v>
      </c>
      <c r="I121" s="26" t="n">
        <v>1</v>
      </c>
      <c r="J121" s="37" t="n">
        <f aca="false">H121*I121</f>
        <v>-4700</v>
      </c>
      <c r="K121" s="38" t="n">
        <v>46351</v>
      </c>
      <c r="L121" s="11"/>
      <c r="M121" s="11"/>
      <c r="N121" s="38" t="n">
        <v>46351</v>
      </c>
      <c r="O121" s="11" t="n">
        <f aca="false">IF(INT((N121-Assumptions!$C$2)/7)+1&gt;Assumptions!$C$3,"after W13",INT((N121-Assumptions!$C$2)/7)+1)</f>
        <v>7</v>
      </c>
      <c r="P121" s="38" t="n">
        <f aca="false">IF(AND(D121="Receipt",G121="C01"),WORKDAY(N121+Assumptions!$C$14-1,1),N121)</f>
        <v>46351</v>
      </c>
      <c r="Q121" s="11" t="n">
        <f aca="false">IF(INT((P121-Assumptions!$C$2)/7)+1&gt;Assumptions!$C$3,"after W13",INT((P121-Assumptions!$C$2)/7)+1)</f>
        <v>7</v>
      </c>
      <c r="R121" s="38" t="n">
        <f aca="false">IF(AND(D121="Receipt",OR(G121="C01",G121="C02",G121="C03",G121="C04",G121="C07")),WORKDAY(N121+IF(G121="C01",Assumptions!$C$14,Assumptions!$C$15)-1,1),N121)</f>
        <v>46351</v>
      </c>
      <c r="S121" s="11" t="n">
        <f aca="false">IF(INT((R121-Assumptions!$C$2)/7)+1&gt;Assumptions!$C$3,"after W13",INT((R121-Assumptions!$C$2)/7)+1)</f>
        <v>7</v>
      </c>
      <c r="T121" s="11" t="s">
        <v>293</v>
      </c>
      <c r="U121" s="11" t="s">
        <v>275</v>
      </c>
      <c r="V121" s="11" t="s">
        <v>294</v>
      </c>
    </row>
    <row r="122" customFormat="false" ht="15" hidden="false" customHeight="false" outlineLevel="0" collapsed="false">
      <c r="A122" s="11" t="s">
        <v>583</v>
      </c>
      <c r="B122" s="11" t="s">
        <v>55</v>
      </c>
      <c r="C122" s="11" t="s">
        <v>584</v>
      </c>
      <c r="D122" s="11" t="s">
        <v>271</v>
      </c>
      <c r="E122" s="11" t="s">
        <v>585</v>
      </c>
      <c r="F122" s="11" t="s">
        <v>586</v>
      </c>
      <c r="G122" s="11"/>
      <c r="H122" s="37" t="n">
        <v>-34560</v>
      </c>
      <c r="I122" s="26" t="n">
        <v>1</v>
      </c>
      <c r="J122" s="37" t="n">
        <f aca="false">H122*I122</f>
        <v>-34560</v>
      </c>
      <c r="K122" s="38" t="n">
        <v>46351</v>
      </c>
      <c r="L122" s="11"/>
      <c r="M122" s="11"/>
      <c r="N122" s="38" t="n">
        <v>46351</v>
      </c>
      <c r="O122" s="11" t="n">
        <f aca="false">IF(INT((N122-Assumptions!$C$2)/7)+1&gt;Assumptions!$C$3,"after W13",INT((N122-Assumptions!$C$2)/7)+1)</f>
        <v>7</v>
      </c>
      <c r="P122" s="38" t="n">
        <f aca="false">IF(AND(D122="Receipt",G122="C01"),WORKDAY(N122+Assumptions!$C$14-1,1),N122)</f>
        <v>46351</v>
      </c>
      <c r="Q122" s="11" t="n">
        <f aca="false">IF(INT((P122-Assumptions!$C$2)/7)+1&gt;Assumptions!$C$3,"after W13",INT((P122-Assumptions!$C$2)/7)+1)</f>
        <v>7</v>
      </c>
      <c r="R122" s="38" t="n">
        <f aca="false">IF(AND(D122="Receipt",OR(G122="C01",G122="C02",G122="C03",G122="C04",G122="C07")),WORKDAY(N122+IF(G122="C01",Assumptions!$C$14,Assumptions!$C$15)-1,1),N122)</f>
        <v>46351</v>
      </c>
      <c r="S122" s="11" t="n">
        <f aca="false">IF(INT((R122-Assumptions!$C$2)/7)+1&gt;Assumptions!$C$3,"after W13",INT((R122-Assumptions!$C$2)/7)+1)</f>
        <v>7</v>
      </c>
      <c r="T122" s="11" t="s">
        <v>587</v>
      </c>
      <c r="U122" s="11" t="s">
        <v>275</v>
      </c>
      <c r="V122" s="11" t="s">
        <v>588</v>
      </c>
    </row>
    <row r="123" customFormat="false" ht="15" hidden="false" customHeight="false" outlineLevel="0" collapsed="false">
      <c r="A123" s="11" t="s">
        <v>589</v>
      </c>
      <c r="B123" s="11" t="s">
        <v>53</v>
      </c>
      <c r="C123" s="11" t="s">
        <v>590</v>
      </c>
      <c r="D123" s="11" t="s">
        <v>271</v>
      </c>
      <c r="E123" s="11" t="s">
        <v>307</v>
      </c>
      <c r="F123" s="11" t="s">
        <v>414</v>
      </c>
      <c r="G123" s="11"/>
      <c r="H123" s="37" t="n">
        <v>-20167.63</v>
      </c>
      <c r="I123" s="26" t="n">
        <v>1</v>
      </c>
      <c r="J123" s="37" t="n">
        <f aca="false">H123*I123</f>
        <v>-20167.63</v>
      </c>
      <c r="K123" s="38" t="n">
        <v>46355</v>
      </c>
      <c r="L123" s="11"/>
      <c r="M123" s="11"/>
      <c r="N123" s="38" t="n">
        <v>46352</v>
      </c>
      <c r="O123" s="11" t="n">
        <f aca="false">IF(INT((N123-Assumptions!$C$2)/7)+1&gt;Assumptions!$C$3,"after W13",INT((N123-Assumptions!$C$2)/7)+1)</f>
        <v>7</v>
      </c>
      <c r="P123" s="38" t="n">
        <f aca="false">IF(AND(D123="Receipt",G123="C01"),WORKDAY(N123+Assumptions!$C$14-1,1),N123)</f>
        <v>46352</v>
      </c>
      <c r="Q123" s="11" t="n">
        <f aca="false">IF(INT((P123-Assumptions!$C$2)/7)+1&gt;Assumptions!$C$3,"after W13",INT((P123-Assumptions!$C$2)/7)+1)</f>
        <v>7</v>
      </c>
      <c r="R123" s="38" t="n">
        <f aca="false">IF(AND(D123="Receipt",OR(G123="C01",G123="C02",G123="C03",G123="C04",G123="C07")),WORKDAY(N123+IF(G123="C01",Assumptions!$C$14,Assumptions!$C$15)-1,1),N123)</f>
        <v>46352</v>
      </c>
      <c r="S123" s="11" t="n">
        <f aca="false">IF(INT((R123-Assumptions!$C$2)/7)+1&gt;Assumptions!$C$3,"after W13",INT((R123-Assumptions!$C$2)/7)+1)</f>
        <v>7</v>
      </c>
      <c r="T123" s="11" t="s">
        <v>465</v>
      </c>
      <c r="U123" s="11" t="s">
        <v>275</v>
      </c>
      <c r="V123" s="11" t="s">
        <v>591</v>
      </c>
    </row>
    <row r="124" customFormat="false" ht="15" hidden="false" customHeight="false" outlineLevel="0" collapsed="false">
      <c r="A124" s="11" t="s">
        <v>592</v>
      </c>
      <c r="B124" s="11" t="s">
        <v>53</v>
      </c>
      <c r="C124" s="11" t="s">
        <v>593</v>
      </c>
      <c r="D124" s="11" t="s">
        <v>271</v>
      </c>
      <c r="E124" s="11" t="s">
        <v>307</v>
      </c>
      <c r="F124" s="11" t="s">
        <v>313</v>
      </c>
      <c r="G124" s="11"/>
      <c r="H124" s="37" t="n">
        <v>-4824.61</v>
      </c>
      <c r="I124" s="26" t="n">
        <v>1</v>
      </c>
      <c r="J124" s="37" t="n">
        <f aca="false">H124*I124</f>
        <v>-4824.61</v>
      </c>
      <c r="K124" s="38" t="n">
        <v>46358</v>
      </c>
      <c r="L124" s="11"/>
      <c r="M124" s="11"/>
      <c r="N124" s="38" t="n">
        <v>46352</v>
      </c>
      <c r="O124" s="11" t="n">
        <f aca="false">IF(INT((N124-Assumptions!$C$2)/7)+1&gt;Assumptions!$C$3,"after W13",INT((N124-Assumptions!$C$2)/7)+1)</f>
        <v>7</v>
      </c>
      <c r="P124" s="38" t="n">
        <f aca="false">IF(AND(D124="Receipt",G124="C01"),WORKDAY(N124+Assumptions!$C$14-1,1),N124)</f>
        <v>46352</v>
      </c>
      <c r="Q124" s="11" t="n">
        <f aca="false">IF(INT((P124-Assumptions!$C$2)/7)+1&gt;Assumptions!$C$3,"after W13",INT((P124-Assumptions!$C$2)/7)+1)</f>
        <v>7</v>
      </c>
      <c r="R124" s="38" t="n">
        <f aca="false">IF(AND(D124="Receipt",OR(G124="C01",G124="C02",G124="C03",G124="C04",G124="C07")),WORKDAY(N124+IF(G124="C01",Assumptions!$C$14,Assumptions!$C$15)-1,1),N124)</f>
        <v>46352</v>
      </c>
      <c r="S124" s="11" t="n">
        <f aca="false">IF(INT((R124-Assumptions!$C$2)/7)+1&gt;Assumptions!$C$3,"after W13",INT((R124-Assumptions!$C$2)/7)+1)</f>
        <v>7</v>
      </c>
      <c r="T124" s="11" t="s">
        <v>465</v>
      </c>
      <c r="U124" s="11" t="s">
        <v>275</v>
      </c>
      <c r="V124" s="11" t="s">
        <v>314</v>
      </c>
    </row>
    <row r="125" customFormat="false" ht="15" hidden="false" customHeight="false" outlineLevel="0" collapsed="false">
      <c r="A125" s="11" t="s">
        <v>594</v>
      </c>
      <c r="B125" s="11" t="s">
        <v>47</v>
      </c>
      <c r="C125" s="11" t="s">
        <v>595</v>
      </c>
      <c r="D125" s="11" t="s">
        <v>278</v>
      </c>
      <c r="E125" s="11" t="s">
        <v>596</v>
      </c>
      <c r="F125" s="11" t="s">
        <v>597</v>
      </c>
      <c r="G125" s="11" t="s">
        <v>598</v>
      </c>
      <c r="H125" s="37" t="n">
        <v>230400</v>
      </c>
      <c r="I125" s="26" t="n">
        <v>1</v>
      </c>
      <c r="J125" s="37" t="n">
        <f aca="false">H125*I125</f>
        <v>230400</v>
      </c>
      <c r="K125" s="38" t="n">
        <v>46339</v>
      </c>
      <c r="L125" s="11" t="n">
        <v>0</v>
      </c>
      <c r="M125" s="11" t="n">
        <v>13</v>
      </c>
      <c r="N125" s="38" t="n">
        <v>46352</v>
      </c>
      <c r="O125" s="11" t="n">
        <f aca="false">IF(INT((N125-Assumptions!$C$2)/7)+1&gt;Assumptions!$C$3,"after W13",INT((N125-Assumptions!$C$2)/7)+1)</f>
        <v>7</v>
      </c>
      <c r="P125" s="38" t="n">
        <f aca="false">IF(AND(D125="Receipt",G125="C01"),WORKDAY(N125+Assumptions!$C$14-1,1),N125)</f>
        <v>46398</v>
      </c>
      <c r="Q125" s="11" t="str">
        <f aca="false">IF(INT((P125-Assumptions!$C$2)/7)+1&gt;Assumptions!$C$3,"after W13",INT((P125-Assumptions!$C$2)/7)+1)</f>
        <v>after W13</v>
      </c>
      <c r="R125" s="38" t="n">
        <f aca="false">IF(AND(D125="Receipt",OR(G125="C01",G125="C02",G125="C03",G125="C04",G125="C07")),WORKDAY(N125+IF(G125="C01",Assumptions!$C$14,Assumptions!$C$15)-1,1),N125)</f>
        <v>46398</v>
      </c>
      <c r="S125" s="11" t="str">
        <f aca="false">IF(INT((R125-Assumptions!$C$2)/7)+1&gt;Assumptions!$C$3,"after W13",INT((R125-Assumptions!$C$2)/7)+1)</f>
        <v>after W13</v>
      </c>
      <c r="T125" s="11" t="s">
        <v>282</v>
      </c>
      <c r="U125" s="11" t="s">
        <v>275</v>
      </c>
      <c r="V125" s="11" t="s">
        <v>599</v>
      </c>
    </row>
    <row r="126" customFormat="false" ht="15" hidden="false" customHeight="false" outlineLevel="0" collapsed="false">
      <c r="A126" s="11" t="s">
        <v>600</v>
      </c>
      <c r="B126" s="11" t="s">
        <v>49</v>
      </c>
      <c r="C126" s="11" t="s">
        <v>601</v>
      </c>
      <c r="D126" s="11" t="s">
        <v>278</v>
      </c>
      <c r="E126" s="11" t="s">
        <v>279</v>
      </c>
      <c r="F126" s="11" t="s">
        <v>280</v>
      </c>
      <c r="G126" s="11" t="s">
        <v>281</v>
      </c>
      <c r="H126" s="37" t="n">
        <v>8280</v>
      </c>
      <c r="I126" s="26" t="n">
        <v>1</v>
      </c>
      <c r="J126" s="37" t="n">
        <f aca="false">H126*I126</f>
        <v>8280</v>
      </c>
      <c r="K126" s="38" t="n">
        <v>46352</v>
      </c>
      <c r="L126" s="11" t="n">
        <v>0</v>
      </c>
      <c r="M126" s="11" t="n">
        <v>0</v>
      </c>
      <c r="N126" s="38" t="n">
        <v>46352</v>
      </c>
      <c r="O126" s="11" t="n">
        <f aca="false">IF(INT((N126-Assumptions!$C$2)/7)+1&gt;Assumptions!$C$3,"after W13",INT((N126-Assumptions!$C$2)/7)+1)</f>
        <v>7</v>
      </c>
      <c r="P126" s="38" t="n">
        <f aca="false">IF(AND(D126="Receipt",G126="C01"),WORKDAY(N126+Assumptions!$C$14-1,1),N126)</f>
        <v>46352</v>
      </c>
      <c r="Q126" s="11" t="n">
        <f aca="false">IF(INT((P126-Assumptions!$C$2)/7)+1&gt;Assumptions!$C$3,"after W13",INT((P126-Assumptions!$C$2)/7)+1)</f>
        <v>7</v>
      </c>
      <c r="R126" s="38" t="n">
        <f aca="false">IF(AND(D126="Receipt",OR(G126="C01",G126="C02",G126="C03",G126="C04",G126="C07")),WORKDAY(N126+IF(G126="C01",Assumptions!$C$14,Assumptions!$C$15)-1,1),N126)</f>
        <v>46352</v>
      </c>
      <c r="S126" s="11" t="n">
        <f aca="false">IF(INT((R126-Assumptions!$C$2)/7)+1&gt;Assumptions!$C$3,"after W13",INT((R126-Assumptions!$C$2)/7)+1)</f>
        <v>7</v>
      </c>
      <c r="T126" s="11" t="s">
        <v>538</v>
      </c>
      <c r="U126" s="11" t="s">
        <v>275</v>
      </c>
      <c r="V126" s="11" t="s">
        <v>283</v>
      </c>
    </row>
    <row r="127" customFormat="false" ht="15" hidden="false" customHeight="false" outlineLevel="0" collapsed="false">
      <c r="A127" s="11" t="s">
        <v>602</v>
      </c>
      <c r="B127" s="11" t="s">
        <v>47</v>
      </c>
      <c r="C127" s="11" t="s">
        <v>603</v>
      </c>
      <c r="D127" s="11" t="s">
        <v>278</v>
      </c>
      <c r="E127" s="11" t="s">
        <v>391</v>
      </c>
      <c r="F127" s="11" t="s">
        <v>392</v>
      </c>
      <c r="G127" s="11" t="s">
        <v>393</v>
      </c>
      <c r="H127" s="37" t="n">
        <v>23880</v>
      </c>
      <c r="I127" s="26" t="n">
        <v>1</v>
      </c>
      <c r="J127" s="37" t="n">
        <f aca="false">H127*I127</f>
        <v>23880</v>
      </c>
      <c r="K127" s="38" t="n">
        <v>46329</v>
      </c>
      <c r="L127" s="11" t="n">
        <v>0</v>
      </c>
      <c r="M127" s="11" t="n">
        <v>23.5</v>
      </c>
      <c r="N127" s="38" t="n">
        <v>46353</v>
      </c>
      <c r="O127" s="11" t="n">
        <f aca="false">IF(INT((N127-Assumptions!$C$2)/7)+1&gt;Assumptions!$C$3,"after W13",INT((N127-Assumptions!$C$2)/7)+1)</f>
        <v>7</v>
      </c>
      <c r="P127" s="38" t="n">
        <f aca="false">IF(AND(D127="Receipt",G127="C01"),WORKDAY(N127+Assumptions!$C$14-1,1),N127)</f>
        <v>46353</v>
      </c>
      <c r="Q127" s="11" t="n">
        <f aca="false">IF(INT((P127-Assumptions!$C$2)/7)+1&gt;Assumptions!$C$3,"after W13",INT((P127-Assumptions!$C$2)/7)+1)</f>
        <v>7</v>
      </c>
      <c r="R127" s="38" t="n">
        <f aca="false">IF(AND(D127="Receipt",OR(G127="C01",G127="C02",G127="C03",G127="C04",G127="C07")),WORKDAY(N127+IF(G127="C01",Assumptions!$C$14,Assumptions!$C$15)-1,1),N127)</f>
        <v>46353</v>
      </c>
      <c r="S127" s="11" t="n">
        <f aca="false">IF(INT((R127-Assumptions!$C$2)/7)+1&gt;Assumptions!$C$3,"after W13",INT((R127-Assumptions!$C$2)/7)+1)</f>
        <v>7</v>
      </c>
      <c r="T127" s="11" t="s">
        <v>282</v>
      </c>
      <c r="U127" s="11" t="s">
        <v>275</v>
      </c>
      <c r="V127" s="11" t="s">
        <v>283</v>
      </c>
    </row>
    <row r="128" customFormat="false" ht="15" hidden="false" customHeight="false" outlineLevel="0" collapsed="false">
      <c r="A128" s="11" t="s">
        <v>604</v>
      </c>
      <c r="B128" s="11" t="s">
        <v>47</v>
      </c>
      <c r="C128" s="11" t="s">
        <v>605</v>
      </c>
      <c r="D128" s="11" t="s">
        <v>278</v>
      </c>
      <c r="E128" s="11" t="s">
        <v>286</v>
      </c>
      <c r="F128" s="11" t="s">
        <v>349</v>
      </c>
      <c r="G128" s="11" t="s">
        <v>350</v>
      </c>
      <c r="H128" s="37" t="n">
        <v>8376</v>
      </c>
      <c r="I128" s="26" t="n">
        <v>1</v>
      </c>
      <c r="J128" s="37" t="n">
        <f aca="false">H128*I128</f>
        <v>8376</v>
      </c>
      <c r="K128" s="38" t="n">
        <v>46343</v>
      </c>
      <c r="L128" s="11" t="n">
        <v>0</v>
      </c>
      <c r="M128" s="11" t="n">
        <v>10</v>
      </c>
      <c r="N128" s="38" t="n">
        <v>46353</v>
      </c>
      <c r="O128" s="11" t="n">
        <f aca="false">IF(INT((N128-Assumptions!$C$2)/7)+1&gt;Assumptions!$C$3,"after W13",INT((N128-Assumptions!$C$2)/7)+1)</f>
        <v>7</v>
      </c>
      <c r="P128" s="38" t="n">
        <f aca="false">IF(AND(D128="Receipt",G128="C01"),WORKDAY(N128+Assumptions!$C$14-1,1),N128)</f>
        <v>46353</v>
      </c>
      <c r="Q128" s="11" t="n">
        <f aca="false">IF(INT((P128-Assumptions!$C$2)/7)+1&gt;Assumptions!$C$3,"after W13",INT((P128-Assumptions!$C$2)/7)+1)</f>
        <v>7</v>
      </c>
      <c r="R128" s="38" t="n">
        <f aca="false">IF(AND(D128="Receipt",OR(G128="C01",G128="C02",G128="C03",G128="C04",G128="C07")),WORKDAY(N128+IF(G128="C01",Assumptions!$C$14,Assumptions!$C$15)-1,1),N128)</f>
        <v>46370</v>
      </c>
      <c r="S128" s="11" t="n">
        <f aca="false">IF(INT((R128-Assumptions!$C$2)/7)+1&gt;Assumptions!$C$3,"after W13",INT((R128-Assumptions!$C$2)/7)+1)</f>
        <v>10</v>
      </c>
      <c r="T128" s="11" t="s">
        <v>282</v>
      </c>
      <c r="U128" s="11" t="s">
        <v>275</v>
      </c>
      <c r="V128" s="11" t="s">
        <v>283</v>
      </c>
    </row>
    <row r="129" customFormat="false" ht="15" hidden="false" customHeight="false" outlineLevel="0" collapsed="false">
      <c r="A129" s="11" t="s">
        <v>606</v>
      </c>
      <c r="B129" s="11" t="s">
        <v>49</v>
      </c>
      <c r="C129" s="11" t="s">
        <v>607</v>
      </c>
      <c r="D129" s="11" t="s">
        <v>278</v>
      </c>
      <c r="E129" s="11" t="s">
        <v>322</v>
      </c>
      <c r="F129" s="11" t="s">
        <v>323</v>
      </c>
      <c r="G129" s="11" t="s">
        <v>324</v>
      </c>
      <c r="H129" s="37" t="n">
        <v>4656</v>
      </c>
      <c r="I129" s="26" t="n">
        <v>1</v>
      </c>
      <c r="J129" s="37" t="n">
        <f aca="false">H129*I129</f>
        <v>4656</v>
      </c>
      <c r="K129" s="38" t="n">
        <v>46341</v>
      </c>
      <c r="L129" s="11" t="n">
        <v>0</v>
      </c>
      <c r="M129" s="11" t="n">
        <v>12</v>
      </c>
      <c r="N129" s="38" t="n">
        <v>46353</v>
      </c>
      <c r="O129" s="11" t="n">
        <f aca="false">IF(INT((N129-Assumptions!$C$2)/7)+1&gt;Assumptions!$C$3,"after W13",INT((N129-Assumptions!$C$2)/7)+1)</f>
        <v>7</v>
      </c>
      <c r="P129" s="38" t="n">
        <f aca="false">IF(AND(D129="Receipt",G129="C01"),WORKDAY(N129+Assumptions!$C$14-1,1),N129)</f>
        <v>46353</v>
      </c>
      <c r="Q129" s="11" t="n">
        <f aca="false">IF(INT((P129-Assumptions!$C$2)/7)+1&gt;Assumptions!$C$3,"after W13",INT((P129-Assumptions!$C$2)/7)+1)</f>
        <v>7</v>
      </c>
      <c r="R129" s="38" t="n">
        <f aca="false">IF(AND(D129="Receipt",OR(G129="C01",G129="C02",G129="C03",G129="C04",G129="C07")),WORKDAY(N129+IF(G129="C01",Assumptions!$C$14,Assumptions!$C$15)-1,1),N129)</f>
        <v>46353</v>
      </c>
      <c r="S129" s="11" t="n">
        <f aca="false">IF(INT((R129-Assumptions!$C$2)/7)+1&gt;Assumptions!$C$3,"after W13",INT((R129-Assumptions!$C$2)/7)+1)</f>
        <v>7</v>
      </c>
      <c r="T129" s="11" t="s">
        <v>538</v>
      </c>
      <c r="U129" s="11" t="s">
        <v>275</v>
      </c>
      <c r="V129" s="11" t="s">
        <v>283</v>
      </c>
    </row>
    <row r="130" customFormat="false" ht="15" hidden="false" customHeight="false" outlineLevel="0" collapsed="false">
      <c r="A130" s="11" t="s">
        <v>608</v>
      </c>
      <c r="B130" s="11" t="s">
        <v>55</v>
      </c>
      <c r="C130" s="11" t="s">
        <v>609</v>
      </c>
      <c r="D130" s="11" t="s">
        <v>271</v>
      </c>
      <c r="E130" s="11" t="s">
        <v>424</v>
      </c>
      <c r="F130" s="11" t="s">
        <v>425</v>
      </c>
      <c r="G130" s="11"/>
      <c r="H130" s="37" t="n">
        <v>-106000</v>
      </c>
      <c r="I130" s="26" t="n">
        <v>1</v>
      </c>
      <c r="J130" s="37" t="n">
        <f aca="false">H130*I130</f>
        <v>-106000</v>
      </c>
      <c r="K130" s="38" t="n">
        <v>46356</v>
      </c>
      <c r="L130" s="11"/>
      <c r="M130" s="11"/>
      <c r="N130" s="38" t="n">
        <v>46356</v>
      </c>
      <c r="O130" s="11" t="n">
        <f aca="false">IF(INT((N130-Assumptions!$C$2)/7)+1&gt;Assumptions!$C$3,"after W13",INT((N130-Assumptions!$C$2)/7)+1)</f>
        <v>8</v>
      </c>
      <c r="P130" s="38" t="n">
        <f aca="false">IF(AND(D130="Receipt",G130="C01"),WORKDAY(N130+Assumptions!$C$14-1,1),N130)</f>
        <v>46356</v>
      </c>
      <c r="Q130" s="11" t="n">
        <f aca="false">IF(INT((P130-Assumptions!$C$2)/7)+1&gt;Assumptions!$C$3,"after W13",INT((P130-Assumptions!$C$2)/7)+1)</f>
        <v>8</v>
      </c>
      <c r="R130" s="38" t="n">
        <f aca="false">IF(AND(D130="Receipt",OR(G130="C01",G130="C02",G130="C03",G130="C04",G130="C07")),WORKDAY(N130+IF(G130="C01",Assumptions!$C$14,Assumptions!$C$15)-1,1),N130)</f>
        <v>46356</v>
      </c>
      <c r="S130" s="11" t="n">
        <f aca="false">IF(INT((R130-Assumptions!$C$2)/7)+1&gt;Assumptions!$C$3,"after W13",INT((R130-Assumptions!$C$2)/7)+1)</f>
        <v>8</v>
      </c>
      <c r="T130" s="11" t="s">
        <v>274</v>
      </c>
      <c r="U130" s="11" t="s">
        <v>275</v>
      </c>
      <c r="V130" s="11"/>
    </row>
    <row r="131" customFormat="false" ht="15" hidden="false" customHeight="false" outlineLevel="0" collapsed="false">
      <c r="A131" s="11" t="s">
        <v>610</v>
      </c>
      <c r="B131" s="11" t="s">
        <v>47</v>
      </c>
      <c r="C131" s="11" t="s">
        <v>611</v>
      </c>
      <c r="D131" s="11" t="s">
        <v>278</v>
      </c>
      <c r="E131" s="11" t="s">
        <v>286</v>
      </c>
      <c r="F131" s="11" t="s">
        <v>331</v>
      </c>
      <c r="G131" s="11" t="s">
        <v>332</v>
      </c>
      <c r="H131" s="37" t="n">
        <v>24684</v>
      </c>
      <c r="I131" s="26" t="n">
        <v>1</v>
      </c>
      <c r="J131" s="37" t="n">
        <f aca="false">H131*I131</f>
        <v>24684</v>
      </c>
      <c r="K131" s="38" t="n">
        <v>46331</v>
      </c>
      <c r="L131" s="11" t="n">
        <v>0</v>
      </c>
      <c r="M131" s="11" t="n">
        <v>25</v>
      </c>
      <c r="N131" s="38" t="n">
        <v>46356</v>
      </c>
      <c r="O131" s="11" t="n">
        <f aca="false">IF(INT((N131-Assumptions!$C$2)/7)+1&gt;Assumptions!$C$3,"after W13",INT((N131-Assumptions!$C$2)/7)+1)</f>
        <v>8</v>
      </c>
      <c r="P131" s="38" t="n">
        <f aca="false">IF(AND(D131="Receipt",G131="C01"),WORKDAY(N131+Assumptions!$C$14-1,1),N131)</f>
        <v>46356</v>
      </c>
      <c r="Q131" s="11" t="n">
        <f aca="false">IF(INT((P131-Assumptions!$C$2)/7)+1&gt;Assumptions!$C$3,"after W13",INT((P131-Assumptions!$C$2)/7)+1)</f>
        <v>8</v>
      </c>
      <c r="R131" s="38" t="n">
        <f aca="false">IF(AND(D131="Receipt",OR(G131="C01",G131="C02",G131="C03",G131="C04",G131="C07")),WORKDAY(N131+IF(G131="C01",Assumptions!$C$14,Assumptions!$C$15)-1,1),N131)</f>
        <v>46371</v>
      </c>
      <c r="S131" s="11" t="n">
        <f aca="false">IF(INT((R131-Assumptions!$C$2)/7)+1&gt;Assumptions!$C$3,"after W13",INT((R131-Assumptions!$C$2)/7)+1)</f>
        <v>10</v>
      </c>
      <c r="T131" s="11" t="s">
        <v>282</v>
      </c>
      <c r="U131" s="11" t="s">
        <v>275</v>
      </c>
      <c r="V131" s="11" t="s">
        <v>283</v>
      </c>
    </row>
    <row r="132" customFormat="false" ht="15" hidden="false" customHeight="false" outlineLevel="0" collapsed="false">
      <c r="A132" s="11" t="s">
        <v>612</v>
      </c>
      <c r="B132" s="11" t="s">
        <v>47</v>
      </c>
      <c r="C132" s="11" t="s">
        <v>613</v>
      </c>
      <c r="D132" s="11" t="s">
        <v>278</v>
      </c>
      <c r="E132" s="11" t="s">
        <v>279</v>
      </c>
      <c r="F132" s="11" t="s">
        <v>335</v>
      </c>
      <c r="G132" s="11" t="s">
        <v>336</v>
      </c>
      <c r="H132" s="37" t="n">
        <v>3684</v>
      </c>
      <c r="I132" s="26" t="n">
        <v>1</v>
      </c>
      <c r="J132" s="37" t="n">
        <f aca="false">H132*I132</f>
        <v>3684</v>
      </c>
      <c r="K132" s="38" t="n">
        <v>46348</v>
      </c>
      <c r="L132" s="11" t="n">
        <v>0</v>
      </c>
      <c r="M132" s="11" t="n">
        <v>7</v>
      </c>
      <c r="N132" s="38" t="n">
        <v>46356</v>
      </c>
      <c r="O132" s="11" t="n">
        <f aca="false">IF(INT((N132-Assumptions!$C$2)/7)+1&gt;Assumptions!$C$3,"after W13",INT((N132-Assumptions!$C$2)/7)+1)</f>
        <v>8</v>
      </c>
      <c r="P132" s="38" t="n">
        <f aca="false">IF(AND(D132="Receipt",G132="C01"),WORKDAY(N132+Assumptions!$C$14-1,1),N132)</f>
        <v>46356</v>
      </c>
      <c r="Q132" s="11" t="n">
        <f aca="false">IF(INT((P132-Assumptions!$C$2)/7)+1&gt;Assumptions!$C$3,"after W13",INT((P132-Assumptions!$C$2)/7)+1)</f>
        <v>8</v>
      </c>
      <c r="R132" s="38" t="n">
        <f aca="false">IF(AND(D132="Receipt",OR(G132="C01",G132="C02",G132="C03",G132="C04",G132="C07")),WORKDAY(N132+IF(G132="C01",Assumptions!$C$14,Assumptions!$C$15)-1,1),N132)</f>
        <v>46356</v>
      </c>
      <c r="S132" s="11" t="n">
        <f aca="false">IF(INT((R132-Assumptions!$C$2)/7)+1&gt;Assumptions!$C$3,"after W13",INT((R132-Assumptions!$C$2)/7)+1)</f>
        <v>8</v>
      </c>
      <c r="T132" s="11" t="s">
        <v>282</v>
      </c>
      <c r="U132" s="11" t="s">
        <v>275</v>
      </c>
      <c r="V132" s="11" t="s">
        <v>283</v>
      </c>
    </row>
    <row r="133" customFormat="false" ht="15" hidden="false" customHeight="false" outlineLevel="0" collapsed="false">
      <c r="A133" s="11" t="s">
        <v>614</v>
      </c>
      <c r="B133" s="11" t="s">
        <v>47</v>
      </c>
      <c r="C133" s="11" t="s">
        <v>615</v>
      </c>
      <c r="D133" s="11" t="s">
        <v>278</v>
      </c>
      <c r="E133" s="11" t="s">
        <v>279</v>
      </c>
      <c r="F133" s="11" t="s">
        <v>335</v>
      </c>
      <c r="G133" s="11" t="s">
        <v>336</v>
      </c>
      <c r="H133" s="37" t="n">
        <v>5472</v>
      </c>
      <c r="I133" s="26" t="n">
        <v>1</v>
      </c>
      <c r="J133" s="37" t="n">
        <f aca="false">H133*I133</f>
        <v>5472</v>
      </c>
      <c r="K133" s="38" t="n">
        <v>46349</v>
      </c>
      <c r="L133" s="11" t="n">
        <v>0</v>
      </c>
      <c r="M133" s="11" t="n">
        <v>7</v>
      </c>
      <c r="N133" s="38" t="n">
        <v>46356</v>
      </c>
      <c r="O133" s="11" t="n">
        <f aca="false">IF(INT((N133-Assumptions!$C$2)/7)+1&gt;Assumptions!$C$3,"after W13",INT((N133-Assumptions!$C$2)/7)+1)</f>
        <v>8</v>
      </c>
      <c r="P133" s="38" t="n">
        <f aca="false">IF(AND(D133="Receipt",G133="C01"),WORKDAY(N133+Assumptions!$C$14-1,1),N133)</f>
        <v>46356</v>
      </c>
      <c r="Q133" s="11" t="n">
        <f aca="false">IF(INT((P133-Assumptions!$C$2)/7)+1&gt;Assumptions!$C$3,"after W13",INT((P133-Assumptions!$C$2)/7)+1)</f>
        <v>8</v>
      </c>
      <c r="R133" s="38" t="n">
        <f aca="false">IF(AND(D133="Receipt",OR(G133="C01",G133="C02",G133="C03",G133="C04",G133="C07")),WORKDAY(N133+IF(G133="C01",Assumptions!$C$14,Assumptions!$C$15)-1,1),N133)</f>
        <v>46356</v>
      </c>
      <c r="S133" s="11" t="n">
        <f aca="false">IF(INT((R133-Assumptions!$C$2)/7)+1&gt;Assumptions!$C$3,"after W13",INT((R133-Assumptions!$C$2)/7)+1)</f>
        <v>8</v>
      </c>
      <c r="T133" s="11" t="s">
        <v>282</v>
      </c>
      <c r="U133" s="11" t="s">
        <v>275</v>
      </c>
      <c r="V133" s="11" t="s">
        <v>283</v>
      </c>
    </row>
    <row r="134" customFormat="false" ht="15" hidden="false" customHeight="false" outlineLevel="0" collapsed="false">
      <c r="A134" s="11" t="s">
        <v>616</v>
      </c>
      <c r="B134" s="11" t="s">
        <v>49</v>
      </c>
      <c r="C134" s="11" t="s">
        <v>617</v>
      </c>
      <c r="D134" s="11" t="s">
        <v>278</v>
      </c>
      <c r="E134" s="11" t="s">
        <v>279</v>
      </c>
      <c r="F134" s="11" t="s">
        <v>280</v>
      </c>
      <c r="G134" s="11" t="s">
        <v>281</v>
      </c>
      <c r="H134" s="37" t="n">
        <v>4728</v>
      </c>
      <c r="I134" s="26" t="n">
        <v>1</v>
      </c>
      <c r="J134" s="37" t="n">
        <f aca="false">H134*I134</f>
        <v>4728</v>
      </c>
      <c r="K134" s="38" t="n">
        <v>46354</v>
      </c>
      <c r="L134" s="11" t="n">
        <v>0</v>
      </c>
      <c r="M134" s="11" t="n">
        <v>0</v>
      </c>
      <c r="N134" s="38" t="n">
        <v>46356</v>
      </c>
      <c r="O134" s="11" t="n">
        <f aca="false">IF(INT((N134-Assumptions!$C$2)/7)+1&gt;Assumptions!$C$3,"after W13",INT((N134-Assumptions!$C$2)/7)+1)</f>
        <v>8</v>
      </c>
      <c r="P134" s="38" t="n">
        <f aca="false">IF(AND(D134="Receipt",G134="C01"),WORKDAY(N134+Assumptions!$C$14-1,1),N134)</f>
        <v>46356</v>
      </c>
      <c r="Q134" s="11" t="n">
        <f aca="false">IF(INT((P134-Assumptions!$C$2)/7)+1&gt;Assumptions!$C$3,"after W13",INT((P134-Assumptions!$C$2)/7)+1)</f>
        <v>8</v>
      </c>
      <c r="R134" s="38" t="n">
        <f aca="false">IF(AND(D134="Receipt",OR(G134="C01",G134="C02",G134="C03",G134="C04",G134="C07")),WORKDAY(N134+IF(G134="C01",Assumptions!$C$14,Assumptions!$C$15)-1,1),N134)</f>
        <v>46356</v>
      </c>
      <c r="S134" s="11" t="n">
        <f aca="false">IF(INT((R134-Assumptions!$C$2)/7)+1&gt;Assumptions!$C$3,"after W13",INT((R134-Assumptions!$C$2)/7)+1)</f>
        <v>8</v>
      </c>
      <c r="T134" s="11" t="s">
        <v>538</v>
      </c>
      <c r="U134" s="11" t="s">
        <v>275</v>
      </c>
      <c r="V134" s="11" t="s">
        <v>283</v>
      </c>
    </row>
    <row r="135" customFormat="false" ht="15" hidden="false" customHeight="false" outlineLevel="0" collapsed="false">
      <c r="A135" s="11" t="s">
        <v>618</v>
      </c>
      <c r="B135" s="11" t="s">
        <v>49</v>
      </c>
      <c r="C135" s="11" t="s">
        <v>619</v>
      </c>
      <c r="D135" s="11" t="s">
        <v>278</v>
      </c>
      <c r="E135" s="11" t="s">
        <v>279</v>
      </c>
      <c r="F135" s="11" t="s">
        <v>280</v>
      </c>
      <c r="G135" s="11" t="s">
        <v>281</v>
      </c>
      <c r="H135" s="37" t="n">
        <v>7236</v>
      </c>
      <c r="I135" s="26" t="n">
        <v>1</v>
      </c>
      <c r="J135" s="37" t="n">
        <f aca="false">H135*I135</f>
        <v>7236</v>
      </c>
      <c r="K135" s="38" t="n">
        <v>46355</v>
      </c>
      <c r="L135" s="11" t="n">
        <v>0</v>
      </c>
      <c r="M135" s="11" t="n">
        <v>0</v>
      </c>
      <c r="N135" s="38" t="n">
        <v>46356</v>
      </c>
      <c r="O135" s="11" t="n">
        <f aca="false">IF(INT((N135-Assumptions!$C$2)/7)+1&gt;Assumptions!$C$3,"after W13",INT((N135-Assumptions!$C$2)/7)+1)</f>
        <v>8</v>
      </c>
      <c r="P135" s="38" t="n">
        <f aca="false">IF(AND(D135="Receipt",G135="C01"),WORKDAY(N135+Assumptions!$C$14-1,1),N135)</f>
        <v>46356</v>
      </c>
      <c r="Q135" s="11" t="n">
        <f aca="false">IF(INT((P135-Assumptions!$C$2)/7)+1&gt;Assumptions!$C$3,"after W13",INT((P135-Assumptions!$C$2)/7)+1)</f>
        <v>8</v>
      </c>
      <c r="R135" s="38" t="n">
        <f aca="false">IF(AND(D135="Receipt",OR(G135="C01",G135="C02",G135="C03",G135="C04",G135="C07")),WORKDAY(N135+IF(G135="C01",Assumptions!$C$14,Assumptions!$C$15)-1,1),N135)</f>
        <v>46356</v>
      </c>
      <c r="S135" s="11" t="n">
        <f aca="false">IF(INT((R135-Assumptions!$C$2)/7)+1&gt;Assumptions!$C$3,"after W13",INT((R135-Assumptions!$C$2)/7)+1)</f>
        <v>8</v>
      </c>
      <c r="T135" s="11" t="s">
        <v>538</v>
      </c>
      <c r="U135" s="11" t="s">
        <v>275</v>
      </c>
      <c r="V135" s="11" t="s">
        <v>283</v>
      </c>
    </row>
    <row r="136" customFormat="false" ht="15" hidden="false" customHeight="false" outlineLevel="0" collapsed="false">
      <c r="A136" s="11" t="s">
        <v>620</v>
      </c>
      <c r="B136" s="11" t="s">
        <v>49</v>
      </c>
      <c r="C136" s="11" t="s">
        <v>621</v>
      </c>
      <c r="D136" s="11" t="s">
        <v>278</v>
      </c>
      <c r="E136" s="11" t="s">
        <v>279</v>
      </c>
      <c r="F136" s="11" t="s">
        <v>280</v>
      </c>
      <c r="G136" s="11" t="s">
        <v>281</v>
      </c>
      <c r="H136" s="37" t="n">
        <v>5496</v>
      </c>
      <c r="I136" s="26" t="n">
        <v>1</v>
      </c>
      <c r="J136" s="37" t="n">
        <f aca="false">H136*I136</f>
        <v>5496</v>
      </c>
      <c r="K136" s="38" t="n">
        <v>46356</v>
      </c>
      <c r="L136" s="11" t="n">
        <v>0</v>
      </c>
      <c r="M136" s="11" t="n">
        <v>0</v>
      </c>
      <c r="N136" s="38" t="n">
        <v>46356</v>
      </c>
      <c r="O136" s="11" t="n">
        <f aca="false">IF(INT((N136-Assumptions!$C$2)/7)+1&gt;Assumptions!$C$3,"after W13",INT((N136-Assumptions!$C$2)/7)+1)</f>
        <v>8</v>
      </c>
      <c r="P136" s="38" t="n">
        <f aca="false">IF(AND(D136="Receipt",G136="C01"),WORKDAY(N136+Assumptions!$C$14-1,1),N136)</f>
        <v>46356</v>
      </c>
      <c r="Q136" s="11" t="n">
        <f aca="false">IF(INT((P136-Assumptions!$C$2)/7)+1&gt;Assumptions!$C$3,"after W13",INT((P136-Assumptions!$C$2)/7)+1)</f>
        <v>8</v>
      </c>
      <c r="R136" s="38" t="n">
        <f aca="false">IF(AND(D136="Receipt",OR(G136="C01",G136="C02",G136="C03",G136="C04",G136="C07")),WORKDAY(N136+IF(G136="C01",Assumptions!$C$14,Assumptions!$C$15)-1,1),N136)</f>
        <v>46356</v>
      </c>
      <c r="S136" s="11" t="n">
        <f aca="false">IF(INT((R136-Assumptions!$C$2)/7)+1&gt;Assumptions!$C$3,"after W13",INT((R136-Assumptions!$C$2)/7)+1)</f>
        <v>8</v>
      </c>
      <c r="T136" s="11" t="s">
        <v>538</v>
      </c>
      <c r="U136" s="11" t="s">
        <v>275</v>
      </c>
      <c r="V136" s="11" t="s">
        <v>283</v>
      </c>
    </row>
    <row r="137" customFormat="false" ht="15" hidden="false" customHeight="false" outlineLevel="0" collapsed="false">
      <c r="A137" s="11" t="s">
        <v>622</v>
      </c>
      <c r="B137" s="11" t="s">
        <v>49</v>
      </c>
      <c r="C137" s="11" t="s">
        <v>623</v>
      </c>
      <c r="D137" s="11" t="s">
        <v>278</v>
      </c>
      <c r="E137" s="11" t="s">
        <v>279</v>
      </c>
      <c r="F137" s="11" t="s">
        <v>280</v>
      </c>
      <c r="G137" s="11" t="s">
        <v>281</v>
      </c>
      <c r="H137" s="37" t="n">
        <v>4668</v>
      </c>
      <c r="I137" s="26" t="n">
        <v>1</v>
      </c>
      <c r="J137" s="37" t="n">
        <f aca="false">H137*I137</f>
        <v>4668</v>
      </c>
      <c r="K137" s="38" t="n">
        <v>46356</v>
      </c>
      <c r="L137" s="11" t="n">
        <v>0</v>
      </c>
      <c r="M137" s="11" t="n">
        <v>0</v>
      </c>
      <c r="N137" s="38" t="n">
        <v>46356</v>
      </c>
      <c r="O137" s="11" t="n">
        <f aca="false">IF(INT((N137-Assumptions!$C$2)/7)+1&gt;Assumptions!$C$3,"after W13",INT((N137-Assumptions!$C$2)/7)+1)</f>
        <v>8</v>
      </c>
      <c r="P137" s="38" t="n">
        <f aca="false">IF(AND(D137="Receipt",G137="C01"),WORKDAY(N137+Assumptions!$C$14-1,1),N137)</f>
        <v>46356</v>
      </c>
      <c r="Q137" s="11" t="n">
        <f aca="false">IF(INT((P137-Assumptions!$C$2)/7)+1&gt;Assumptions!$C$3,"after W13",INT((P137-Assumptions!$C$2)/7)+1)</f>
        <v>8</v>
      </c>
      <c r="R137" s="38" t="n">
        <f aca="false">IF(AND(D137="Receipt",OR(G137="C01",G137="C02",G137="C03",G137="C04",G137="C07")),WORKDAY(N137+IF(G137="C01",Assumptions!$C$14,Assumptions!$C$15)-1,1),N137)</f>
        <v>46356</v>
      </c>
      <c r="S137" s="11" t="n">
        <f aca="false">IF(INT((R137-Assumptions!$C$2)/7)+1&gt;Assumptions!$C$3,"after W13",INT((R137-Assumptions!$C$2)/7)+1)</f>
        <v>8</v>
      </c>
      <c r="T137" s="11" t="s">
        <v>538</v>
      </c>
      <c r="U137" s="11" t="s">
        <v>275</v>
      </c>
      <c r="V137" s="11" t="s">
        <v>283</v>
      </c>
    </row>
    <row r="138" customFormat="false" ht="15" hidden="false" customHeight="false" outlineLevel="0" collapsed="false">
      <c r="A138" s="11" t="s">
        <v>624</v>
      </c>
      <c r="B138" s="11" t="s">
        <v>49</v>
      </c>
      <c r="C138" s="11" t="s">
        <v>625</v>
      </c>
      <c r="D138" s="11" t="s">
        <v>278</v>
      </c>
      <c r="E138" s="11" t="s">
        <v>398</v>
      </c>
      <c r="F138" s="11" t="s">
        <v>399</v>
      </c>
      <c r="G138" s="11" t="s">
        <v>400</v>
      </c>
      <c r="H138" s="37" t="n">
        <v>8436</v>
      </c>
      <c r="I138" s="26" t="n">
        <v>1</v>
      </c>
      <c r="J138" s="37" t="n">
        <f aca="false">H138*I138</f>
        <v>8436</v>
      </c>
      <c r="K138" s="38" t="n">
        <v>46348</v>
      </c>
      <c r="L138" s="11" t="n">
        <v>0</v>
      </c>
      <c r="M138" s="11" t="n">
        <v>8.5</v>
      </c>
      <c r="N138" s="38" t="n">
        <v>46356</v>
      </c>
      <c r="O138" s="11" t="n">
        <f aca="false">IF(INT((N138-Assumptions!$C$2)/7)+1&gt;Assumptions!$C$3,"after W13",INT((N138-Assumptions!$C$2)/7)+1)</f>
        <v>8</v>
      </c>
      <c r="P138" s="38" t="n">
        <f aca="false">IF(AND(D138="Receipt",G138="C01"),WORKDAY(N138+Assumptions!$C$14-1,1),N138)</f>
        <v>46356</v>
      </c>
      <c r="Q138" s="11" t="n">
        <f aca="false">IF(INT((P138-Assumptions!$C$2)/7)+1&gt;Assumptions!$C$3,"after W13",INT((P138-Assumptions!$C$2)/7)+1)</f>
        <v>8</v>
      </c>
      <c r="R138" s="38" t="n">
        <f aca="false">IF(AND(D138="Receipt",OR(G138="C01",G138="C02",G138="C03",G138="C04",G138="C07")),WORKDAY(N138+IF(G138="C01",Assumptions!$C$14,Assumptions!$C$15)-1,1),N138)</f>
        <v>46356</v>
      </c>
      <c r="S138" s="11" t="n">
        <f aca="false">IF(INT((R138-Assumptions!$C$2)/7)+1&gt;Assumptions!$C$3,"after W13",INT((R138-Assumptions!$C$2)/7)+1)</f>
        <v>8</v>
      </c>
      <c r="T138" s="11" t="s">
        <v>538</v>
      </c>
      <c r="U138" s="11" t="s">
        <v>275</v>
      </c>
      <c r="V138" s="11" t="s">
        <v>283</v>
      </c>
    </row>
    <row r="139" customFormat="false" ht="15" hidden="false" customHeight="false" outlineLevel="0" collapsed="false">
      <c r="A139" s="11" t="s">
        <v>626</v>
      </c>
      <c r="B139" s="11" t="s">
        <v>47</v>
      </c>
      <c r="C139" s="11" t="s">
        <v>627</v>
      </c>
      <c r="D139" s="11" t="s">
        <v>278</v>
      </c>
      <c r="E139" s="11" t="s">
        <v>286</v>
      </c>
      <c r="F139" s="11" t="s">
        <v>349</v>
      </c>
      <c r="G139" s="11" t="s">
        <v>350</v>
      </c>
      <c r="H139" s="37" t="n">
        <v>10044</v>
      </c>
      <c r="I139" s="26" t="n">
        <v>1</v>
      </c>
      <c r="J139" s="37" t="n">
        <f aca="false">H139*I139</f>
        <v>10044</v>
      </c>
      <c r="K139" s="38" t="n">
        <v>46347</v>
      </c>
      <c r="L139" s="11" t="n">
        <v>0</v>
      </c>
      <c r="M139" s="11" t="n">
        <v>10</v>
      </c>
      <c r="N139" s="38" t="n">
        <v>46357</v>
      </c>
      <c r="O139" s="11" t="n">
        <f aca="false">IF(INT((N139-Assumptions!$C$2)/7)+1&gt;Assumptions!$C$3,"after W13",INT((N139-Assumptions!$C$2)/7)+1)</f>
        <v>8</v>
      </c>
      <c r="P139" s="38" t="n">
        <f aca="false">IF(AND(D139="Receipt",G139="C01"),WORKDAY(N139+Assumptions!$C$14-1,1),N139)</f>
        <v>46357</v>
      </c>
      <c r="Q139" s="11" t="n">
        <f aca="false">IF(INT((P139-Assumptions!$C$2)/7)+1&gt;Assumptions!$C$3,"after W13",INT((P139-Assumptions!$C$2)/7)+1)</f>
        <v>8</v>
      </c>
      <c r="R139" s="38" t="n">
        <f aca="false">IF(AND(D139="Receipt",OR(G139="C01",G139="C02",G139="C03",G139="C04",G139="C07")),WORKDAY(N139+IF(G139="C01",Assumptions!$C$14,Assumptions!$C$15)-1,1),N139)</f>
        <v>46372</v>
      </c>
      <c r="S139" s="11" t="n">
        <f aca="false">IF(INT((R139-Assumptions!$C$2)/7)+1&gt;Assumptions!$C$3,"after W13",INT((R139-Assumptions!$C$2)/7)+1)</f>
        <v>10</v>
      </c>
      <c r="T139" s="11" t="s">
        <v>282</v>
      </c>
      <c r="U139" s="11" t="s">
        <v>275</v>
      </c>
      <c r="V139" s="11" t="s">
        <v>283</v>
      </c>
    </row>
    <row r="140" customFormat="false" ht="15" hidden="false" customHeight="false" outlineLevel="0" collapsed="false">
      <c r="A140" s="11" t="s">
        <v>628</v>
      </c>
      <c r="B140" s="11" t="s">
        <v>55</v>
      </c>
      <c r="C140" s="11" t="s">
        <v>629</v>
      </c>
      <c r="D140" s="11" t="s">
        <v>271</v>
      </c>
      <c r="E140" s="11" t="s">
        <v>291</v>
      </c>
      <c r="F140" s="11" t="s">
        <v>292</v>
      </c>
      <c r="G140" s="11"/>
      <c r="H140" s="37" t="n">
        <v>-4700</v>
      </c>
      <c r="I140" s="26" t="n">
        <v>1</v>
      </c>
      <c r="J140" s="37" t="n">
        <f aca="false">H140*I140</f>
        <v>-4700</v>
      </c>
      <c r="K140" s="38" t="n">
        <v>46358</v>
      </c>
      <c r="L140" s="11"/>
      <c r="M140" s="11"/>
      <c r="N140" s="38" t="n">
        <v>46358</v>
      </c>
      <c r="O140" s="11" t="n">
        <f aca="false">IF(INT((N140-Assumptions!$C$2)/7)+1&gt;Assumptions!$C$3,"after W13",INT((N140-Assumptions!$C$2)/7)+1)</f>
        <v>8</v>
      </c>
      <c r="P140" s="38" t="n">
        <f aca="false">IF(AND(D140="Receipt",G140="C01"),WORKDAY(N140+Assumptions!$C$14-1,1),N140)</f>
        <v>46358</v>
      </c>
      <c r="Q140" s="11" t="n">
        <f aca="false">IF(INT((P140-Assumptions!$C$2)/7)+1&gt;Assumptions!$C$3,"after W13",INT((P140-Assumptions!$C$2)/7)+1)</f>
        <v>8</v>
      </c>
      <c r="R140" s="38" t="n">
        <f aca="false">IF(AND(D140="Receipt",OR(G140="C01",G140="C02",G140="C03",G140="C04",G140="C07")),WORKDAY(N140+IF(G140="C01",Assumptions!$C$14,Assumptions!$C$15)-1,1),N140)</f>
        <v>46358</v>
      </c>
      <c r="S140" s="11" t="n">
        <f aca="false">IF(INT((R140-Assumptions!$C$2)/7)+1&gt;Assumptions!$C$3,"after W13",INT((R140-Assumptions!$C$2)/7)+1)</f>
        <v>8</v>
      </c>
      <c r="T140" s="11" t="s">
        <v>293</v>
      </c>
      <c r="U140" s="11" t="s">
        <v>275</v>
      </c>
      <c r="V140" s="11" t="s">
        <v>294</v>
      </c>
    </row>
    <row r="141" customFormat="false" ht="15" hidden="false" customHeight="false" outlineLevel="0" collapsed="false">
      <c r="A141" s="11" t="s">
        <v>630</v>
      </c>
      <c r="B141" s="11" t="s">
        <v>53</v>
      </c>
      <c r="C141" s="11" t="s">
        <v>631</v>
      </c>
      <c r="D141" s="11" t="s">
        <v>271</v>
      </c>
      <c r="E141" s="11" t="s">
        <v>307</v>
      </c>
      <c r="F141" s="11" t="s">
        <v>308</v>
      </c>
      <c r="G141" s="11"/>
      <c r="H141" s="37" t="n">
        <v>-38640.25</v>
      </c>
      <c r="I141" s="26" t="n">
        <v>1</v>
      </c>
      <c r="J141" s="37" t="n">
        <f aca="false">H141*I141</f>
        <v>-38640.25</v>
      </c>
      <c r="K141" s="38" t="n">
        <v>46359</v>
      </c>
      <c r="L141" s="11"/>
      <c r="M141" s="11"/>
      <c r="N141" s="38" t="n">
        <v>46359</v>
      </c>
      <c r="O141" s="11" t="n">
        <f aca="false">IF(INT((N141-Assumptions!$C$2)/7)+1&gt;Assumptions!$C$3,"after W13",INT((N141-Assumptions!$C$2)/7)+1)</f>
        <v>8</v>
      </c>
      <c r="P141" s="38" t="n">
        <f aca="false">IF(AND(D141="Receipt",G141="C01"),WORKDAY(N141+Assumptions!$C$14-1,1),N141)</f>
        <v>46359</v>
      </c>
      <c r="Q141" s="11" t="n">
        <f aca="false">IF(INT((P141-Assumptions!$C$2)/7)+1&gt;Assumptions!$C$3,"after W13",INT((P141-Assumptions!$C$2)/7)+1)</f>
        <v>8</v>
      </c>
      <c r="R141" s="38" t="n">
        <f aca="false">IF(AND(D141="Receipt",OR(G141="C01",G141="C02",G141="C03",G141="C04",G141="C07")),WORKDAY(N141+IF(G141="C01",Assumptions!$C$14,Assumptions!$C$15)-1,1),N141)</f>
        <v>46359</v>
      </c>
      <c r="S141" s="11" t="n">
        <f aca="false">IF(INT((R141-Assumptions!$C$2)/7)+1&gt;Assumptions!$C$3,"after W13",INT((R141-Assumptions!$C$2)/7)+1)</f>
        <v>8</v>
      </c>
      <c r="T141" s="11" t="s">
        <v>465</v>
      </c>
      <c r="U141" s="11" t="s">
        <v>275</v>
      </c>
      <c r="V141" s="11" t="s">
        <v>411</v>
      </c>
    </row>
    <row r="142" customFormat="false" ht="15" hidden="false" customHeight="false" outlineLevel="0" collapsed="false">
      <c r="A142" s="11" t="s">
        <v>632</v>
      </c>
      <c r="B142" s="11" t="s">
        <v>53</v>
      </c>
      <c r="C142" s="11" t="s">
        <v>633</v>
      </c>
      <c r="D142" s="11" t="s">
        <v>271</v>
      </c>
      <c r="E142" s="11" t="s">
        <v>307</v>
      </c>
      <c r="F142" s="11" t="s">
        <v>420</v>
      </c>
      <c r="G142" s="11"/>
      <c r="H142" s="37" t="n">
        <v>-122067.94</v>
      </c>
      <c r="I142" s="26" t="n">
        <v>1</v>
      </c>
      <c r="J142" s="37" t="n">
        <f aca="false">H142*I142</f>
        <v>-122067.94</v>
      </c>
      <c r="K142" s="38" t="n">
        <v>46361</v>
      </c>
      <c r="L142" s="11"/>
      <c r="M142" s="11"/>
      <c r="N142" s="38" t="n">
        <v>46359</v>
      </c>
      <c r="O142" s="11" t="n">
        <f aca="false">IF(INT((N142-Assumptions!$C$2)/7)+1&gt;Assumptions!$C$3,"after W13",INT((N142-Assumptions!$C$2)/7)+1)</f>
        <v>8</v>
      </c>
      <c r="P142" s="38" t="n">
        <f aca="false">IF(AND(D142="Receipt",G142="C01"),WORKDAY(N142+Assumptions!$C$14-1,1),N142)</f>
        <v>46359</v>
      </c>
      <c r="Q142" s="11" t="n">
        <f aca="false">IF(INT((P142-Assumptions!$C$2)/7)+1&gt;Assumptions!$C$3,"after W13",INT((P142-Assumptions!$C$2)/7)+1)</f>
        <v>8</v>
      </c>
      <c r="R142" s="38" t="n">
        <f aca="false">IF(AND(D142="Receipt",OR(G142="C01",G142="C02",G142="C03",G142="C04",G142="C07")),WORKDAY(N142+IF(G142="C01",Assumptions!$C$14,Assumptions!$C$15)-1,1),N142)</f>
        <v>46359</v>
      </c>
      <c r="S142" s="11" t="n">
        <f aca="false">IF(INT((R142-Assumptions!$C$2)/7)+1&gt;Assumptions!$C$3,"after W13",INT((R142-Assumptions!$C$2)/7)+1)</f>
        <v>8</v>
      </c>
      <c r="T142" s="11" t="s">
        <v>465</v>
      </c>
      <c r="U142" s="11" t="s">
        <v>275</v>
      </c>
      <c r="V142" s="11" t="s">
        <v>634</v>
      </c>
    </row>
    <row r="143" customFormat="false" ht="15" hidden="false" customHeight="false" outlineLevel="0" collapsed="false">
      <c r="A143" s="11" t="s">
        <v>635</v>
      </c>
      <c r="B143" s="11" t="s">
        <v>53</v>
      </c>
      <c r="C143" s="11" t="s">
        <v>636</v>
      </c>
      <c r="D143" s="11" t="s">
        <v>271</v>
      </c>
      <c r="E143" s="11" t="s">
        <v>307</v>
      </c>
      <c r="F143" s="11" t="s">
        <v>313</v>
      </c>
      <c r="G143" s="11"/>
      <c r="H143" s="37" t="n">
        <v>-5397.13</v>
      </c>
      <c r="I143" s="26" t="n">
        <v>1</v>
      </c>
      <c r="J143" s="37" t="n">
        <f aca="false">H143*I143</f>
        <v>-5397.13</v>
      </c>
      <c r="K143" s="38" t="n">
        <v>46365</v>
      </c>
      <c r="L143" s="11"/>
      <c r="M143" s="11"/>
      <c r="N143" s="38" t="n">
        <v>46359</v>
      </c>
      <c r="O143" s="11" t="n">
        <f aca="false">IF(INT((N143-Assumptions!$C$2)/7)+1&gt;Assumptions!$C$3,"after W13",INT((N143-Assumptions!$C$2)/7)+1)</f>
        <v>8</v>
      </c>
      <c r="P143" s="38" t="n">
        <f aca="false">IF(AND(D143="Receipt",G143="C01"),WORKDAY(N143+Assumptions!$C$14-1,1),N143)</f>
        <v>46359</v>
      </c>
      <c r="Q143" s="11" t="n">
        <f aca="false">IF(INT((P143-Assumptions!$C$2)/7)+1&gt;Assumptions!$C$3,"after W13",INT((P143-Assumptions!$C$2)/7)+1)</f>
        <v>8</v>
      </c>
      <c r="R143" s="38" t="n">
        <f aca="false">IF(AND(D143="Receipt",OR(G143="C01",G143="C02",G143="C03",G143="C04",G143="C07")),WORKDAY(N143+IF(G143="C01",Assumptions!$C$14,Assumptions!$C$15)-1,1),N143)</f>
        <v>46359</v>
      </c>
      <c r="S143" s="11" t="n">
        <f aca="false">IF(INT((R143-Assumptions!$C$2)/7)+1&gt;Assumptions!$C$3,"after W13",INT((R143-Assumptions!$C$2)/7)+1)</f>
        <v>8</v>
      </c>
      <c r="T143" s="11" t="s">
        <v>465</v>
      </c>
      <c r="U143" s="11" t="s">
        <v>275</v>
      </c>
      <c r="V143" s="11" t="s">
        <v>314</v>
      </c>
    </row>
    <row r="144" customFormat="false" ht="15" hidden="false" customHeight="false" outlineLevel="0" collapsed="false">
      <c r="A144" s="11" t="s">
        <v>637</v>
      </c>
      <c r="B144" s="11" t="s">
        <v>55</v>
      </c>
      <c r="C144" s="11" t="s">
        <v>638</v>
      </c>
      <c r="D144" s="11" t="s">
        <v>271</v>
      </c>
      <c r="E144" s="11" t="s">
        <v>448</v>
      </c>
      <c r="F144" s="11" t="s">
        <v>449</v>
      </c>
      <c r="G144" s="11"/>
      <c r="H144" s="37" t="n">
        <v>-2880</v>
      </c>
      <c r="I144" s="26" t="n">
        <v>1</v>
      </c>
      <c r="J144" s="37" t="n">
        <f aca="false">H144*I144</f>
        <v>-2880</v>
      </c>
      <c r="K144" s="38" t="n">
        <v>46359</v>
      </c>
      <c r="L144" s="11"/>
      <c r="M144" s="11"/>
      <c r="N144" s="38" t="n">
        <v>46359</v>
      </c>
      <c r="O144" s="11" t="n">
        <f aca="false">IF(INT((N144-Assumptions!$C$2)/7)+1&gt;Assumptions!$C$3,"after W13",INT((N144-Assumptions!$C$2)/7)+1)</f>
        <v>8</v>
      </c>
      <c r="P144" s="38" t="n">
        <f aca="false">IF(AND(D144="Receipt",G144="C01"),WORKDAY(N144+Assumptions!$C$14-1,1),N144)</f>
        <v>46359</v>
      </c>
      <c r="Q144" s="11" t="n">
        <f aca="false">IF(INT((P144-Assumptions!$C$2)/7)+1&gt;Assumptions!$C$3,"after W13",INT((P144-Assumptions!$C$2)/7)+1)</f>
        <v>8</v>
      </c>
      <c r="R144" s="38" t="n">
        <f aca="false">IF(AND(D144="Receipt",OR(G144="C01",G144="C02",G144="C03",G144="C04",G144="C07")),WORKDAY(N144+IF(G144="C01",Assumptions!$C$14,Assumptions!$C$15)-1,1),N144)</f>
        <v>46359</v>
      </c>
      <c r="S144" s="11" t="n">
        <f aca="false">IF(INT((R144-Assumptions!$C$2)/7)+1&gt;Assumptions!$C$3,"after W13",INT((R144-Assumptions!$C$2)/7)+1)</f>
        <v>8</v>
      </c>
      <c r="T144" s="11" t="s">
        <v>274</v>
      </c>
      <c r="U144" s="11" t="s">
        <v>275</v>
      </c>
      <c r="V144" s="11"/>
    </row>
    <row r="145" customFormat="false" ht="15" hidden="false" customHeight="false" outlineLevel="0" collapsed="false">
      <c r="A145" s="11" t="s">
        <v>639</v>
      </c>
      <c r="B145" s="11" t="s">
        <v>47</v>
      </c>
      <c r="C145" s="11" t="s">
        <v>640</v>
      </c>
      <c r="D145" s="11" t="s">
        <v>278</v>
      </c>
      <c r="E145" s="11" t="s">
        <v>297</v>
      </c>
      <c r="F145" s="11" t="s">
        <v>298</v>
      </c>
      <c r="G145" s="11" t="s">
        <v>299</v>
      </c>
      <c r="H145" s="37" t="n">
        <v>10970</v>
      </c>
      <c r="I145" s="26" t="n">
        <v>1</v>
      </c>
      <c r="J145" s="37" t="n">
        <f aca="false">H145*I145</f>
        <v>10970</v>
      </c>
      <c r="K145" s="38" t="n">
        <v>46353</v>
      </c>
      <c r="L145" s="11" t="n">
        <v>0</v>
      </c>
      <c r="M145" s="11" t="n">
        <v>6</v>
      </c>
      <c r="N145" s="38" t="n">
        <v>46359</v>
      </c>
      <c r="O145" s="11" t="n">
        <f aca="false">IF(INT((N145-Assumptions!$C$2)/7)+1&gt;Assumptions!$C$3,"after W13",INT((N145-Assumptions!$C$2)/7)+1)</f>
        <v>8</v>
      </c>
      <c r="P145" s="38" t="n">
        <f aca="false">IF(AND(D145="Receipt",G145="C01"),WORKDAY(N145+Assumptions!$C$14-1,1),N145)</f>
        <v>46359</v>
      </c>
      <c r="Q145" s="11" t="n">
        <f aca="false">IF(INT((P145-Assumptions!$C$2)/7)+1&gt;Assumptions!$C$3,"after W13",INT((P145-Assumptions!$C$2)/7)+1)</f>
        <v>8</v>
      </c>
      <c r="R145" s="38" t="n">
        <f aca="false">IF(AND(D145="Receipt",OR(G145="C01",G145="C02",G145="C03",G145="C04",G145="C07")),WORKDAY(N145+IF(G145="C01",Assumptions!$C$14,Assumptions!$C$15)-1,1),N145)</f>
        <v>46359</v>
      </c>
      <c r="S145" s="11" t="n">
        <f aca="false">IF(INT((R145-Assumptions!$C$2)/7)+1&gt;Assumptions!$C$3,"after W13",INT((R145-Assumptions!$C$2)/7)+1)</f>
        <v>8</v>
      </c>
      <c r="T145" s="11" t="s">
        <v>282</v>
      </c>
      <c r="U145" s="11" t="s">
        <v>275</v>
      </c>
      <c r="V145" s="11" t="s">
        <v>283</v>
      </c>
    </row>
    <row r="146" customFormat="false" ht="15" hidden="false" customHeight="false" outlineLevel="0" collapsed="false">
      <c r="A146" s="11" t="s">
        <v>641</v>
      </c>
      <c r="B146" s="11" t="s">
        <v>49</v>
      </c>
      <c r="C146" s="11" t="s">
        <v>642</v>
      </c>
      <c r="D146" s="11" t="s">
        <v>278</v>
      </c>
      <c r="E146" s="11" t="s">
        <v>279</v>
      </c>
      <c r="F146" s="11" t="s">
        <v>335</v>
      </c>
      <c r="G146" s="11" t="s">
        <v>336</v>
      </c>
      <c r="H146" s="37" t="n">
        <v>7704</v>
      </c>
      <c r="I146" s="26" t="n">
        <v>1</v>
      </c>
      <c r="J146" s="37" t="n">
        <f aca="false">H146*I146</f>
        <v>7704</v>
      </c>
      <c r="K146" s="38" t="n">
        <v>46352</v>
      </c>
      <c r="L146" s="11" t="n">
        <v>0</v>
      </c>
      <c r="M146" s="11" t="n">
        <v>7</v>
      </c>
      <c r="N146" s="38" t="n">
        <v>46359</v>
      </c>
      <c r="O146" s="11" t="n">
        <f aca="false">IF(INT((N146-Assumptions!$C$2)/7)+1&gt;Assumptions!$C$3,"after W13",INT((N146-Assumptions!$C$2)/7)+1)</f>
        <v>8</v>
      </c>
      <c r="P146" s="38" t="n">
        <f aca="false">IF(AND(D146="Receipt",G146="C01"),WORKDAY(N146+Assumptions!$C$14-1,1),N146)</f>
        <v>46359</v>
      </c>
      <c r="Q146" s="11" t="n">
        <f aca="false">IF(INT((P146-Assumptions!$C$2)/7)+1&gt;Assumptions!$C$3,"after W13",INT((P146-Assumptions!$C$2)/7)+1)</f>
        <v>8</v>
      </c>
      <c r="R146" s="38" t="n">
        <f aca="false">IF(AND(D146="Receipt",OR(G146="C01",G146="C02",G146="C03",G146="C04",G146="C07")),WORKDAY(N146+IF(G146="C01",Assumptions!$C$14,Assumptions!$C$15)-1,1),N146)</f>
        <v>46359</v>
      </c>
      <c r="S146" s="11" t="n">
        <f aca="false">IF(INT((R146-Assumptions!$C$2)/7)+1&gt;Assumptions!$C$3,"after W13",INT((R146-Assumptions!$C$2)/7)+1)</f>
        <v>8</v>
      </c>
      <c r="T146" s="11" t="s">
        <v>538</v>
      </c>
      <c r="U146" s="11" t="s">
        <v>275</v>
      </c>
      <c r="V146" s="11" t="s">
        <v>283</v>
      </c>
    </row>
    <row r="147" customFormat="false" ht="15" hidden="false" customHeight="false" outlineLevel="0" collapsed="false">
      <c r="A147" s="11" t="s">
        <v>643</v>
      </c>
      <c r="B147" s="11" t="s">
        <v>49</v>
      </c>
      <c r="C147" s="11" t="s">
        <v>644</v>
      </c>
      <c r="D147" s="11" t="s">
        <v>278</v>
      </c>
      <c r="E147" s="11" t="s">
        <v>279</v>
      </c>
      <c r="F147" s="11" t="s">
        <v>335</v>
      </c>
      <c r="G147" s="11" t="s">
        <v>336</v>
      </c>
      <c r="H147" s="37" t="n">
        <v>3708</v>
      </c>
      <c r="I147" s="26" t="n">
        <v>1</v>
      </c>
      <c r="J147" s="37" t="n">
        <f aca="false">H147*I147</f>
        <v>3708</v>
      </c>
      <c r="K147" s="38" t="n">
        <v>46352</v>
      </c>
      <c r="L147" s="11" t="n">
        <v>0</v>
      </c>
      <c r="M147" s="11" t="n">
        <v>7</v>
      </c>
      <c r="N147" s="38" t="n">
        <v>46359</v>
      </c>
      <c r="O147" s="11" t="n">
        <f aca="false">IF(INT((N147-Assumptions!$C$2)/7)+1&gt;Assumptions!$C$3,"after W13",INT((N147-Assumptions!$C$2)/7)+1)</f>
        <v>8</v>
      </c>
      <c r="P147" s="38" t="n">
        <f aca="false">IF(AND(D147="Receipt",G147="C01"),WORKDAY(N147+Assumptions!$C$14-1,1),N147)</f>
        <v>46359</v>
      </c>
      <c r="Q147" s="11" t="n">
        <f aca="false">IF(INT((P147-Assumptions!$C$2)/7)+1&gt;Assumptions!$C$3,"after W13",INT((P147-Assumptions!$C$2)/7)+1)</f>
        <v>8</v>
      </c>
      <c r="R147" s="38" t="n">
        <f aca="false">IF(AND(D147="Receipt",OR(G147="C01",G147="C02",G147="C03",G147="C04",G147="C07")),WORKDAY(N147+IF(G147="C01",Assumptions!$C$14,Assumptions!$C$15)-1,1),N147)</f>
        <v>46359</v>
      </c>
      <c r="S147" s="11" t="n">
        <f aca="false">IF(INT((R147-Assumptions!$C$2)/7)+1&gt;Assumptions!$C$3,"after W13",INT((R147-Assumptions!$C$2)/7)+1)</f>
        <v>8</v>
      </c>
      <c r="T147" s="11" t="s">
        <v>538</v>
      </c>
      <c r="U147" s="11" t="s">
        <v>275</v>
      </c>
      <c r="V147" s="11" t="s">
        <v>283</v>
      </c>
    </row>
    <row r="148" customFormat="false" ht="15" hidden="false" customHeight="false" outlineLevel="0" collapsed="false">
      <c r="A148" s="11" t="s">
        <v>645</v>
      </c>
      <c r="B148" s="11" t="s">
        <v>49</v>
      </c>
      <c r="C148" s="11" t="s">
        <v>646</v>
      </c>
      <c r="D148" s="11" t="s">
        <v>278</v>
      </c>
      <c r="E148" s="11" t="s">
        <v>322</v>
      </c>
      <c r="F148" s="11" t="s">
        <v>323</v>
      </c>
      <c r="G148" s="11" t="s">
        <v>324</v>
      </c>
      <c r="H148" s="37" t="n">
        <v>3804</v>
      </c>
      <c r="I148" s="26" t="n">
        <v>1</v>
      </c>
      <c r="J148" s="37" t="n">
        <f aca="false">H148*I148</f>
        <v>3804</v>
      </c>
      <c r="K148" s="38" t="n">
        <v>46348</v>
      </c>
      <c r="L148" s="11" t="n">
        <v>0</v>
      </c>
      <c r="M148" s="11" t="n">
        <v>12</v>
      </c>
      <c r="N148" s="38" t="n">
        <v>46360</v>
      </c>
      <c r="O148" s="11" t="n">
        <f aca="false">IF(INT((N148-Assumptions!$C$2)/7)+1&gt;Assumptions!$C$3,"after W13",INT((N148-Assumptions!$C$2)/7)+1)</f>
        <v>8</v>
      </c>
      <c r="P148" s="38" t="n">
        <f aca="false">IF(AND(D148="Receipt",G148="C01"),WORKDAY(N148+Assumptions!$C$14-1,1),N148)</f>
        <v>46360</v>
      </c>
      <c r="Q148" s="11" t="n">
        <f aca="false">IF(INT((P148-Assumptions!$C$2)/7)+1&gt;Assumptions!$C$3,"after W13",INT((P148-Assumptions!$C$2)/7)+1)</f>
        <v>8</v>
      </c>
      <c r="R148" s="38" t="n">
        <f aca="false">IF(AND(D148="Receipt",OR(G148="C01",G148="C02",G148="C03",G148="C04",G148="C07")),WORKDAY(N148+IF(G148="C01",Assumptions!$C$14,Assumptions!$C$15)-1,1),N148)</f>
        <v>46360</v>
      </c>
      <c r="S148" s="11" t="n">
        <f aca="false">IF(INT((R148-Assumptions!$C$2)/7)+1&gt;Assumptions!$C$3,"after W13",INT((R148-Assumptions!$C$2)/7)+1)</f>
        <v>8</v>
      </c>
      <c r="T148" s="11" t="s">
        <v>538</v>
      </c>
      <c r="U148" s="11" t="s">
        <v>275</v>
      </c>
      <c r="V148" s="11" t="s">
        <v>283</v>
      </c>
    </row>
    <row r="149" customFormat="false" ht="15" hidden="false" customHeight="false" outlineLevel="0" collapsed="false">
      <c r="A149" s="11" t="s">
        <v>647</v>
      </c>
      <c r="B149" s="11" t="s">
        <v>55</v>
      </c>
      <c r="C149" s="11" t="s">
        <v>648</v>
      </c>
      <c r="D149" s="11" t="s">
        <v>271</v>
      </c>
      <c r="E149" s="11" t="s">
        <v>469</v>
      </c>
      <c r="F149" s="11" t="s">
        <v>470</v>
      </c>
      <c r="G149" s="11"/>
      <c r="H149" s="37" t="n">
        <v>-8900</v>
      </c>
      <c r="I149" s="26" t="n">
        <v>1</v>
      </c>
      <c r="J149" s="37" t="n">
        <f aca="false">H149*I149</f>
        <v>-8900</v>
      </c>
      <c r="K149" s="38" t="n">
        <v>46363</v>
      </c>
      <c r="L149" s="11"/>
      <c r="M149" s="11"/>
      <c r="N149" s="38" t="n">
        <v>46363</v>
      </c>
      <c r="O149" s="11" t="n">
        <f aca="false">IF(INT((N149-Assumptions!$C$2)/7)+1&gt;Assumptions!$C$3,"after W13",INT((N149-Assumptions!$C$2)/7)+1)</f>
        <v>9</v>
      </c>
      <c r="P149" s="38" t="n">
        <f aca="false">IF(AND(D149="Receipt",G149="C01"),WORKDAY(N149+Assumptions!$C$14-1,1),N149)</f>
        <v>46363</v>
      </c>
      <c r="Q149" s="11" t="n">
        <f aca="false">IF(INT((P149-Assumptions!$C$2)/7)+1&gt;Assumptions!$C$3,"after W13",INT((P149-Assumptions!$C$2)/7)+1)</f>
        <v>9</v>
      </c>
      <c r="R149" s="38" t="n">
        <f aca="false">IF(AND(D149="Receipt",OR(G149="C01",G149="C02",G149="C03",G149="C04",G149="C07")),WORKDAY(N149+IF(G149="C01",Assumptions!$C$14,Assumptions!$C$15)-1,1),N149)</f>
        <v>46363</v>
      </c>
      <c r="S149" s="11" t="n">
        <f aca="false">IF(INT((R149-Assumptions!$C$2)/7)+1&gt;Assumptions!$C$3,"after W13",INT((R149-Assumptions!$C$2)/7)+1)</f>
        <v>9</v>
      </c>
      <c r="T149" s="11" t="s">
        <v>274</v>
      </c>
      <c r="U149" s="11" t="s">
        <v>275</v>
      </c>
      <c r="V149" s="11" t="s">
        <v>471</v>
      </c>
    </row>
    <row r="150" customFormat="false" ht="15" hidden="false" customHeight="false" outlineLevel="0" collapsed="false">
      <c r="A150" s="11" t="s">
        <v>649</v>
      </c>
      <c r="B150" s="11" t="s">
        <v>47</v>
      </c>
      <c r="C150" s="11" t="s">
        <v>650</v>
      </c>
      <c r="D150" s="11" t="s">
        <v>278</v>
      </c>
      <c r="E150" s="11" t="s">
        <v>286</v>
      </c>
      <c r="F150" s="11" t="s">
        <v>327</v>
      </c>
      <c r="G150" s="11" t="s">
        <v>328</v>
      </c>
      <c r="H150" s="37" t="n">
        <v>22008</v>
      </c>
      <c r="I150" s="26" t="n">
        <v>1</v>
      </c>
      <c r="J150" s="37" t="n">
        <f aca="false">H150*I150</f>
        <v>22008</v>
      </c>
      <c r="K150" s="38" t="n">
        <v>46342</v>
      </c>
      <c r="L150" s="11" t="n">
        <v>0</v>
      </c>
      <c r="M150" s="11" t="n">
        <v>21</v>
      </c>
      <c r="N150" s="38" t="n">
        <v>46363</v>
      </c>
      <c r="O150" s="11" t="n">
        <f aca="false">IF(INT((N150-Assumptions!$C$2)/7)+1&gt;Assumptions!$C$3,"after W13",INT((N150-Assumptions!$C$2)/7)+1)</f>
        <v>9</v>
      </c>
      <c r="P150" s="38" t="n">
        <f aca="false">IF(AND(D150="Receipt",G150="C01"),WORKDAY(N150+Assumptions!$C$14-1,1),N150)</f>
        <v>46363</v>
      </c>
      <c r="Q150" s="11" t="n">
        <f aca="false">IF(INT((P150-Assumptions!$C$2)/7)+1&gt;Assumptions!$C$3,"after W13",INT((P150-Assumptions!$C$2)/7)+1)</f>
        <v>9</v>
      </c>
      <c r="R150" s="38" t="n">
        <f aca="false">IF(AND(D150="Receipt",OR(G150="C01",G150="C02",G150="C03",G150="C04",G150="C07")),WORKDAY(N150+IF(G150="C01",Assumptions!$C$14,Assumptions!$C$15)-1,1),N150)</f>
        <v>46378</v>
      </c>
      <c r="S150" s="11" t="n">
        <f aca="false">IF(INT((R150-Assumptions!$C$2)/7)+1&gt;Assumptions!$C$3,"after W13",INT((R150-Assumptions!$C$2)/7)+1)</f>
        <v>11</v>
      </c>
      <c r="T150" s="11" t="s">
        <v>282</v>
      </c>
      <c r="U150" s="11" t="s">
        <v>275</v>
      </c>
      <c r="V150" s="11" t="s">
        <v>283</v>
      </c>
    </row>
    <row r="151" customFormat="false" ht="15" hidden="false" customHeight="false" outlineLevel="0" collapsed="false">
      <c r="A151" s="11" t="s">
        <v>651</v>
      </c>
      <c r="B151" s="11" t="s">
        <v>47</v>
      </c>
      <c r="C151" s="11" t="s">
        <v>652</v>
      </c>
      <c r="D151" s="11" t="s">
        <v>278</v>
      </c>
      <c r="E151" s="11" t="s">
        <v>286</v>
      </c>
      <c r="F151" s="11" t="s">
        <v>331</v>
      </c>
      <c r="G151" s="11" t="s">
        <v>332</v>
      </c>
      <c r="H151" s="37" t="n">
        <v>8568</v>
      </c>
      <c r="I151" s="26" t="n">
        <v>1</v>
      </c>
      <c r="J151" s="37" t="n">
        <f aca="false">H151*I151</f>
        <v>8568</v>
      </c>
      <c r="K151" s="38" t="n">
        <v>46338</v>
      </c>
      <c r="L151" s="11" t="n">
        <v>0</v>
      </c>
      <c r="M151" s="11" t="n">
        <v>25</v>
      </c>
      <c r="N151" s="38" t="n">
        <v>46363</v>
      </c>
      <c r="O151" s="11" t="n">
        <f aca="false">IF(INT((N151-Assumptions!$C$2)/7)+1&gt;Assumptions!$C$3,"after W13",INT((N151-Assumptions!$C$2)/7)+1)</f>
        <v>9</v>
      </c>
      <c r="P151" s="38" t="n">
        <f aca="false">IF(AND(D151="Receipt",G151="C01"),WORKDAY(N151+Assumptions!$C$14-1,1),N151)</f>
        <v>46363</v>
      </c>
      <c r="Q151" s="11" t="n">
        <f aca="false">IF(INT((P151-Assumptions!$C$2)/7)+1&gt;Assumptions!$C$3,"after W13",INT((P151-Assumptions!$C$2)/7)+1)</f>
        <v>9</v>
      </c>
      <c r="R151" s="38" t="n">
        <f aca="false">IF(AND(D151="Receipt",OR(G151="C01",G151="C02",G151="C03",G151="C04",G151="C07")),WORKDAY(N151+IF(G151="C01",Assumptions!$C$14,Assumptions!$C$15)-1,1),N151)</f>
        <v>46378</v>
      </c>
      <c r="S151" s="11" t="n">
        <f aca="false">IF(INT((R151-Assumptions!$C$2)/7)+1&gt;Assumptions!$C$3,"after W13",INT((R151-Assumptions!$C$2)/7)+1)</f>
        <v>11</v>
      </c>
      <c r="T151" s="11" t="s">
        <v>282</v>
      </c>
      <c r="U151" s="11" t="s">
        <v>275</v>
      </c>
      <c r="V151" s="11" t="s">
        <v>283</v>
      </c>
    </row>
    <row r="152" customFormat="false" ht="15" hidden="false" customHeight="false" outlineLevel="0" collapsed="false">
      <c r="A152" s="11" t="s">
        <v>653</v>
      </c>
      <c r="B152" s="11" t="s">
        <v>47</v>
      </c>
      <c r="C152" s="11" t="s">
        <v>654</v>
      </c>
      <c r="D152" s="11" t="s">
        <v>278</v>
      </c>
      <c r="E152" s="11" t="s">
        <v>286</v>
      </c>
      <c r="F152" s="11" t="s">
        <v>331</v>
      </c>
      <c r="G152" s="11" t="s">
        <v>332</v>
      </c>
      <c r="H152" s="37" t="n">
        <v>7620</v>
      </c>
      <c r="I152" s="26" t="n">
        <v>1</v>
      </c>
      <c r="J152" s="37" t="n">
        <f aca="false">H152*I152</f>
        <v>7620</v>
      </c>
      <c r="K152" s="38" t="n">
        <v>46338</v>
      </c>
      <c r="L152" s="11" t="n">
        <v>0</v>
      </c>
      <c r="M152" s="11" t="n">
        <v>25</v>
      </c>
      <c r="N152" s="38" t="n">
        <v>46363</v>
      </c>
      <c r="O152" s="11" t="n">
        <f aca="false">IF(INT((N152-Assumptions!$C$2)/7)+1&gt;Assumptions!$C$3,"after W13",INT((N152-Assumptions!$C$2)/7)+1)</f>
        <v>9</v>
      </c>
      <c r="P152" s="38" t="n">
        <f aca="false">IF(AND(D152="Receipt",G152="C01"),WORKDAY(N152+Assumptions!$C$14-1,1),N152)</f>
        <v>46363</v>
      </c>
      <c r="Q152" s="11" t="n">
        <f aca="false">IF(INT((P152-Assumptions!$C$2)/7)+1&gt;Assumptions!$C$3,"after W13",INT((P152-Assumptions!$C$2)/7)+1)</f>
        <v>9</v>
      </c>
      <c r="R152" s="38" t="n">
        <f aca="false">IF(AND(D152="Receipt",OR(G152="C01",G152="C02",G152="C03",G152="C04",G152="C07")),WORKDAY(N152+IF(G152="C01",Assumptions!$C$14,Assumptions!$C$15)-1,1),N152)</f>
        <v>46378</v>
      </c>
      <c r="S152" s="11" t="n">
        <f aca="false">IF(INT((R152-Assumptions!$C$2)/7)+1&gt;Assumptions!$C$3,"after W13",INT((R152-Assumptions!$C$2)/7)+1)</f>
        <v>11</v>
      </c>
      <c r="T152" s="11" t="s">
        <v>282</v>
      </c>
      <c r="U152" s="11" t="s">
        <v>275</v>
      </c>
      <c r="V152" s="11" t="s">
        <v>283</v>
      </c>
    </row>
    <row r="153" customFormat="false" ht="15" hidden="false" customHeight="false" outlineLevel="0" collapsed="false">
      <c r="A153" s="11" t="s">
        <v>655</v>
      </c>
      <c r="B153" s="11" t="s">
        <v>47</v>
      </c>
      <c r="C153" s="11" t="s">
        <v>656</v>
      </c>
      <c r="D153" s="11" t="s">
        <v>278</v>
      </c>
      <c r="E153" s="11" t="s">
        <v>286</v>
      </c>
      <c r="F153" s="11" t="s">
        <v>331</v>
      </c>
      <c r="G153" s="11" t="s">
        <v>332</v>
      </c>
      <c r="H153" s="37" t="n">
        <v>4956</v>
      </c>
      <c r="I153" s="26" t="n">
        <v>1</v>
      </c>
      <c r="J153" s="37" t="n">
        <f aca="false">H153*I153</f>
        <v>4956</v>
      </c>
      <c r="K153" s="38" t="n">
        <v>46338</v>
      </c>
      <c r="L153" s="11" t="n">
        <v>0</v>
      </c>
      <c r="M153" s="11" t="n">
        <v>25</v>
      </c>
      <c r="N153" s="38" t="n">
        <v>46363</v>
      </c>
      <c r="O153" s="11" t="n">
        <f aca="false">IF(INT((N153-Assumptions!$C$2)/7)+1&gt;Assumptions!$C$3,"after W13",INT((N153-Assumptions!$C$2)/7)+1)</f>
        <v>9</v>
      </c>
      <c r="P153" s="38" t="n">
        <f aca="false">IF(AND(D153="Receipt",G153="C01"),WORKDAY(N153+Assumptions!$C$14-1,1),N153)</f>
        <v>46363</v>
      </c>
      <c r="Q153" s="11" t="n">
        <f aca="false">IF(INT((P153-Assumptions!$C$2)/7)+1&gt;Assumptions!$C$3,"after W13",INT((P153-Assumptions!$C$2)/7)+1)</f>
        <v>9</v>
      </c>
      <c r="R153" s="38" t="n">
        <f aca="false">IF(AND(D153="Receipt",OR(G153="C01",G153="C02",G153="C03",G153="C04",G153="C07")),WORKDAY(N153+IF(G153="C01",Assumptions!$C$14,Assumptions!$C$15)-1,1),N153)</f>
        <v>46378</v>
      </c>
      <c r="S153" s="11" t="n">
        <f aca="false">IF(INT((R153-Assumptions!$C$2)/7)+1&gt;Assumptions!$C$3,"after W13",INT((R153-Assumptions!$C$2)/7)+1)</f>
        <v>11</v>
      </c>
      <c r="T153" s="11" t="s">
        <v>282</v>
      </c>
      <c r="U153" s="11" t="s">
        <v>275</v>
      </c>
      <c r="V153" s="11" t="s">
        <v>283</v>
      </c>
    </row>
    <row r="154" customFormat="false" ht="15" hidden="false" customHeight="false" outlineLevel="0" collapsed="false">
      <c r="A154" s="11" t="s">
        <v>657</v>
      </c>
      <c r="B154" s="11" t="s">
        <v>47</v>
      </c>
      <c r="C154" s="11" t="s">
        <v>658</v>
      </c>
      <c r="D154" s="11" t="s">
        <v>278</v>
      </c>
      <c r="E154" s="11" t="s">
        <v>297</v>
      </c>
      <c r="F154" s="11" t="s">
        <v>298</v>
      </c>
      <c r="G154" s="11" t="s">
        <v>299</v>
      </c>
      <c r="H154" s="37" t="n">
        <v>5150</v>
      </c>
      <c r="I154" s="26" t="n">
        <v>1</v>
      </c>
      <c r="J154" s="37" t="n">
        <f aca="false">H154*I154</f>
        <v>5150</v>
      </c>
      <c r="K154" s="38" t="n">
        <v>46357</v>
      </c>
      <c r="L154" s="11" t="n">
        <v>0</v>
      </c>
      <c r="M154" s="11" t="n">
        <v>6</v>
      </c>
      <c r="N154" s="38" t="n">
        <v>46363</v>
      </c>
      <c r="O154" s="11" t="n">
        <f aca="false">IF(INT((N154-Assumptions!$C$2)/7)+1&gt;Assumptions!$C$3,"after W13",INT((N154-Assumptions!$C$2)/7)+1)</f>
        <v>9</v>
      </c>
      <c r="P154" s="38" t="n">
        <f aca="false">IF(AND(D154="Receipt",G154="C01"),WORKDAY(N154+Assumptions!$C$14-1,1),N154)</f>
        <v>46363</v>
      </c>
      <c r="Q154" s="11" t="n">
        <f aca="false">IF(INT((P154-Assumptions!$C$2)/7)+1&gt;Assumptions!$C$3,"after W13",INT((P154-Assumptions!$C$2)/7)+1)</f>
        <v>9</v>
      </c>
      <c r="R154" s="38" t="n">
        <f aca="false">IF(AND(D154="Receipt",OR(G154="C01",G154="C02",G154="C03",G154="C04",G154="C07")),WORKDAY(N154+IF(G154="C01",Assumptions!$C$14,Assumptions!$C$15)-1,1),N154)</f>
        <v>46363</v>
      </c>
      <c r="S154" s="11" t="n">
        <f aca="false">IF(INT((R154-Assumptions!$C$2)/7)+1&gt;Assumptions!$C$3,"after W13",INT((R154-Assumptions!$C$2)/7)+1)</f>
        <v>9</v>
      </c>
      <c r="T154" s="11" t="s">
        <v>282</v>
      </c>
      <c r="U154" s="11" t="s">
        <v>275</v>
      </c>
      <c r="V154" s="11" t="s">
        <v>283</v>
      </c>
    </row>
    <row r="155" customFormat="false" ht="15" hidden="false" customHeight="false" outlineLevel="0" collapsed="false">
      <c r="A155" s="11" t="s">
        <v>659</v>
      </c>
      <c r="B155" s="11" t="s">
        <v>49</v>
      </c>
      <c r="C155" s="11" t="s">
        <v>660</v>
      </c>
      <c r="D155" s="11" t="s">
        <v>278</v>
      </c>
      <c r="E155" s="11" t="s">
        <v>279</v>
      </c>
      <c r="F155" s="11" t="s">
        <v>335</v>
      </c>
      <c r="G155" s="11" t="s">
        <v>336</v>
      </c>
      <c r="H155" s="37" t="n">
        <v>3048</v>
      </c>
      <c r="I155" s="26" t="n">
        <v>1</v>
      </c>
      <c r="J155" s="37" t="n">
        <f aca="false">H155*I155</f>
        <v>3048</v>
      </c>
      <c r="K155" s="38" t="n">
        <v>46356</v>
      </c>
      <c r="L155" s="11" t="n">
        <v>0</v>
      </c>
      <c r="M155" s="11" t="n">
        <v>7</v>
      </c>
      <c r="N155" s="38" t="n">
        <v>46363</v>
      </c>
      <c r="O155" s="11" t="n">
        <f aca="false">IF(INT((N155-Assumptions!$C$2)/7)+1&gt;Assumptions!$C$3,"after W13",INT((N155-Assumptions!$C$2)/7)+1)</f>
        <v>9</v>
      </c>
      <c r="P155" s="38" t="n">
        <f aca="false">IF(AND(D155="Receipt",G155="C01"),WORKDAY(N155+Assumptions!$C$14-1,1),N155)</f>
        <v>46363</v>
      </c>
      <c r="Q155" s="11" t="n">
        <f aca="false">IF(INT((P155-Assumptions!$C$2)/7)+1&gt;Assumptions!$C$3,"after W13",INT((P155-Assumptions!$C$2)/7)+1)</f>
        <v>9</v>
      </c>
      <c r="R155" s="38" t="n">
        <f aca="false">IF(AND(D155="Receipt",OR(G155="C01",G155="C02",G155="C03",G155="C04",G155="C07")),WORKDAY(N155+IF(G155="C01",Assumptions!$C$14,Assumptions!$C$15)-1,1),N155)</f>
        <v>46363</v>
      </c>
      <c r="S155" s="11" t="n">
        <f aca="false">IF(INT((R155-Assumptions!$C$2)/7)+1&gt;Assumptions!$C$3,"after W13",INT((R155-Assumptions!$C$2)/7)+1)</f>
        <v>9</v>
      </c>
      <c r="T155" s="11" t="s">
        <v>538</v>
      </c>
      <c r="U155" s="11" t="s">
        <v>275</v>
      </c>
      <c r="V155" s="11" t="s">
        <v>283</v>
      </c>
    </row>
    <row r="156" customFormat="false" ht="15" hidden="false" customHeight="false" outlineLevel="0" collapsed="false">
      <c r="A156" s="11" t="s">
        <v>661</v>
      </c>
      <c r="B156" s="11" t="s">
        <v>49</v>
      </c>
      <c r="C156" s="11" t="s">
        <v>662</v>
      </c>
      <c r="D156" s="11" t="s">
        <v>278</v>
      </c>
      <c r="E156" s="11" t="s">
        <v>279</v>
      </c>
      <c r="F156" s="11" t="s">
        <v>335</v>
      </c>
      <c r="G156" s="11" t="s">
        <v>336</v>
      </c>
      <c r="H156" s="37" t="n">
        <v>13392</v>
      </c>
      <c r="I156" s="26" t="n">
        <v>1</v>
      </c>
      <c r="J156" s="37" t="n">
        <f aca="false">H156*I156</f>
        <v>13392</v>
      </c>
      <c r="K156" s="38" t="n">
        <v>46356</v>
      </c>
      <c r="L156" s="11" t="n">
        <v>0</v>
      </c>
      <c r="M156" s="11" t="n">
        <v>7</v>
      </c>
      <c r="N156" s="38" t="n">
        <v>46363</v>
      </c>
      <c r="O156" s="11" t="n">
        <f aca="false">IF(INT((N156-Assumptions!$C$2)/7)+1&gt;Assumptions!$C$3,"after W13",INT((N156-Assumptions!$C$2)/7)+1)</f>
        <v>9</v>
      </c>
      <c r="P156" s="38" t="n">
        <f aca="false">IF(AND(D156="Receipt",G156="C01"),WORKDAY(N156+Assumptions!$C$14-1,1),N156)</f>
        <v>46363</v>
      </c>
      <c r="Q156" s="11" t="n">
        <f aca="false">IF(INT((P156-Assumptions!$C$2)/7)+1&gt;Assumptions!$C$3,"after W13",INT((P156-Assumptions!$C$2)/7)+1)</f>
        <v>9</v>
      </c>
      <c r="R156" s="38" t="n">
        <f aca="false">IF(AND(D156="Receipt",OR(G156="C01",G156="C02",G156="C03",G156="C04",G156="C07")),WORKDAY(N156+IF(G156="C01",Assumptions!$C$14,Assumptions!$C$15)-1,1),N156)</f>
        <v>46363</v>
      </c>
      <c r="S156" s="11" t="n">
        <f aca="false">IF(INT((R156-Assumptions!$C$2)/7)+1&gt;Assumptions!$C$3,"after W13",INT((R156-Assumptions!$C$2)/7)+1)</f>
        <v>9</v>
      </c>
      <c r="T156" s="11" t="s">
        <v>538</v>
      </c>
      <c r="U156" s="11" t="s">
        <v>275</v>
      </c>
      <c r="V156" s="11" t="s">
        <v>283</v>
      </c>
    </row>
    <row r="157" customFormat="false" ht="15" hidden="false" customHeight="false" outlineLevel="0" collapsed="false">
      <c r="A157" s="11" t="s">
        <v>663</v>
      </c>
      <c r="B157" s="11" t="s">
        <v>49</v>
      </c>
      <c r="C157" s="11" t="s">
        <v>664</v>
      </c>
      <c r="D157" s="11" t="s">
        <v>278</v>
      </c>
      <c r="E157" s="11" t="s">
        <v>279</v>
      </c>
      <c r="F157" s="11" t="s">
        <v>280</v>
      </c>
      <c r="G157" s="11" t="s">
        <v>281</v>
      </c>
      <c r="H157" s="37" t="n">
        <v>12888</v>
      </c>
      <c r="I157" s="26" t="n">
        <v>1</v>
      </c>
      <c r="J157" s="37" t="n">
        <f aca="false">H157*I157</f>
        <v>12888</v>
      </c>
      <c r="K157" s="38" t="n">
        <v>46361</v>
      </c>
      <c r="L157" s="11" t="n">
        <v>0</v>
      </c>
      <c r="M157" s="11" t="n">
        <v>0</v>
      </c>
      <c r="N157" s="38" t="n">
        <v>46363</v>
      </c>
      <c r="O157" s="11" t="n">
        <f aca="false">IF(INT((N157-Assumptions!$C$2)/7)+1&gt;Assumptions!$C$3,"after W13",INT((N157-Assumptions!$C$2)/7)+1)</f>
        <v>9</v>
      </c>
      <c r="P157" s="38" t="n">
        <f aca="false">IF(AND(D157="Receipt",G157="C01"),WORKDAY(N157+Assumptions!$C$14-1,1),N157)</f>
        <v>46363</v>
      </c>
      <c r="Q157" s="11" t="n">
        <f aca="false">IF(INT((P157-Assumptions!$C$2)/7)+1&gt;Assumptions!$C$3,"after W13",INT((P157-Assumptions!$C$2)/7)+1)</f>
        <v>9</v>
      </c>
      <c r="R157" s="38" t="n">
        <f aca="false">IF(AND(D157="Receipt",OR(G157="C01",G157="C02",G157="C03",G157="C04",G157="C07")),WORKDAY(N157+IF(G157="C01",Assumptions!$C$14,Assumptions!$C$15)-1,1),N157)</f>
        <v>46363</v>
      </c>
      <c r="S157" s="11" t="n">
        <f aca="false">IF(INT((R157-Assumptions!$C$2)/7)+1&gt;Assumptions!$C$3,"after W13",INT((R157-Assumptions!$C$2)/7)+1)</f>
        <v>9</v>
      </c>
      <c r="T157" s="11" t="s">
        <v>538</v>
      </c>
      <c r="U157" s="11" t="s">
        <v>275</v>
      </c>
      <c r="V157" s="11" t="s">
        <v>283</v>
      </c>
    </row>
    <row r="158" customFormat="false" ht="15" hidden="false" customHeight="false" outlineLevel="0" collapsed="false">
      <c r="A158" s="11" t="s">
        <v>665</v>
      </c>
      <c r="B158" s="11" t="s">
        <v>49</v>
      </c>
      <c r="C158" s="11" t="s">
        <v>666</v>
      </c>
      <c r="D158" s="11" t="s">
        <v>278</v>
      </c>
      <c r="E158" s="11" t="s">
        <v>279</v>
      </c>
      <c r="F158" s="11" t="s">
        <v>280</v>
      </c>
      <c r="G158" s="11" t="s">
        <v>281</v>
      </c>
      <c r="H158" s="37" t="n">
        <v>9972</v>
      </c>
      <c r="I158" s="26" t="n">
        <v>1</v>
      </c>
      <c r="J158" s="37" t="n">
        <f aca="false">H158*I158</f>
        <v>9972</v>
      </c>
      <c r="K158" s="38" t="n">
        <v>46362</v>
      </c>
      <c r="L158" s="11" t="n">
        <v>0</v>
      </c>
      <c r="M158" s="11" t="n">
        <v>0</v>
      </c>
      <c r="N158" s="38" t="n">
        <v>46363</v>
      </c>
      <c r="O158" s="11" t="n">
        <f aca="false">IF(INT((N158-Assumptions!$C$2)/7)+1&gt;Assumptions!$C$3,"after W13",INT((N158-Assumptions!$C$2)/7)+1)</f>
        <v>9</v>
      </c>
      <c r="P158" s="38" t="n">
        <f aca="false">IF(AND(D158="Receipt",G158="C01"),WORKDAY(N158+Assumptions!$C$14-1,1),N158)</f>
        <v>46363</v>
      </c>
      <c r="Q158" s="11" t="n">
        <f aca="false">IF(INT((P158-Assumptions!$C$2)/7)+1&gt;Assumptions!$C$3,"after W13",INT((P158-Assumptions!$C$2)/7)+1)</f>
        <v>9</v>
      </c>
      <c r="R158" s="38" t="n">
        <f aca="false">IF(AND(D158="Receipt",OR(G158="C01",G158="C02",G158="C03",G158="C04",G158="C07")),WORKDAY(N158+IF(G158="C01",Assumptions!$C$14,Assumptions!$C$15)-1,1),N158)</f>
        <v>46363</v>
      </c>
      <c r="S158" s="11" t="n">
        <f aca="false">IF(INT((R158-Assumptions!$C$2)/7)+1&gt;Assumptions!$C$3,"after W13",INT((R158-Assumptions!$C$2)/7)+1)</f>
        <v>9</v>
      </c>
      <c r="T158" s="11" t="s">
        <v>538</v>
      </c>
      <c r="U158" s="11" t="s">
        <v>275</v>
      </c>
      <c r="V158" s="11" t="s">
        <v>283</v>
      </c>
    </row>
    <row r="159" customFormat="false" ht="15" hidden="false" customHeight="false" outlineLevel="0" collapsed="false">
      <c r="A159" s="11" t="s">
        <v>667</v>
      </c>
      <c r="B159" s="11" t="s">
        <v>49</v>
      </c>
      <c r="C159" s="11" t="s">
        <v>668</v>
      </c>
      <c r="D159" s="11" t="s">
        <v>278</v>
      </c>
      <c r="E159" s="11" t="s">
        <v>279</v>
      </c>
      <c r="F159" s="11" t="s">
        <v>280</v>
      </c>
      <c r="G159" s="11" t="s">
        <v>281</v>
      </c>
      <c r="H159" s="37" t="n">
        <v>8148</v>
      </c>
      <c r="I159" s="26" t="n">
        <v>1</v>
      </c>
      <c r="J159" s="37" t="n">
        <f aca="false">H159*I159</f>
        <v>8148</v>
      </c>
      <c r="K159" s="38" t="n">
        <v>46362</v>
      </c>
      <c r="L159" s="11" t="n">
        <v>0</v>
      </c>
      <c r="M159" s="11" t="n">
        <v>0</v>
      </c>
      <c r="N159" s="38" t="n">
        <v>46363</v>
      </c>
      <c r="O159" s="11" t="n">
        <f aca="false">IF(INT((N159-Assumptions!$C$2)/7)+1&gt;Assumptions!$C$3,"after W13",INT((N159-Assumptions!$C$2)/7)+1)</f>
        <v>9</v>
      </c>
      <c r="P159" s="38" t="n">
        <f aca="false">IF(AND(D159="Receipt",G159="C01"),WORKDAY(N159+Assumptions!$C$14-1,1),N159)</f>
        <v>46363</v>
      </c>
      <c r="Q159" s="11" t="n">
        <f aca="false">IF(INT((P159-Assumptions!$C$2)/7)+1&gt;Assumptions!$C$3,"after W13",INT((P159-Assumptions!$C$2)/7)+1)</f>
        <v>9</v>
      </c>
      <c r="R159" s="38" t="n">
        <f aca="false">IF(AND(D159="Receipt",OR(G159="C01",G159="C02",G159="C03",G159="C04",G159="C07")),WORKDAY(N159+IF(G159="C01",Assumptions!$C$14,Assumptions!$C$15)-1,1),N159)</f>
        <v>46363</v>
      </c>
      <c r="S159" s="11" t="n">
        <f aca="false">IF(INT((R159-Assumptions!$C$2)/7)+1&gt;Assumptions!$C$3,"after W13",INT((R159-Assumptions!$C$2)/7)+1)</f>
        <v>9</v>
      </c>
      <c r="T159" s="11" t="s">
        <v>538</v>
      </c>
      <c r="U159" s="11" t="s">
        <v>275</v>
      </c>
      <c r="V159" s="11" t="s">
        <v>283</v>
      </c>
    </row>
    <row r="160" customFormat="false" ht="15" hidden="false" customHeight="false" outlineLevel="0" collapsed="false">
      <c r="A160" s="11" t="s">
        <v>669</v>
      </c>
      <c r="B160" s="11" t="s">
        <v>49</v>
      </c>
      <c r="C160" s="11" t="s">
        <v>670</v>
      </c>
      <c r="D160" s="11" t="s">
        <v>278</v>
      </c>
      <c r="E160" s="11" t="s">
        <v>279</v>
      </c>
      <c r="F160" s="11" t="s">
        <v>280</v>
      </c>
      <c r="G160" s="11" t="s">
        <v>281</v>
      </c>
      <c r="H160" s="37" t="n">
        <v>4944</v>
      </c>
      <c r="I160" s="26" t="n">
        <v>1</v>
      </c>
      <c r="J160" s="37" t="n">
        <f aca="false">H160*I160</f>
        <v>4944</v>
      </c>
      <c r="K160" s="38" t="n">
        <v>46363</v>
      </c>
      <c r="L160" s="11" t="n">
        <v>0</v>
      </c>
      <c r="M160" s="11" t="n">
        <v>0</v>
      </c>
      <c r="N160" s="38" t="n">
        <v>46363</v>
      </c>
      <c r="O160" s="11" t="n">
        <f aca="false">IF(INT((N160-Assumptions!$C$2)/7)+1&gt;Assumptions!$C$3,"after W13",INT((N160-Assumptions!$C$2)/7)+1)</f>
        <v>9</v>
      </c>
      <c r="P160" s="38" t="n">
        <f aca="false">IF(AND(D160="Receipt",G160="C01"),WORKDAY(N160+Assumptions!$C$14-1,1),N160)</f>
        <v>46363</v>
      </c>
      <c r="Q160" s="11" t="n">
        <f aca="false">IF(INT((P160-Assumptions!$C$2)/7)+1&gt;Assumptions!$C$3,"after W13",INT((P160-Assumptions!$C$2)/7)+1)</f>
        <v>9</v>
      </c>
      <c r="R160" s="38" t="n">
        <f aca="false">IF(AND(D160="Receipt",OR(G160="C01",G160="C02",G160="C03",G160="C04",G160="C07")),WORKDAY(N160+IF(G160="C01",Assumptions!$C$14,Assumptions!$C$15)-1,1),N160)</f>
        <v>46363</v>
      </c>
      <c r="S160" s="11" t="n">
        <f aca="false">IF(INT((R160-Assumptions!$C$2)/7)+1&gt;Assumptions!$C$3,"after W13",INT((R160-Assumptions!$C$2)/7)+1)</f>
        <v>9</v>
      </c>
      <c r="T160" s="11" t="s">
        <v>538</v>
      </c>
      <c r="U160" s="11" t="s">
        <v>275</v>
      </c>
      <c r="V160" s="11" t="s">
        <v>283</v>
      </c>
    </row>
    <row r="161" customFormat="false" ht="15" hidden="false" customHeight="false" outlineLevel="0" collapsed="false">
      <c r="A161" s="11" t="s">
        <v>671</v>
      </c>
      <c r="B161" s="11" t="s">
        <v>55</v>
      </c>
      <c r="C161" s="11" t="s">
        <v>672</v>
      </c>
      <c r="D161" s="11" t="s">
        <v>271</v>
      </c>
      <c r="E161" s="11" t="s">
        <v>480</v>
      </c>
      <c r="F161" s="11" t="s">
        <v>481</v>
      </c>
      <c r="G161" s="11"/>
      <c r="H161" s="37" t="n">
        <v>-14160</v>
      </c>
      <c r="I161" s="26" t="n">
        <v>1</v>
      </c>
      <c r="J161" s="37" t="n">
        <f aca="false">H161*I161</f>
        <v>-14160</v>
      </c>
      <c r="K161" s="38" t="n">
        <v>46364</v>
      </c>
      <c r="L161" s="11"/>
      <c r="M161" s="11"/>
      <c r="N161" s="38" t="n">
        <v>46364</v>
      </c>
      <c r="O161" s="11" t="n">
        <f aca="false">IF(INT((N161-Assumptions!$C$2)/7)+1&gt;Assumptions!$C$3,"after W13",INT((N161-Assumptions!$C$2)/7)+1)</f>
        <v>9</v>
      </c>
      <c r="P161" s="38" t="n">
        <f aca="false">IF(AND(D161="Receipt",G161="C01"),WORKDAY(N161+Assumptions!$C$14-1,1),N161)</f>
        <v>46364</v>
      </c>
      <c r="Q161" s="11" t="n">
        <f aca="false">IF(INT((P161-Assumptions!$C$2)/7)+1&gt;Assumptions!$C$3,"after W13",INT((P161-Assumptions!$C$2)/7)+1)</f>
        <v>9</v>
      </c>
      <c r="R161" s="38" t="n">
        <f aca="false">IF(AND(D161="Receipt",OR(G161="C01",G161="C02",G161="C03",G161="C04",G161="C07")),WORKDAY(N161+IF(G161="C01",Assumptions!$C$14,Assumptions!$C$15)-1,1),N161)</f>
        <v>46364</v>
      </c>
      <c r="S161" s="11" t="n">
        <f aca="false">IF(INT((R161-Assumptions!$C$2)/7)+1&gt;Assumptions!$C$3,"after W13",INT((R161-Assumptions!$C$2)/7)+1)</f>
        <v>9</v>
      </c>
      <c r="T161" s="11" t="s">
        <v>274</v>
      </c>
      <c r="U161" s="11" t="s">
        <v>275</v>
      </c>
      <c r="V161" s="11"/>
    </row>
    <row r="162" customFormat="false" ht="15" hidden="false" customHeight="false" outlineLevel="0" collapsed="false">
      <c r="A162" s="11" t="s">
        <v>673</v>
      </c>
      <c r="B162" s="11" t="s">
        <v>55</v>
      </c>
      <c r="C162" s="11" t="s">
        <v>674</v>
      </c>
      <c r="D162" s="11" t="s">
        <v>271</v>
      </c>
      <c r="E162" s="11" t="s">
        <v>291</v>
      </c>
      <c r="F162" s="11" t="s">
        <v>292</v>
      </c>
      <c r="G162" s="11"/>
      <c r="H162" s="37" t="n">
        <v>-4700</v>
      </c>
      <c r="I162" s="26" t="n">
        <v>1</v>
      </c>
      <c r="J162" s="37" t="n">
        <f aca="false">H162*I162</f>
        <v>-4700</v>
      </c>
      <c r="K162" s="38" t="n">
        <v>46365</v>
      </c>
      <c r="L162" s="11"/>
      <c r="M162" s="11"/>
      <c r="N162" s="38" t="n">
        <v>46365</v>
      </c>
      <c r="O162" s="11" t="n">
        <f aca="false">IF(INT((N162-Assumptions!$C$2)/7)+1&gt;Assumptions!$C$3,"after W13",INT((N162-Assumptions!$C$2)/7)+1)</f>
        <v>9</v>
      </c>
      <c r="P162" s="38" t="n">
        <f aca="false">IF(AND(D162="Receipt",G162="C01"),WORKDAY(N162+Assumptions!$C$14-1,1),N162)</f>
        <v>46365</v>
      </c>
      <c r="Q162" s="11" t="n">
        <f aca="false">IF(INT((P162-Assumptions!$C$2)/7)+1&gt;Assumptions!$C$3,"after W13",INT((P162-Assumptions!$C$2)/7)+1)</f>
        <v>9</v>
      </c>
      <c r="R162" s="38" t="n">
        <f aca="false">IF(AND(D162="Receipt",OR(G162="C01",G162="C02",G162="C03",G162="C04",G162="C07")),WORKDAY(N162+IF(G162="C01",Assumptions!$C$14,Assumptions!$C$15)-1,1),N162)</f>
        <v>46365</v>
      </c>
      <c r="S162" s="11" t="n">
        <f aca="false">IF(INT((R162-Assumptions!$C$2)/7)+1&gt;Assumptions!$C$3,"after W13",INT((R162-Assumptions!$C$2)/7)+1)</f>
        <v>9</v>
      </c>
      <c r="T162" s="11" t="s">
        <v>293</v>
      </c>
      <c r="U162" s="11" t="s">
        <v>275</v>
      </c>
      <c r="V162" s="11" t="s">
        <v>294</v>
      </c>
    </row>
    <row r="163" customFormat="false" ht="15" hidden="false" customHeight="false" outlineLevel="0" collapsed="false">
      <c r="A163" s="11" t="s">
        <v>675</v>
      </c>
      <c r="B163" s="11" t="s">
        <v>47</v>
      </c>
      <c r="C163" s="11" t="s">
        <v>676</v>
      </c>
      <c r="D163" s="11" t="s">
        <v>278</v>
      </c>
      <c r="E163" s="11" t="s">
        <v>286</v>
      </c>
      <c r="F163" s="11" t="s">
        <v>331</v>
      </c>
      <c r="G163" s="11" t="s">
        <v>332</v>
      </c>
      <c r="H163" s="37" t="n">
        <v>9132</v>
      </c>
      <c r="I163" s="26" t="n">
        <v>1</v>
      </c>
      <c r="J163" s="37" t="n">
        <f aca="false">H163*I163</f>
        <v>9132</v>
      </c>
      <c r="K163" s="38" t="n">
        <v>46340</v>
      </c>
      <c r="L163" s="11" t="n">
        <v>0</v>
      </c>
      <c r="M163" s="11" t="n">
        <v>25</v>
      </c>
      <c r="N163" s="38" t="n">
        <v>46365</v>
      </c>
      <c r="O163" s="11" t="n">
        <f aca="false">IF(INT((N163-Assumptions!$C$2)/7)+1&gt;Assumptions!$C$3,"after W13",INT((N163-Assumptions!$C$2)/7)+1)</f>
        <v>9</v>
      </c>
      <c r="P163" s="38" t="n">
        <f aca="false">IF(AND(D163="Receipt",G163="C01"),WORKDAY(N163+Assumptions!$C$14-1,1),N163)</f>
        <v>46365</v>
      </c>
      <c r="Q163" s="11" t="n">
        <f aca="false">IF(INT((P163-Assumptions!$C$2)/7)+1&gt;Assumptions!$C$3,"after W13",INT((P163-Assumptions!$C$2)/7)+1)</f>
        <v>9</v>
      </c>
      <c r="R163" s="38" t="n">
        <f aca="false">IF(AND(D163="Receipt",OR(G163="C01",G163="C02",G163="C03",G163="C04",G163="C07")),WORKDAY(N163+IF(G163="C01",Assumptions!$C$14,Assumptions!$C$15)-1,1),N163)</f>
        <v>46380</v>
      </c>
      <c r="S163" s="11" t="n">
        <f aca="false">IF(INT((R163-Assumptions!$C$2)/7)+1&gt;Assumptions!$C$3,"after W13",INT((R163-Assumptions!$C$2)/7)+1)</f>
        <v>11</v>
      </c>
      <c r="T163" s="11" t="s">
        <v>282</v>
      </c>
      <c r="U163" s="11" t="s">
        <v>275</v>
      </c>
      <c r="V163" s="11" t="s">
        <v>283</v>
      </c>
    </row>
    <row r="164" customFormat="false" ht="15" hidden="false" customHeight="false" outlineLevel="0" collapsed="false">
      <c r="A164" s="11" t="s">
        <v>677</v>
      </c>
      <c r="B164" s="11" t="s">
        <v>53</v>
      </c>
      <c r="C164" s="11" t="s">
        <v>678</v>
      </c>
      <c r="D164" s="11" t="s">
        <v>271</v>
      </c>
      <c r="E164" s="11" t="s">
        <v>307</v>
      </c>
      <c r="F164" s="11" t="s">
        <v>458</v>
      </c>
      <c r="G164" s="11"/>
      <c r="H164" s="37" t="n">
        <v>-41299.78</v>
      </c>
      <c r="I164" s="26" t="n">
        <v>1</v>
      </c>
      <c r="J164" s="37" t="n">
        <f aca="false">H164*I164</f>
        <v>-41299.78</v>
      </c>
      <c r="K164" s="38" t="n">
        <v>46367</v>
      </c>
      <c r="L164" s="11"/>
      <c r="M164" s="11"/>
      <c r="N164" s="38" t="n">
        <v>46366</v>
      </c>
      <c r="O164" s="11" t="n">
        <f aca="false">IF(INT((N164-Assumptions!$C$2)/7)+1&gt;Assumptions!$C$3,"after W13",INT((N164-Assumptions!$C$2)/7)+1)</f>
        <v>9</v>
      </c>
      <c r="P164" s="38" t="n">
        <f aca="false">IF(AND(D164="Receipt",G164="C01"),WORKDAY(N164+Assumptions!$C$14-1,1),N164)</f>
        <v>46366</v>
      </c>
      <c r="Q164" s="11" t="n">
        <f aca="false">IF(INT((P164-Assumptions!$C$2)/7)+1&gt;Assumptions!$C$3,"after W13",INT((P164-Assumptions!$C$2)/7)+1)</f>
        <v>9</v>
      </c>
      <c r="R164" s="38" t="n">
        <f aca="false">IF(AND(D164="Receipt",OR(G164="C01",G164="C02",G164="C03",G164="C04",G164="C07")),WORKDAY(N164+IF(G164="C01",Assumptions!$C$14,Assumptions!$C$15)-1,1),N164)</f>
        <v>46366</v>
      </c>
      <c r="S164" s="11" t="n">
        <f aca="false">IF(INT((R164-Assumptions!$C$2)/7)+1&gt;Assumptions!$C$3,"after W13",INT((R164-Assumptions!$C$2)/7)+1)</f>
        <v>9</v>
      </c>
      <c r="T164" s="11" t="s">
        <v>465</v>
      </c>
      <c r="U164" s="11" t="s">
        <v>275</v>
      </c>
      <c r="V164" s="11" t="s">
        <v>459</v>
      </c>
    </row>
    <row r="165" customFormat="false" ht="15" hidden="false" customHeight="false" outlineLevel="0" collapsed="false">
      <c r="A165" s="11" t="s">
        <v>679</v>
      </c>
      <c r="B165" s="11" t="s">
        <v>53</v>
      </c>
      <c r="C165" s="11" t="s">
        <v>680</v>
      </c>
      <c r="D165" s="11" t="s">
        <v>271</v>
      </c>
      <c r="E165" s="11" t="s">
        <v>307</v>
      </c>
      <c r="F165" s="11" t="s">
        <v>464</v>
      </c>
      <c r="G165" s="11"/>
      <c r="H165" s="37" t="n">
        <v>-12890.35</v>
      </c>
      <c r="I165" s="26" t="n">
        <v>1</v>
      </c>
      <c r="J165" s="37" t="n">
        <f aca="false">H165*I165</f>
        <v>-12890.35</v>
      </c>
      <c r="K165" s="38" t="n">
        <v>46368</v>
      </c>
      <c r="L165" s="11"/>
      <c r="M165" s="11"/>
      <c r="N165" s="38" t="n">
        <v>46366</v>
      </c>
      <c r="O165" s="11" t="n">
        <f aca="false">IF(INT((N165-Assumptions!$C$2)/7)+1&gt;Assumptions!$C$3,"after W13",INT((N165-Assumptions!$C$2)/7)+1)</f>
        <v>9</v>
      </c>
      <c r="P165" s="38" t="n">
        <f aca="false">IF(AND(D165="Receipt",G165="C01"),WORKDAY(N165+Assumptions!$C$14-1,1),N165)</f>
        <v>46366</v>
      </c>
      <c r="Q165" s="11" t="n">
        <f aca="false">IF(INT((P165-Assumptions!$C$2)/7)+1&gt;Assumptions!$C$3,"after W13",INT((P165-Assumptions!$C$2)/7)+1)</f>
        <v>9</v>
      </c>
      <c r="R165" s="38" t="n">
        <f aca="false">IF(AND(D165="Receipt",OR(G165="C01",G165="C02",G165="C03",G165="C04",G165="C07")),WORKDAY(N165+IF(G165="C01",Assumptions!$C$14,Assumptions!$C$15)-1,1),N165)</f>
        <v>46366</v>
      </c>
      <c r="S165" s="11" t="n">
        <f aca="false">IF(INT((R165-Assumptions!$C$2)/7)+1&gt;Assumptions!$C$3,"after W13",INT((R165-Assumptions!$C$2)/7)+1)</f>
        <v>9</v>
      </c>
      <c r="T165" s="11" t="s">
        <v>465</v>
      </c>
      <c r="U165" s="11" t="s">
        <v>275</v>
      </c>
      <c r="V165" s="11" t="s">
        <v>466</v>
      </c>
    </row>
    <row r="166" customFormat="false" ht="15" hidden="false" customHeight="false" outlineLevel="0" collapsed="false">
      <c r="A166" s="11" t="s">
        <v>681</v>
      </c>
      <c r="B166" s="11" t="s">
        <v>53</v>
      </c>
      <c r="C166" s="11" t="s">
        <v>682</v>
      </c>
      <c r="D166" s="11" t="s">
        <v>271</v>
      </c>
      <c r="E166" s="11" t="s">
        <v>307</v>
      </c>
      <c r="F166" s="11" t="s">
        <v>313</v>
      </c>
      <c r="G166" s="11"/>
      <c r="H166" s="37" t="n">
        <v>-5324.41</v>
      </c>
      <c r="I166" s="26" t="n">
        <v>1</v>
      </c>
      <c r="J166" s="37" t="n">
        <f aca="false">H166*I166</f>
        <v>-5324.41</v>
      </c>
      <c r="K166" s="38" t="n">
        <v>46372</v>
      </c>
      <c r="L166" s="11"/>
      <c r="M166" s="11"/>
      <c r="N166" s="38" t="n">
        <v>46366</v>
      </c>
      <c r="O166" s="11" t="n">
        <f aca="false">IF(INT((N166-Assumptions!$C$2)/7)+1&gt;Assumptions!$C$3,"after W13",INT((N166-Assumptions!$C$2)/7)+1)</f>
        <v>9</v>
      </c>
      <c r="P166" s="38" t="n">
        <f aca="false">IF(AND(D166="Receipt",G166="C01"),WORKDAY(N166+Assumptions!$C$14-1,1),N166)</f>
        <v>46366</v>
      </c>
      <c r="Q166" s="11" t="n">
        <f aca="false">IF(INT((P166-Assumptions!$C$2)/7)+1&gt;Assumptions!$C$3,"after W13",INT((P166-Assumptions!$C$2)/7)+1)</f>
        <v>9</v>
      </c>
      <c r="R166" s="38" t="n">
        <f aca="false">IF(AND(D166="Receipt",OR(G166="C01",G166="C02",G166="C03",G166="C04",G166="C07")),WORKDAY(N166+IF(G166="C01",Assumptions!$C$14,Assumptions!$C$15)-1,1),N166)</f>
        <v>46366</v>
      </c>
      <c r="S166" s="11" t="n">
        <f aca="false">IF(INT((R166-Assumptions!$C$2)/7)+1&gt;Assumptions!$C$3,"after W13",INT((R166-Assumptions!$C$2)/7)+1)</f>
        <v>9</v>
      </c>
      <c r="T166" s="11" t="s">
        <v>465</v>
      </c>
      <c r="U166" s="11" t="s">
        <v>275</v>
      </c>
      <c r="V166" s="11" t="s">
        <v>314</v>
      </c>
    </row>
    <row r="167" customFormat="false" ht="15" hidden="false" customHeight="false" outlineLevel="0" collapsed="false">
      <c r="A167" s="11" t="s">
        <v>683</v>
      </c>
      <c r="B167" s="11" t="s">
        <v>55</v>
      </c>
      <c r="C167" s="11" t="s">
        <v>684</v>
      </c>
      <c r="D167" s="11" t="s">
        <v>271</v>
      </c>
      <c r="E167" s="11" t="s">
        <v>272</v>
      </c>
      <c r="F167" s="11" t="s">
        <v>273</v>
      </c>
      <c r="G167" s="11"/>
      <c r="H167" s="37" t="n">
        <v>-3840</v>
      </c>
      <c r="I167" s="26" t="n">
        <v>1</v>
      </c>
      <c r="J167" s="37" t="n">
        <f aca="false">H167*I167</f>
        <v>-3840</v>
      </c>
      <c r="K167" s="38" t="n">
        <v>46366</v>
      </c>
      <c r="L167" s="11"/>
      <c r="M167" s="11"/>
      <c r="N167" s="38" t="n">
        <v>46366</v>
      </c>
      <c r="O167" s="11" t="n">
        <f aca="false">IF(INT((N167-Assumptions!$C$2)/7)+1&gt;Assumptions!$C$3,"after W13",INT((N167-Assumptions!$C$2)/7)+1)</f>
        <v>9</v>
      </c>
      <c r="P167" s="38" t="n">
        <f aca="false">IF(AND(D167="Receipt",G167="C01"),WORKDAY(N167+Assumptions!$C$14-1,1),N167)</f>
        <v>46366</v>
      </c>
      <c r="Q167" s="11" t="n">
        <f aca="false">IF(INT((P167-Assumptions!$C$2)/7)+1&gt;Assumptions!$C$3,"after W13",INT((P167-Assumptions!$C$2)/7)+1)</f>
        <v>9</v>
      </c>
      <c r="R167" s="38" t="n">
        <f aca="false">IF(AND(D167="Receipt",OR(G167="C01",G167="C02",G167="C03",G167="C04",G167="C07")),WORKDAY(N167+IF(G167="C01",Assumptions!$C$14,Assumptions!$C$15)-1,1),N167)</f>
        <v>46366</v>
      </c>
      <c r="S167" s="11" t="n">
        <f aca="false">IF(INT((R167-Assumptions!$C$2)/7)+1&gt;Assumptions!$C$3,"after W13",INT((R167-Assumptions!$C$2)/7)+1)</f>
        <v>9</v>
      </c>
      <c r="T167" s="11" t="s">
        <v>274</v>
      </c>
      <c r="U167" s="11" t="s">
        <v>275</v>
      </c>
      <c r="V167" s="11"/>
    </row>
    <row r="168" customFormat="false" ht="15" hidden="false" customHeight="false" outlineLevel="0" collapsed="false">
      <c r="A168" s="11" t="s">
        <v>685</v>
      </c>
      <c r="B168" s="11" t="s">
        <v>49</v>
      </c>
      <c r="C168" s="11" t="s">
        <v>686</v>
      </c>
      <c r="D168" s="11" t="s">
        <v>278</v>
      </c>
      <c r="E168" s="11" t="s">
        <v>322</v>
      </c>
      <c r="F168" s="11" t="s">
        <v>323</v>
      </c>
      <c r="G168" s="11" t="s">
        <v>324</v>
      </c>
      <c r="H168" s="37" t="n">
        <v>3804</v>
      </c>
      <c r="I168" s="26" t="n">
        <v>1</v>
      </c>
      <c r="J168" s="37" t="n">
        <f aca="false">H168*I168</f>
        <v>3804</v>
      </c>
      <c r="K168" s="38" t="n">
        <v>46354</v>
      </c>
      <c r="L168" s="11" t="n">
        <v>0</v>
      </c>
      <c r="M168" s="11" t="n">
        <v>12</v>
      </c>
      <c r="N168" s="38" t="n">
        <v>46366</v>
      </c>
      <c r="O168" s="11" t="n">
        <f aca="false">IF(INT((N168-Assumptions!$C$2)/7)+1&gt;Assumptions!$C$3,"after W13",INT((N168-Assumptions!$C$2)/7)+1)</f>
        <v>9</v>
      </c>
      <c r="P168" s="38" t="n">
        <f aca="false">IF(AND(D168="Receipt",G168="C01"),WORKDAY(N168+Assumptions!$C$14-1,1),N168)</f>
        <v>46366</v>
      </c>
      <c r="Q168" s="11" t="n">
        <f aca="false">IF(INT((P168-Assumptions!$C$2)/7)+1&gt;Assumptions!$C$3,"after W13",INT((P168-Assumptions!$C$2)/7)+1)</f>
        <v>9</v>
      </c>
      <c r="R168" s="38" t="n">
        <f aca="false">IF(AND(D168="Receipt",OR(G168="C01",G168="C02",G168="C03",G168="C04",G168="C07")),WORKDAY(N168+IF(G168="C01",Assumptions!$C$14,Assumptions!$C$15)-1,1),N168)</f>
        <v>46366</v>
      </c>
      <c r="S168" s="11" t="n">
        <f aca="false">IF(INT((R168-Assumptions!$C$2)/7)+1&gt;Assumptions!$C$3,"after W13",INT((R168-Assumptions!$C$2)/7)+1)</f>
        <v>9</v>
      </c>
      <c r="T168" s="11" t="s">
        <v>538</v>
      </c>
      <c r="U168" s="11" t="s">
        <v>275</v>
      </c>
      <c r="V168" s="11" t="s">
        <v>283</v>
      </c>
    </row>
    <row r="169" customFormat="false" ht="15" hidden="false" customHeight="false" outlineLevel="0" collapsed="false">
      <c r="A169" s="11" t="s">
        <v>687</v>
      </c>
      <c r="B169" s="11" t="s">
        <v>47</v>
      </c>
      <c r="C169" s="11" t="s">
        <v>688</v>
      </c>
      <c r="D169" s="11" t="s">
        <v>278</v>
      </c>
      <c r="E169" s="11" t="s">
        <v>286</v>
      </c>
      <c r="F169" s="11" t="s">
        <v>331</v>
      </c>
      <c r="G169" s="11" t="s">
        <v>332</v>
      </c>
      <c r="H169" s="37" t="n">
        <v>5520</v>
      </c>
      <c r="I169" s="26" t="n">
        <v>1</v>
      </c>
      <c r="J169" s="37" t="n">
        <f aca="false">H169*I169</f>
        <v>5520</v>
      </c>
      <c r="K169" s="38" t="n">
        <v>46342</v>
      </c>
      <c r="L169" s="11" t="n">
        <v>0</v>
      </c>
      <c r="M169" s="11" t="n">
        <v>25</v>
      </c>
      <c r="N169" s="38" t="n">
        <v>46367</v>
      </c>
      <c r="O169" s="11" t="n">
        <f aca="false">IF(INT((N169-Assumptions!$C$2)/7)+1&gt;Assumptions!$C$3,"after W13",INT((N169-Assumptions!$C$2)/7)+1)</f>
        <v>9</v>
      </c>
      <c r="P169" s="38" t="n">
        <f aca="false">IF(AND(D169="Receipt",G169="C01"),WORKDAY(N169+Assumptions!$C$14-1,1),N169)</f>
        <v>46367</v>
      </c>
      <c r="Q169" s="11" t="n">
        <f aca="false">IF(INT((P169-Assumptions!$C$2)/7)+1&gt;Assumptions!$C$3,"after W13",INT((P169-Assumptions!$C$2)/7)+1)</f>
        <v>9</v>
      </c>
      <c r="R169" s="38" t="n">
        <f aca="false">IF(AND(D169="Receipt",OR(G169="C01",G169="C02",G169="C03",G169="C04",G169="C07")),WORKDAY(N169+IF(G169="C01",Assumptions!$C$14,Assumptions!$C$15)-1,1),N169)</f>
        <v>46384</v>
      </c>
      <c r="S169" s="11" t="n">
        <f aca="false">IF(INT((R169-Assumptions!$C$2)/7)+1&gt;Assumptions!$C$3,"after W13",INT((R169-Assumptions!$C$2)/7)+1)</f>
        <v>12</v>
      </c>
      <c r="T169" s="11" t="s">
        <v>282</v>
      </c>
      <c r="U169" s="11" t="s">
        <v>275</v>
      </c>
      <c r="V169" s="11" t="s">
        <v>283</v>
      </c>
    </row>
    <row r="170" customFormat="false" ht="15" hidden="false" customHeight="false" outlineLevel="0" collapsed="false">
      <c r="A170" s="11" t="s">
        <v>689</v>
      </c>
      <c r="B170" s="11" t="s">
        <v>47</v>
      </c>
      <c r="C170" s="11" t="s">
        <v>690</v>
      </c>
      <c r="D170" s="11" t="s">
        <v>278</v>
      </c>
      <c r="E170" s="11" t="s">
        <v>286</v>
      </c>
      <c r="F170" s="11" t="s">
        <v>331</v>
      </c>
      <c r="G170" s="11" t="s">
        <v>332</v>
      </c>
      <c r="H170" s="37" t="n">
        <v>7176</v>
      </c>
      <c r="I170" s="26" t="n">
        <v>1</v>
      </c>
      <c r="J170" s="37" t="n">
        <f aca="false">H170*I170</f>
        <v>7176</v>
      </c>
      <c r="K170" s="38" t="n">
        <v>46342</v>
      </c>
      <c r="L170" s="11" t="n">
        <v>0</v>
      </c>
      <c r="M170" s="11" t="n">
        <v>25</v>
      </c>
      <c r="N170" s="38" t="n">
        <v>46367</v>
      </c>
      <c r="O170" s="11" t="n">
        <f aca="false">IF(INT((N170-Assumptions!$C$2)/7)+1&gt;Assumptions!$C$3,"after W13",INT((N170-Assumptions!$C$2)/7)+1)</f>
        <v>9</v>
      </c>
      <c r="P170" s="38" t="n">
        <f aca="false">IF(AND(D170="Receipt",G170="C01"),WORKDAY(N170+Assumptions!$C$14-1,1),N170)</f>
        <v>46367</v>
      </c>
      <c r="Q170" s="11" t="n">
        <f aca="false">IF(INT((P170-Assumptions!$C$2)/7)+1&gt;Assumptions!$C$3,"after W13",INT((P170-Assumptions!$C$2)/7)+1)</f>
        <v>9</v>
      </c>
      <c r="R170" s="38" t="n">
        <f aca="false">IF(AND(D170="Receipt",OR(G170="C01",G170="C02",G170="C03",G170="C04",G170="C07")),WORKDAY(N170+IF(G170="C01",Assumptions!$C$14,Assumptions!$C$15)-1,1),N170)</f>
        <v>46384</v>
      </c>
      <c r="S170" s="11" t="n">
        <f aca="false">IF(INT((R170-Assumptions!$C$2)/7)+1&gt;Assumptions!$C$3,"after W13",INT((R170-Assumptions!$C$2)/7)+1)</f>
        <v>12</v>
      </c>
      <c r="T170" s="11" t="s">
        <v>282</v>
      </c>
      <c r="U170" s="11" t="s">
        <v>275</v>
      </c>
      <c r="V170" s="11" t="s">
        <v>283</v>
      </c>
    </row>
    <row r="171" customFormat="false" ht="15" hidden="false" customHeight="false" outlineLevel="0" collapsed="false">
      <c r="A171" s="11" t="s">
        <v>691</v>
      </c>
      <c r="B171" s="11" t="s">
        <v>47</v>
      </c>
      <c r="C171" s="11" t="s">
        <v>692</v>
      </c>
      <c r="D171" s="11" t="s">
        <v>278</v>
      </c>
      <c r="E171" s="11" t="s">
        <v>286</v>
      </c>
      <c r="F171" s="11" t="s">
        <v>349</v>
      </c>
      <c r="G171" s="11" t="s">
        <v>350</v>
      </c>
      <c r="H171" s="37" t="n">
        <v>12360</v>
      </c>
      <c r="I171" s="26" t="n">
        <v>1</v>
      </c>
      <c r="J171" s="37" t="n">
        <f aca="false">H171*I171</f>
        <v>12360</v>
      </c>
      <c r="K171" s="38" t="n">
        <v>46357</v>
      </c>
      <c r="L171" s="11" t="n">
        <v>0</v>
      </c>
      <c r="M171" s="11" t="n">
        <v>10</v>
      </c>
      <c r="N171" s="38" t="n">
        <v>46367</v>
      </c>
      <c r="O171" s="11" t="n">
        <f aca="false">IF(INT((N171-Assumptions!$C$2)/7)+1&gt;Assumptions!$C$3,"after W13",INT((N171-Assumptions!$C$2)/7)+1)</f>
        <v>9</v>
      </c>
      <c r="P171" s="38" t="n">
        <f aca="false">IF(AND(D171="Receipt",G171="C01"),WORKDAY(N171+Assumptions!$C$14-1,1),N171)</f>
        <v>46367</v>
      </c>
      <c r="Q171" s="11" t="n">
        <f aca="false">IF(INT((P171-Assumptions!$C$2)/7)+1&gt;Assumptions!$C$3,"after W13",INT((P171-Assumptions!$C$2)/7)+1)</f>
        <v>9</v>
      </c>
      <c r="R171" s="38" t="n">
        <f aca="false">IF(AND(D171="Receipt",OR(G171="C01",G171="C02",G171="C03",G171="C04",G171="C07")),WORKDAY(N171+IF(G171="C01",Assumptions!$C$14,Assumptions!$C$15)-1,1),N171)</f>
        <v>46384</v>
      </c>
      <c r="S171" s="11" t="n">
        <f aca="false">IF(INT((R171-Assumptions!$C$2)/7)+1&gt;Assumptions!$C$3,"after W13",INT((R171-Assumptions!$C$2)/7)+1)</f>
        <v>12</v>
      </c>
      <c r="T171" s="11" t="s">
        <v>282</v>
      </c>
      <c r="U171" s="11" t="s">
        <v>275</v>
      </c>
      <c r="V171" s="11" t="s">
        <v>283</v>
      </c>
    </row>
    <row r="172" customFormat="false" ht="15" hidden="false" customHeight="false" outlineLevel="0" collapsed="false">
      <c r="A172" s="11" t="s">
        <v>693</v>
      </c>
      <c r="B172" s="11" t="s">
        <v>47</v>
      </c>
      <c r="C172" s="11" t="s">
        <v>694</v>
      </c>
      <c r="D172" s="11" t="s">
        <v>278</v>
      </c>
      <c r="E172" s="11" t="s">
        <v>286</v>
      </c>
      <c r="F172" s="11" t="s">
        <v>349</v>
      </c>
      <c r="G172" s="11" t="s">
        <v>350</v>
      </c>
      <c r="H172" s="37" t="n">
        <v>6804</v>
      </c>
      <c r="I172" s="26" t="n">
        <v>1</v>
      </c>
      <c r="J172" s="37" t="n">
        <f aca="false">H172*I172</f>
        <v>6804</v>
      </c>
      <c r="K172" s="38" t="n">
        <v>46357</v>
      </c>
      <c r="L172" s="11" t="n">
        <v>0</v>
      </c>
      <c r="M172" s="11" t="n">
        <v>10</v>
      </c>
      <c r="N172" s="38" t="n">
        <v>46367</v>
      </c>
      <c r="O172" s="11" t="n">
        <f aca="false">IF(INT((N172-Assumptions!$C$2)/7)+1&gt;Assumptions!$C$3,"after W13",INT((N172-Assumptions!$C$2)/7)+1)</f>
        <v>9</v>
      </c>
      <c r="P172" s="38" t="n">
        <f aca="false">IF(AND(D172="Receipt",G172="C01"),WORKDAY(N172+Assumptions!$C$14-1,1),N172)</f>
        <v>46367</v>
      </c>
      <c r="Q172" s="11" t="n">
        <f aca="false">IF(INT((P172-Assumptions!$C$2)/7)+1&gt;Assumptions!$C$3,"after W13",INT((P172-Assumptions!$C$2)/7)+1)</f>
        <v>9</v>
      </c>
      <c r="R172" s="38" t="n">
        <f aca="false">IF(AND(D172="Receipt",OR(G172="C01",G172="C02",G172="C03",G172="C04",G172="C07")),WORKDAY(N172+IF(G172="C01",Assumptions!$C$14,Assumptions!$C$15)-1,1),N172)</f>
        <v>46384</v>
      </c>
      <c r="S172" s="11" t="n">
        <f aca="false">IF(INT((R172-Assumptions!$C$2)/7)+1&gt;Assumptions!$C$3,"after W13",INT((R172-Assumptions!$C$2)/7)+1)</f>
        <v>12</v>
      </c>
      <c r="T172" s="11" t="s">
        <v>282</v>
      </c>
      <c r="U172" s="11" t="s">
        <v>275</v>
      </c>
      <c r="V172" s="11" t="s">
        <v>283</v>
      </c>
    </row>
    <row r="173" customFormat="false" ht="15" hidden="false" customHeight="false" outlineLevel="0" collapsed="false">
      <c r="A173" s="11" t="s">
        <v>695</v>
      </c>
      <c r="B173" s="11" t="s">
        <v>47</v>
      </c>
      <c r="C173" s="11" t="s">
        <v>696</v>
      </c>
      <c r="D173" s="11" t="s">
        <v>278</v>
      </c>
      <c r="E173" s="11" t="s">
        <v>286</v>
      </c>
      <c r="F173" s="11" t="s">
        <v>327</v>
      </c>
      <c r="G173" s="11" t="s">
        <v>328</v>
      </c>
      <c r="H173" s="37" t="n">
        <v>19560</v>
      </c>
      <c r="I173" s="26" t="n">
        <v>1</v>
      </c>
      <c r="J173" s="37" t="n">
        <f aca="false">H173*I173</f>
        <v>19560</v>
      </c>
      <c r="K173" s="38" t="n">
        <v>46347</v>
      </c>
      <c r="L173" s="11" t="n">
        <v>0</v>
      </c>
      <c r="M173" s="11" t="n">
        <v>21</v>
      </c>
      <c r="N173" s="38" t="n">
        <v>46370</v>
      </c>
      <c r="O173" s="11" t="n">
        <f aca="false">IF(INT((N173-Assumptions!$C$2)/7)+1&gt;Assumptions!$C$3,"after W13",INT((N173-Assumptions!$C$2)/7)+1)</f>
        <v>10</v>
      </c>
      <c r="P173" s="38" t="n">
        <f aca="false">IF(AND(D173="Receipt",G173="C01"),WORKDAY(N173+Assumptions!$C$14-1,1),N173)</f>
        <v>46370</v>
      </c>
      <c r="Q173" s="11" t="n">
        <f aca="false">IF(INT((P173-Assumptions!$C$2)/7)+1&gt;Assumptions!$C$3,"after W13",INT((P173-Assumptions!$C$2)/7)+1)</f>
        <v>10</v>
      </c>
      <c r="R173" s="38" t="n">
        <f aca="false">IF(AND(D173="Receipt",OR(G173="C01",G173="C02",G173="C03",G173="C04",G173="C07")),WORKDAY(N173+IF(G173="C01",Assumptions!$C$14,Assumptions!$C$15)-1,1),N173)</f>
        <v>46385</v>
      </c>
      <c r="S173" s="11" t="n">
        <f aca="false">IF(INT((R173-Assumptions!$C$2)/7)+1&gt;Assumptions!$C$3,"after W13",INT((R173-Assumptions!$C$2)/7)+1)</f>
        <v>12</v>
      </c>
      <c r="T173" s="11" t="s">
        <v>282</v>
      </c>
      <c r="U173" s="11" t="s">
        <v>275</v>
      </c>
      <c r="V173" s="11" t="s">
        <v>283</v>
      </c>
    </row>
    <row r="174" customFormat="false" ht="15" hidden="false" customHeight="false" outlineLevel="0" collapsed="false">
      <c r="A174" s="11" t="s">
        <v>697</v>
      </c>
      <c r="B174" s="11" t="s">
        <v>47</v>
      </c>
      <c r="C174" s="11" t="s">
        <v>698</v>
      </c>
      <c r="D174" s="11" t="s">
        <v>278</v>
      </c>
      <c r="E174" s="11" t="s">
        <v>286</v>
      </c>
      <c r="F174" s="11" t="s">
        <v>331</v>
      </c>
      <c r="G174" s="11" t="s">
        <v>332</v>
      </c>
      <c r="H174" s="37" t="n">
        <v>13452</v>
      </c>
      <c r="I174" s="26" t="n">
        <v>1</v>
      </c>
      <c r="J174" s="37" t="n">
        <f aca="false">H174*I174</f>
        <v>13452</v>
      </c>
      <c r="K174" s="38" t="n">
        <v>46345</v>
      </c>
      <c r="L174" s="11" t="n">
        <v>0</v>
      </c>
      <c r="M174" s="11" t="n">
        <v>25</v>
      </c>
      <c r="N174" s="38" t="n">
        <v>46370</v>
      </c>
      <c r="O174" s="11" t="n">
        <f aca="false">IF(INT((N174-Assumptions!$C$2)/7)+1&gt;Assumptions!$C$3,"after W13",INT((N174-Assumptions!$C$2)/7)+1)</f>
        <v>10</v>
      </c>
      <c r="P174" s="38" t="n">
        <f aca="false">IF(AND(D174="Receipt",G174="C01"),WORKDAY(N174+Assumptions!$C$14-1,1),N174)</f>
        <v>46370</v>
      </c>
      <c r="Q174" s="11" t="n">
        <f aca="false">IF(INT((P174-Assumptions!$C$2)/7)+1&gt;Assumptions!$C$3,"after W13",INT((P174-Assumptions!$C$2)/7)+1)</f>
        <v>10</v>
      </c>
      <c r="R174" s="38" t="n">
        <f aca="false">IF(AND(D174="Receipt",OR(G174="C01",G174="C02",G174="C03",G174="C04",G174="C07")),WORKDAY(N174+IF(G174="C01",Assumptions!$C$14,Assumptions!$C$15)-1,1),N174)</f>
        <v>46385</v>
      </c>
      <c r="S174" s="11" t="n">
        <f aca="false">IF(INT((R174-Assumptions!$C$2)/7)+1&gt;Assumptions!$C$3,"after W13",INT((R174-Assumptions!$C$2)/7)+1)</f>
        <v>12</v>
      </c>
      <c r="T174" s="11" t="s">
        <v>282</v>
      </c>
      <c r="U174" s="11" t="s">
        <v>275</v>
      </c>
      <c r="V174" s="11" t="s">
        <v>283</v>
      </c>
    </row>
    <row r="175" customFormat="false" ht="15" hidden="false" customHeight="false" outlineLevel="0" collapsed="false">
      <c r="A175" s="11" t="s">
        <v>699</v>
      </c>
      <c r="B175" s="11" t="s">
        <v>47</v>
      </c>
      <c r="C175" s="11" t="s">
        <v>700</v>
      </c>
      <c r="D175" s="11" t="s">
        <v>278</v>
      </c>
      <c r="E175" s="11" t="s">
        <v>297</v>
      </c>
      <c r="F175" s="11" t="s">
        <v>298</v>
      </c>
      <c r="G175" s="11" t="s">
        <v>299</v>
      </c>
      <c r="H175" s="37" t="n">
        <v>6740</v>
      </c>
      <c r="I175" s="26" t="n">
        <v>1</v>
      </c>
      <c r="J175" s="37" t="n">
        <f aca="false">H175*I175</f>
        <v>6740</v>
      </c>
      <c r="K175" s="38" t="n">
        <v>46364</v>
      </c>
      <c r="L175" s="11" t="n">
        <v>0</v>
      </c>
      <c r="M175" s="11" t="n">
        <v>6</v>
      </c>
      <c r="N175" s="38" t="n">
        <v>46370</v>
      </c>
      <c r="O175" s="11" t="n">
        <f aca="false">IF(INT((N175-Assumptions!$C$2)/7)+1&gt;Assumptions!$C$3,"after W13",INT((N175-Assumptions!$C$2)/7)+1)</f>
        <v>10</v>
      </c>
      <c r="P175" s="38" t="n">
        <f aca="false">IF(AND(D175="Receipt",G175="C01"),WORKDAY(N175+Assumptions!$C$14-1,1),N175)</f>
        <v>46370</v>
      </c>
      <c r="Q175" s="11" t="n">
        <f aca="false">IF(INT((P175-Assumptions!$C$2)/7)+1&gt;Assumptions!$C$3,"after W13",INT((P175-Assumptions!$C$2)/7)+1)</f>
        <v>10</v>
      </c>
      <c r="R175" s="38" t="n">
        <f aca="false">IF(AND(D175="Receipt",OR(G175="C01",G175="C02",G175="C03",G175="C04",G175="C07")),WORKDAY(N175+IF(G175="C01",Assumptions!$C$14,Assumptions!$C$15)-1,1),N175)</f>
        <v>46370</v>
      </c>
      <c r="S175" s="11" t="n">
        <f aca="false">IF(INT((R175-Assumptions!$C$2)/7)+1&gt;Assumptions!$C$3,"after W13",INT((R175-Assumptions!$C$2)/7)+1)</f>
        <v>10</v>
      </c>
      <c r="T175" s="11" t="s">
        <v>282</v>
      </c>
      <c r="U175" s="11" t="s">
        <v>275</v>
      </c>
      <c r="V175" s="11" t="s">
        <v>283</v>
      </c>
    </row>
    <row r="176" customFormat="false" ht="15" hidden="false" customHeight="false" outlineLevel="0" collapsed="false">
      <c r="A176" s="11" t="s">
        <v>701</v>
      </c>
      <c r="B176" s="11" t="s">
        <v>49</v>
      </c>
      <c r="C176" s="11" t="s">
        <v>702</v>
      </c>
      <c r="D176" s="11" t="s">
        <v>278</v>
      </c>
      <c r="E176" s="11" t="s">
        <v>279</v>
      </c>
      <c r="F176" s="11" t="s">
        <v>335</v>
      </c>
      <c r="G176" s="11" t="s">
        <v>336</v>
      </c>
      <c r="H176" s="37" t="n">
        <v>4920</v>
      </c>
      <c r="I176" s="26" t="n">
        <v>1</v>
      </c>
      <c r="J176" s="37" t="n">
        <f aca="false">H176*I176</f>
        <v>4920</v>
      </c>
      <c r="K176" s="38" t="n">
        <v>46361</v>
      </c>
      <c r="L176" s="11" t="n">
        <v>0</v>
      </c>
      <c r="M176" s="11" t="n">
        <v>7</v>
      </c>
      <c r="N176" s="38" t="n">
        <v>46370</v>
      </c>
      <c r="O176" s="11" t="n">
        <f aca="false">IF(INT((N176-Assumptions!$C$2)/7)+1&gt;Assumptions!$C$3,"after W13",INT((N176-Assumptions!$C$2)/7)+1)</f>
        <v>10</v>
      </c>
      <c r="P176" s="38" t="n">
        <f aca="false">IF(AND(D176="Receipt",G176="C01"),WORKDAY(N176+Assumptions!$C$14-1,1),N176)</f>
        <v>46370</v>
      </c>
      <c r="Q176" s="11" t="n">
        <f aca="false">IF(INT((P176-Assumptions!$C$2)/7)+1&gt;Assumptions!$C$3,"after W13",INT((P176-Assumptions!$C$2)/7)+1)</f>
        <v>10</v>
      </c>
      <c r="R176" s="38" t="n">
        <f aca="false">IF(AND(D176="Receipt",OR(G176="C01",G176="C02",G176="C03",G176="C04",G176="C07")),WORKDAY(N176+IF(G176="C01",Assumptions!$C$14,Assumptions!$C$15)-1,1),N176)</f>
        <v>46370</v>
      </c>
      <c r="S176" s="11" t="n">
        <f aca="false">IF(INT((R176-Assumptions!$C$2)/7)+1&gt;Assumptions!$C$3,"after W13",INT((R176-Assumptions!$C$2)/7)+1)</f>
        <v>10</v>
      </c>
      <c r="T176" s="11" t="s">
        <v>538</v>
      </c>
      <c r="U176" s="11" t="s">
        <v>275</v>
      </c>
      <c r="V176" s="11" t="s">
        <v>283</v>
      </c>
    </row>
    <row r="177" customFormat="false" ht="15" hidden="false" customHeight="false" outlineLevel="0" collapsed="false">
      <c r="A177" s="11" t="s">
        <v>703</v>
      </c>
      <c r="B177" s="11" t="s">
        <v>49</v>
      </c>
      <c r="C177" s="11" t="s">
        <v>704</v>
      </c>
      <c r="D177" s="11" t="s">
        <v>278</v>
      </c>
      <c r="E177" s="11" t="s">
        <v>279</v>
      </c>
      <c r="F177" s="11" t="s">
        <v>335</v>
      </c>
      <c r="G177" s="11" t="s">
        <v>336</v>
      </c>
      <c r="H177" s="37" t="n">
        <v>5280</v>
      </c>
      <c r="I177" s="26" t="n">
        <v>1</v>
      </c>
      <c r="J177" s="37" t="n">
        <f aca="false">H177*I177</f>
        <v>5280</v>
      </c>
      <c r="K177" s="38" t="n">
        <v>46362</v>
      </c>
      <c r="L177" s="11" t="n">
        <v>0</v>
      </c>
      <c r="M177" s="11" t="n">
        <v>7</v>
      </c>
      <c r="N177" s="38" t="n">
        <v>46370</v>
      </c>
      <c r="O177" s="11" t="n">
        <f aca="false">IF(INT((N177-Assumptions!$C$2)/7)+1&gt;Assumptions!$C$3,"after W13",INT((N177-Assumptions!$C$2)/7)+1)</f>
        <v>10</v>
      </c>
      <c r="P177" s="38" t="n">
        <f aca="false">IF(AND(D177="Receipt",G177="C01"),WORKDAY(N177+Assumptions!$C$14-1,1),N177)</f>
        <v>46370</v>
      </c>
      <c r="Q177" s="11" t="n">
        <f aca="false">IF(INT((P177-Assumptions!$C$2)/7)+1&gt;Assumptions!$C$3,"after W13",INT((P177-Assumptions!$C$2)/7)+1)</f>
        <v>10</v>
      </c>
      <c r="R177" s="38" t="n">
        <f aca="false">IF(AND(D177="Receipt",OR(G177="C01",G177="C02",G177="C03",G177="C04",G177="C07")),WORKDAY(N177+IF(G177="C01",Assumptions!$C$14,Assumptions!$C$15)-1,1),N177)</f>
        <v>46370</v>
      </c>
      <c r="S177" s="11" t="n">
        <f aca="false">IF(INT((R177-Assumptions!$C$2)/7)+1&gt;Assumptions!$C$3,"after W13",INT((R177-Assumptions!$C$2)/7)+1)</f>
        <v>10</v>
      </c>
      <c r="T177" s="11" t="s">
        <v>538</v>
      </c>
      <c r="U177" s="11" t="s">
        <v>275</v>
      </c>
      <c r="V177" s="11" t="s">
        <v>283</v>
      </c>
    </row>
    <row r="178" customFormat="false" ht="15" hidden="false" customHeight="false" outlineLevel="0" collapsed="false">
      <c r="A178" s="11" t="s">
        <v>705</v>
      </c>
      <c r="B178" s="11" t="s">
        <v>49</v>
      </c>
      <c r="C178" s="11" t="s">
        <v>706</v>
      </c>
      <c r="D178" s="11" t="s">
        <v>278</v>
      </c>
      <c r="E178" s="11" t="s">
        <v>279</v>
      </c>
      <c r="F178" s="11" t="s">
        <v>335</v>
      </c>
      <c r="G178" s="11" t="s">
        <v>336</v>
      </c>
      <c r="H178" s="37" t="n">
        <v>12816</v>
      </c>
      <c r="I178" s="26" t="n">
        <v>1</v>
      </c>
      <c r="J178" s="37" t="n">
        <f aca="false">H178*I178</f>
        <v>12816</v>
      </c>
      <c r="K178" s="38" t="n">
        <v>46363</v>
      </c>
      <c r="L178" s="11" t="n">
        <v>0</v>
      </c>
      <c r="M178" s="11" t="n">
        <v>7</v>
      </c>
      <c r="N178" s="38" t="n">
        <v>46370</v>
      </c>
      <c r="O178" s="11" t="n">
        <f aca="false">IF(INT((N178-Assumptions!$C$2)/7)+1&gt;Assumptions!$C$3,"after W13",INT((N178-Assumptions!$C$2)/7)+1)</f>
        <v>10</v>
      </c>
      <c r="P178" s="38" t="n">
        <f aca="false">IF(AND(D178="Receipt",G178="C01"),WORKDAY(N178+Assumptions!$C$14-1,1),N178)</f>
        <v>46370</v>
      </c>
      <c r="Q178" s="11" t="n">
        <f aca="false">IF(INT((P178-Assumptions!$C$2)/7)+1&gt;Assumptions!$C$3,"after W13",INT((P178-Assumptions!$C$2)/7)+1)</f>
        <v>10</v>
      </c>
      <c r="R178" s="38" t="n">
        <f aca="false">IF(AND(D178="Receipt",OR(G178="C01",G178="C02",G178="C03",G178="C04",G178="C07")),WORKDAY(N178+IF(G178="C01",Assumptions!$C$14,Assumptions!$C$15)-1,1),N178)</f>
        <v>46370</v>
      </c>
      <c r="S178" s="11" t="n">
        <f aca="false">IF(INT((R178-Assumptions!$C$2)/7)+1&gt;Assumptions!$C$3,"after W13",INT((R178-Assumptions!$C$2)/7)+1)</f>
        <v>10</v>
      </c>
      <c r="T178" s="11" t="s">
        <v>538</v>
      </c>
      <c r="U178" s="11" t="s">
        <v>275</v>
      </c>
      <c r="V178" s="11" t="s">
        <v>283</v>
      </c>
    </row>
    <row r="179" customFormat="false" ht="15" hidden="false" customHeight="false" outlineLevel="0" collapsed="false">
      <c r="A179" s="11" t="s">
        <v>707</v>
      </c>
      <c r="B179" s="11" t="s">
        <v>49</v>
      </c>
      <c r="C179" s="11" t="s">
        <v>708</v>
      </c>
      <c r="D179" s="11" t="s">
        <v>278</v>
      </c>
      <c r="E179" s="11" t="s">
        <v>279</v>
      </c>
      <c r="F179" s="11" t="s">
        <v>280</v>
      </c>
      <c r="G179" s="11" t="s">
        <v>281</v>
      </c>
      <c r="H179" s="37" t="n">
        <v>7956</v>
      </c>
      <c r="I179" s="26" t="n">
        <v>1</v>
      </c>
      <c r="J179" s="37" t="n">
        <f aca="false">H179*I179</f>
        <v>7956</v>
      </c>
      <c r="K179" s="38" t="n">
        <v>46370</v>
      </c>
      <c r="L179" s="11" t="n">
        <v>0</v>
      </c>
      <c r="M179" s="11" t="n">
        <v>0</v>
      </c>
      <c r="N179" s="38" t="n">
        <v>46370</v>
      </c>
      <c r="O179" s="11" t="n">
        <f aca="false">IF(INT((N179-Assumptions!$C$2)/7)+1&gt;Assumptions!$C$3,"after W13",INT((N179-Assumptions!$C$2)/7)+1)</f>
        <v>10</v>
      </c>
      <c r="P179" s="38" t="n">
        <f aca="false">IF(AND(D179="Receipt",G179="C01"),WORKDAY(N179+Assumptions!$C$14-1,1),N179)</f>
        <v>46370</v>
      </c>
      <c r="Q179" s="11" t="n">
        <f aca="false">IF(INT((P179-Assumptions!$C$2)/7)+1&gt;Assumptions!$C$3,"after W13",INT((P179-Assumptions!$C$2)/7)+1)</f>
        <v>10</v>
      </c>
      <c r="R179" s="38" t="n">
        <f aca="false">IF(AND(D179="Receipt",OR(G179="C01",G179="C02",G179="C03",G179="C04",G179="C07")),WORKDAY(N179+IF(G179="C01",Assumptions!$C$14,Assumptions!$C$15)-1,1),N179)</f>
        <v>46370</v>
      </c>
      <c r="S179" s="11" t="n">
        <f aca="false">IF(INT((R179-Assumptions!$C$2)/7)+1&gt;Assumptions!$C$3,"after W13",INT((R179-Assumptions!$C$2)/7)+1)</f>
        <v>10</v>
      </c>
      <c r="T179" s="11" t="s">
        <v>538</v>
      </c>
      <c r="U179" s="11" t="s">
        <v>275</v>
      </c>
      <c r="V179" s="11" t="s">
        <v>283</v>
      </c>
    </row>
    <row r="180" customFormat="false" ht="15" hidden="false" customHeight="false" outlineLevel="0" collapsed="false">
      <c r="A180" s="11" t="s">
        <v>709</v>
      </c>
      <c r="B180" s="11" t="s">
        <v>49</v>
      </c>
      <c r="C180" s="11" t="s">
        <v>710</v>
      </c>
      <c r="D180" s="11" t="s">
        <v>278</v>
      </c>
      <c r="E180" s="11" t="s">
        <v>279</v>
      </c>
      <c r="F180" s="11" t="s">
        <v>280</v>
      </c>
      <c r="G180" s="11" t="s">
        <v>281</v>
      </c>
      <c r="H180" s="37" t="n">
        <v>8400</v>
      </c>
      <c r="I180" s="26" t="n">
        <v>1</v>
      </c>
      <c r="J180" s="37" t="n">
        <f aca="false">H180*I180</f>
        <v>8400</v>
      </c>
      <c r="K180" s="38" t="n">
        <v>46370</v>
      </c>
      <c r="L180" s="11" t="n">
        <v>0</v>
      </c>
      <c r="M180" s="11" t="n">
        <v>0</v>
      </c>
      <c r="N180" s="38" t="n">
        <v>46370</v>
      </c>
      <c r="O180" s="11" t="n">
        <f aca="false">IF(INT((N180-Assumptions!$C$2)/7)+1&gt;Assumptions!$C$3,"after W13",INT((N180-Assumptions!$C$2)/7)+1)</f>
        <v>10</v>
      </c>
      <c r="P180" s="38" t="n">
        <f aca="false">IF(AND(D180="Receipt",G180="C01"),WORKDAY(N180+Assumptions!$C$14-1,1),N180)</f>
        <v>46370</v>
      </c>
      <c r="Q180" s="11" t="n">
        <f aca="false">IF(INT((P180-Assumptions!$C$2)/7)+1&gt;Assumptions!$C$3,"after W13",INT((P180-Assumptions!$C$2)/7)+1)</f>
        <v>10</v>
      </c>
      <c r="R180" s="38" t="n">
        <f aca="false">IF(AND(D180="Receipt",OR(G180="C01",G180="C02",G180="C03",G180="C04",G180="C07")),WORKDAY(N180+IF(G180="C01",Assumptions!$C$14,Assumptions!$C$15)-1,1),N180)</f>
        <v>46370</v>
      </c>
      <c r="S180" s="11" t="n">
        <f aca="false">IF(INT((R180-Assumptions!$C$2)/7)+1&gt;Assumptions!$C$3,"after W13",INT((R180-Assumptions!$C$2)/7)+1)</f>
        <v>10</v>
      </c>
      <c r="T180" s="11" t="s">
        <v>538</v>
      </c>
      <c r="U180" s="11" t="s">
        <v>275</v>
      </c>
      <c r="V180" s="11" t="s">
        <v>283</v>
      </c>
    </row>
    <row r="181" customFormat="false" ht="15" hidden="false" customHeight="false" outlineLevel="0" collapsed="false">
      <c r="A181" s="11" t="s">
        <v>711</v>
      </c>
      <c r="B181" s="11" t="s">
        <v>49</v>
      </c>
      <c r="C181" s="11" t="s">
        <v>712</v>
      </c>
      <c r="D181" s="11" t="s">
        <v>278</v>
      </c>
      <c r="E181" s="11" t="s">
        <v>398</v>
      </c>
      <c r="F181" s="11" t="s">
        <v>399</v>
      </c>
      <c r="G181" s="11" t="s">
        <v>400</v>
      </c>
      <c r="H181" s="37" t="n">
        <v>9804</v>
      </c>
      <c r="I181" s="26" t="n">
        <v>1</v>
      </c>
      <c r="J181" s="37" t="n">
        <f aca="false">H181*I181</f>
        <v>9804</v>
      </c>
      <c r="K181" s="38" t="n">
        <v>46362</v>
      </c>
      <c r="L181" s="11" t="n">
        <v>0</v>
      </c>
      <c r="M181" s="11" t="n">
        <v>8.5</v>
      </c>
      <c r="N181" s="38" t="n">
        <v>46370</v>
      </c>
      <c r="O181" s="11" t="n">
        <f aca="false">IF(INT((N181-Assumptions!$C$2)/7)+1&gt;Assumptions!$C$3,"after W13",INT((N181-Assumptions!$C$2)/7)+1)</f>
        <v>10</v>
      </c>
      <c r="P181" s="38" t="n">
        <f aca="false">IF(AND(D181="Receipt",G181="C01"),WORKDAY(N181+Assumptions!$C$14-1,1),N181)</f>
        <v>46370</v>
      </c>
      <c r="Q181" s="11" t="n">
        <f aca="false">IF(INT((P181-Assumptions!$C$2)/7)+1&gt;Assumptions!$C$3,"after W13",INT((P181-Assumptions!$C$2)/7)+1)</f>
        <v>10</v>
      </c>
      <c r="R181" s="38" t="n">
        <f aca="false">IF(AND(D181="Receipt",OR(G181="C01",G181="C02",G181="C03",G181="C04",G181="C07")),WORKDAY(N181+IF(G181="C01",Assumptions!$C$14,Assumptions!$C$15)-1,1),N181)</f>
        <v>46370</v>
      </c>
      <c r="S181" s="11" t="n">
        <f aca="false">IF(INT((R181-Assumptions!$C$2)/7)+1&gt;Assumptions!$C$3,"after W13",INT((R181-Assumptions!$C$2)/7)+1)</f>
        <v>10</v>
      </c>
      <c r="T181" s="11" t="s">
        <v>538</v>
      </c>
      <c r="U181" s="11" t="s">
        <v>275</v>
      </c>
      <c r="V181" s="11" t="s">
        <v>283</v>
      </c>
    </row>
    <row r="182" customFormat="false" ht="15" hidden="false" customHeight="false" outlineLevel="0" collapsed="false">
      <c r="A182" s="11" t="s">
        <v>713</v>
      </c>
      <c r="B182" s="11" t="s">
        <v>49</v>
      </c>
      <c r="C182" s="11" t="s">
        <v>714</v>
      </c>
      <c r="D182" s="11" t="s">
        <v>278</v>
      </c>
      <c r="E182" s="11" t="s">
        <v>286</v>
      </c>
      <c r="F182" s="11" t="s">
        <v>287</v>
      </c>
      <c r="G182" s="11" t="s">
        <v>288</v>
      </c>
      <c r="H182" s="37" t="n">
        <v>4728</v>
      </c>
      <c r="I182" s="26" t="n">
        <v>1</v>
      </c>
      <c r="J182" s="37" t="n">
        <f aca="false">H182*I182</f>
        <v>4728</v>
      </c>
      <c r="K182" s="38" t="n">
        <v>46366</v>
      </c>
      <c r="L182" s="11" t="n">
        <v>0</v>
      </c>
      <c r="M182" s="11" t="n">
        <v>3</v>
      </c>
      <c r="N182" s="38" t="n">
        <v>46370</v>
      </c>
      <c r="O182" s="11" t="n">
        <f aca="false">IF(INT((N182-Assumptions!$C$2)/7)+1&gt;Assumptions!$C$3,"after W13",INT((N182-Assumptions!$C$2)/7)+1)</f>
        <v>10</v>
      </c>
      <c r="P182" s="38" t="n">
        <f aca="false">IF(AND(D182="Receipt",G182="C01"),WORKDAY(N182+Assumptions!$C$14-1,1),N182)</f>
        <v>46370</v>
      </c>
      <c r="Q182" s="11" t="n">
        <f aca="false">IF(INT((P182-Assumptions!$C$2)/7)+1&gt;Assumptions!$C$3,"after W13",INT((P182-Assumptions!$C$2)/7)+1)</f>
        <v>10</v>
      </c>
      <c r="R182" s="38" t="n">
        <f aca="false">IF(AND(D182="Receipt",OR(G182="C01",G182="C02",G182="C03",G182="C04",G182="C07")),WORKDAY(N182+IF(G182="C01",Assumptions!$C$14,Assumptions!$C$15)-1,1),N182)</f>
        <v>46385</v>
      </c>
      <c r="S182" s="11" t="n">
        <f aca="false">IF(INT((R182-Assumptions!$C$2)/7)+1&gt;Assumptions!$C$3,"after W13",INT((R182-Assumptions!$C$2)/7)+1)</f>
        <v>12</v>
      </c>
      <c r="T182" s="11" t="s">
        <v>538</v>
      </c>
      <c r="U182" s="11" t="s">
        <v>275</v>
      </c>
      <c r="V182" s="11" t="s">
        <v>283</v>
      </c>
    </row>
    <row r="183" customFormat="false" ht="15" hidden="false" customHeight="false" outlineLevel="0" collapsed="false">
      <c r="A183" s="11" t="s">
        <v>715</v>
      </c>
      <c r="B183" s="11" t="s">
        <v>55</v>
      </c>
      <c r="C183" s="11" t="s">
        <v>716</v>
      </c>
      <c r="D183" s="11" t="s">
        <v>271</v>
      </c>
      <c r="E183" s="11" t="s">
        <v>717</v>
      </c>
      <c r="F183" s="11" t="s">
        <v>384</v>
      </c>
      <c r="G183" s="11"/>
      <c r="H183" s="37" t="n">
        <v>-6200</v>
      </c>
      <c r="I183" s="26" t="n">
        <v>1</v>
      </c>
      <c r="J183" s="37" t="n">
        <f aca="false">H183*I183</f>
        <v>-6200</v>
      </c>
      <c r="K183" s="38" t="n">
        <v>46371</v>
      </c>
      <c r="L183" s="11"/>
      <c r="M183" s="11"/>
      <c r="N183" s="38" t="n">
        <v>46371</v>
      </c>
      <c r="O183" s="11" t="n">
        <f aca="false">IF(INT((N183-Assumptions!$C$2)/7)+1&gt;Assumptions!$C$3,"after W13",INT((N183-Assumptions!$C$2)/7)+1)</f>
        <v>10</v>
      </c>
      <c r="P183" s="38" t="n">
        <f aca="false">IF(AND(D183="Receipt",G183="C01"),WORKDAY(N183+Assumptions!$C$14-1,1),N183)</f>
        <v>46371</v>
      </c>
      <c r="Q183" s="11" t="n">
        <f aca="false">IF(INT((P183-Assumptions!$C$2)/7)+1&gt;Assumptions!$C$3,"after W13",INT((P183-Assumptions!$C$2)/7)+1)</f>
        <v>10</v>
      </c>
      <c r="R183" s="38" t="n">
        <f aca="false">IF(AND(D183="Receipt",OR(G183="C01",G183="C02",G183="C03",G183="C04",G183="C07")),WORKDAY(N183+IF(G183="C01",Assumptions!$C$14,Assumptions!$C$15)-1,1),N183)</f>
        <v>46371</v>
      </c>
      <c r="S183" s="11" t="n">
        <f aca="false">IF(INT((R183-Assumptions!$C$2)/7)+1&gt;Assumptions!$C$3,"after W13",INT((R183-Assumptions!$C$2)/7)+1)</f>
        <v>10</v>
      </c>
      <c r="T183" s="11" t="s">
        <v>274</v>
      </c>
      <c r="U183" s="11" t="s">
        <v>275</v>
      </c>
      <c r="V183" s="11"/>
    </row>
    <row r="184" customFormat="false" ht="15" hidden="false" customHeight="false" outlineLevel="0" collapsed="false">
      <c r="A184" s="11" t="s">
        <v>718</v>
      </c>
      <c r="B184" s="11" t="s">
        <v>55</v>
      </c>
      <c r="C184" s="11" t="s">
        <v>719</v>
      </c>
      <c r="D184" s="11" t="s">
        <v>271</v>
      </c>
      <c r="E184" s="11" t="s">
        <v>317</v>
      </c>
      <c r="F184" s="11" t="s">
        <v>318</v>
      </c>
      <c r="G184" s="11"/>
      <c r="H184" s="37" t="n">
        <v>-86000</v>
      </c>
      <c r="I184" s="26" t="n">
        <v>1</v>
      </c>
      <c r="J184" s="37" t="n">
        <f aca="false">H184*I184</f>
        <v>-86000</v>
      </c>
      <c r="K184" s="38" t="n">
        <v>46371</v>
      </c>
      <c r="L184" s="11"/>
      <c r="M184" s="11"/>
      <c r="N184" s="38" t="n">
        <v>46371</v>
      </c>
      <c r="O184" s="11" t="n">
        <f aca="false">IF(INT((N184-Assumptions!$C$2)/7)+1&gt;Assumptions!$C$3,"after W13",INT((N184-Assumptions!$C$2)/7)+1)</f>
        <v>10</v>
      </c>
      <c r="P184" s="38" t="n">
        <f aca="false">IF(AND(D184="Receipt",G184="C01"),WORKDAY(N184+Assumptions!$C$14-1,1),N184)</f>
        <v>46371</v>
      </c>
      <c r="Q184" s="11" t="n">
        <f aca="false">IF(INT((P184-Assumptions!$C$2)/7)+1&gt;Assumptions!$C$3,"after W13",INT((P184-Assumptions!$C$2)/7)+1)</f>
        <v>10</v>
      </c>
      <c r="R184" s="38" t="n">
        <f aca="false">IF(AND(D184="Receipt",OR(G184="C01",G184="C02",G184="C03",G184="C04",G184="C07")),WORKDAY(N184+IF(G184="C01",Assumptions!$C$14,Assumptions!$C$15)-1,1),N184)</f>
        <v>46371</v>
      </c>
      <c r="S184" s="11" t="n">
        <f aca="false">IF(INT((R184-Assumptions!$C$2)/7)+1&gt;Assumptions!$C$3,"after W13",INT((R184-Assumptions!$C$2)/7)+1)</f>
        <v>10</v>
      </c>
      <c r="T184" s="11" t="s">
        <v>274</v>
      </c>
      <c r="U184" s="11" t="s">
        <v>275</v>
      </c>
      <c r="V184" s="11" t="s">
        <v>319</v>
      </c>
    </row>
    <row r="185" customFormat="false" ht="15" hidden="false" customHeight="false" outlineLevel="0" collapsed="false">
      <c r="A185" s="11" t="s">
        <v>720</v>
      </c>
      <c r="B185" s="11" t="s">
        <v>55</v>
      </c>
      <c r="C185" s="11" t="s">
        <v>721</v>
      </c>
      <c r="D185" s="11" t="s">
        <v>271</v>
      </c>
      <c r="E185" s="11" t="s">
        <v>722</v>
      </c>
      <c r="F185" s="11" t="s">
        <v>384</v>
      </c>
      <c r="G185" s="11"/>
      <c r="H185" s="37" t="n">
        <v>-24500</v>
      </c>
      <c r="I185" s="26" t="n">
        <v>1</v>
      </c>
      <c r="J185" s="37" t="n">
        <f aca="false">H185*I185</f>
        <v>-24500</v>
      </c>
      <c r="K185" s="38" t="n">
        <v>46371</v>
      </c>
      <c r="L185" s="11"/>
      <c r="M185" s="11"/>
      <c r="N185" s="38" t="n">
        <v>46371</v>
      </c>
      <c r="O185" s="11" t="n">
        <f aca="false">IF(INT((N185-Assumptions!$C$2)/7)+1&gt;Assumptions!$C$3,"after W13",INT((N185-Assumptions!$C$2)/7)+1)</f>
        <v>10</v>
      </c>
      <c r="P185" s="38" t="n">
        <f aca="false">IF(AND(D185="Receipt",G185="C01"),WORKDAY(N185+Assumptions!$C$14-1,1),N185)</f>
        <v>46371</v>
      </c>
      <c r="Q185" s="11" t="n">
        <f aca="false">IF(INT((P185-Assumptions!$C$2)/7)+1&gt;Assumptions!$C$3,"after W13",INT((P185-Assumptions!$C$2)/7)+1)</f>
        <v>10</v>
      </c>
      <c r="R185" s="38" t="n">
        <f aca="false">IF(AND(D185="Receipt",OR(G185="C01",G185="C02",G185="C03",G185="C04",G185="C07")),WORKDAY(N185+IF(G185="C01",Assumptions!$C$14,Assumptions!$C$15)-1,1),N185)</f>
        <v>46371</v>
      </c>
      <c r="S185" s="11" t="n">
        <f aca="false">IF(INT((R185-Assumptions!$C$2)/7)+1&gt;Assumptions!$C$3,"after W13",INT((R185-Assumptions!$C$2)/7)+1)</f>
        <v>10</v>
      </c>
      <c r="T185" s="11" t="s">
        <v>274</v>
      </c>
      <c r="U185" s="11" t="s">
        <v>275</v>
      </c>
      <c r="V185" s="11" t="s">
        <v>723</v>
      </c>
    </row>
    <row r="186" customFormat="false" ht="15" hidden="false" customHeight="false" outlineLevel="0" collapsed="false">
      <c r="A186" s="11" t="s">
        <v>724</v>
      </c>
      <c r="B186" s="11" t="s">
        <v>47</v>
      </c>
      <c r="C186" s="11" t="s">
        <v>725</v>
      </c>
      <c r="D186" s="11" t="s">
        <v>278</v>
      </c>
      <c r="E186" s="11" t="s">
        <v>286</v>
      </c>
      <c r="F186" s="11" t="s">
        <v>327</v>
      </c>
      <c r="G186" s="11" t="s">
        <v>328</v>
      </c>
      <c r="H186" s="37" t="n">
        <v>5604</v>
      </c>
      <c r="I186" s="26" t="n">
        <v>1</v>
      </c>
      <c r="J186" s="37" t="n">
        <f aca="false">H186*I186</f>
        <v>5604</v>
      </c>
      <c r="K186" s="38" t="n">
        <v>46350</v>
      </c>
      <c r="L186" s="11" t="n">
        <v>0</v>
      </c>
      <c r="M186" s="11" t="n">
        <v>21</v>
      </c>
      <c r="N186" s="38" t="n">
        <v>46371</v>
      </c>
      <c r="O186" s="11" t="n">
        <f aca="false">IF(INT((N186-Assumptions!$C$2)/7)+1&gt;Assumptions!$C$3,"after W13",INT((N186-Assumptions!$C$2)/7)+1)</f>
        <v>10</v>
      </c>
      <c r="P186" s="38" t="n">
        <f aca="false">IF(AND(D186="Receipt",G186="C01"),WORKDAY(N186+Assumptions!$C$14-1,1),N186)</f>
        <v>46371</v>
      </c>
      <c r="Q186" s="11" t="n">
        <f aca="false">IF(INT((P186-Assumptions!$C$2)/7)+1&gt;Assumptions!$C$3,"after W13",INT((P186-Assumptions!$C$2)/7)+1)</f>
        <v>10</v>
      </c>
      <c r="R186" s="38" t="n">
        <f aca="false">IF(AND(D186="Receipt",OR(G186="C01",G186="C02",G186="C03",G186="C04",G186="C07")),WORKDAY(N186+IF(G186="C01",Assumptions!$C$14,Assumptions!$C$15)-1,1),N186)</f>
        <v>46386</v>
      </c>
      <c r="S186" s="11" t="n">
        <f aca="false">IF(INT((R186-Assumptions!$C$2)/7)+1&gt;Assumptions!$C$3,"after W13",INT((R186-Assumptions!$C$2)/7)+1)</f>
        <v>12</v>
      </c>
      <c r="T186" s="11" t="s">
        <v>282</v>
      </c>
      <c r="U186" s="11" t="s">
        <v>275</v>
      </c>
      <c r="V186" s="11" t="s">
        <v>283</v>
      </c>
    </row>
    <row r="187" customFormat="false" ht="15" hidden="false" customHeight="false" outlineLevel="0" collapsed="false">
      <c r="A187" s="11" t="s">
        <v>726</v>
      </c>
      <c r="B187" s="11" t="s">
        <v>47</v>
      </c>
      <c r="C187" s="11" t="s">
        <v>727</v>
      </c>
      <c r="D187" s="11" t="s">
        <v>278</v>
      </c>
      <c r="E187" s="11" t="s">
        <v>286</v>
      </c>
      <c r="F187" s="11" t="s">
        <v>327</v>
      </c>
      <c r="G187" s="11" t="s">
        <v>328</v>
      </c>
      <c r="H187" s="37" t="n">
        <v>23496</v>
      </c>
      <c r="I187" s="26" t="n">
        <v>1</v>
      </c>
      <c r="J187" s="37" t="n">
        <f aca="false">H187*I187</f>
        <v>23496</v>
      </c>
      <c r="K187" s="38" t="n">
        <v>46350</v>
      </c>
      <c r="L187" s="11" t="n">
        <v>0</v>
      </c>
      <c r="M187" s="11" t="n">
        <v>21</v>
      </c>
      <c r="N187" s="38" t="n">
        <v>46371</v>
      </c>
      <c r="O187" s="11" t="n">
        <f aca="false">IF(INT((N187-Assumptions!$C$2)/7)+1&gt;Assumptions!$C$3,"after W13",INT((N187-Assumptions!$C$2)/7)+1)</f>
        <v>10</v>
      </c>
      <c r="P187" s="38" t="n">
        <f aca="false">IF(AND(D187="Receipt",G187="C01"),WORKDAY(N187+Assumptions!$C$14-1,1),N187)</f>
        <v>46371</v>
      </c>
      <c r="Q187" s="11" t="n">
        <f aca="false">IF(INT((P187-Assumptions!$C$2)/7)+1&gt;Assumptions!$C$3,"after W13",INT((P187-Assumptions!$C$2)/7)+1)</f>
        <v>10</v>
      </c>
      <c r="R187" s="38" t="n">
        <f aca="false">IF(AND(D187="Receipt",OR(G187="C01",G187="C02",G187="C03",G187="C04",G187="C07")),WORKDAY(N187+IF(G187="C01",Assumptions!$C$14,Assumptions!$C$15)-1,1),N187)</f>
        <v>46386</v>
      </c>
      <c r="S187" s="11" t="n">
        <f aca="false">IF(INT((R187-Assumptions!$C$2)/7)+1&gt;Assumptions!$C$3,"after W13",INT((R187-Assumptions!$C$2)/7)+1)</f>
        <v>12</v>
      </c>
      <c r="T187" s="11" t="s">
        <v>282</v>
      </c>
      <c r="U187" s="11" t="s">
        <v>275</v>
      </c>
      <c r="V187" s="11" t="s">
        <v>283</v>
      </c>
    </row>
    <row r="188" customFormat="false" ht="15" hidden="false" customHeight="false" outlineLevel="0" collapsed="false">
      <c r="A188" s="11" t="s">
        <v>728</v>
      </c>
      <c r="B188" s="11" t="s">
        <v>49</v>
      </c>
      <c r="C188" s="11" t="s">
        <v>729</v>
      </c>
      <c r="D188" s="11" t="s">
        <v>278</v>
      </c>
      <c r="E188" s="11" t="s">
        <v>286</v>
      </c>
      <c r="F188" s="11" t="s">
        <v>287</v>
      </c>
      <c r="G188" s="11" t="s">
        <v>288</v>
      </c>
      <c r="H188" s="37" t="n">
        <v>3624</v>
      </c>
      <c r="I188" s="26" t="n">
        <v>1</v>
      </c>
      <c r="J188" s="37" t="n">
        <f aca="false">H188*I188</f>
        <v>3624</v>
      </c>
      <c r="K188" s="38" t="n">
        <v>46368</v>
      </c>
      <c r="L188" s="11" t="n">
        <v>0</v>
      </c>
      <c r="M188" s="11" t="n">
        <v>3</v>
      </c>
      <c r="N188" s="38" t="n">
        <v>46371</v>
      </c>
      <c r="O188" s="11" t="n">
        <f aca="false">IF(INT((N188-Assumptions!$C$2)/7)+1&gt;Assumptions!$C$3,"after W13",INT((N188-Assumptions!$C$2)/7)+1)</f>
        <v>10</v>
      </c>
      <c r="P188" s="38" t="n">
        <f aca="false">IF(AND(D188="Receipt",G188="C01"),WORKDAY(N188+Assumptions!$C$14-1,1),N188)</f>
        <v>46371</v>
      </c>
      <c r="Q188" s="11" t="n">
        <f aca="false">IF(INT((P188-Assumptions!$C$2)/7)+1&gt;Assumptions!$C$3,"after W13",INT((P188-Assumptions!$C$2)/7)+1)</f>
        <v>10</v>
      </c>
      <c r="R188" s="38" t="n">
        <f aca="false">IF(AND(D188="Receipt",OR(G188="C01",G188="C02",G188="C03",G188="C04",G188="C07")),WORKDAY(N188+IF(G188="C01",Assumptions!$C$14,Assumptions!$C$15)-1,1),N188)</f>
        <v>46386</v>
      </c>
      <c r="S188" s="11" t="n">
        <f aca="false">IF(INT((R188-Assumptions!$C$2)/7)+1&gt;Assumptions!$C$3,"after W13",INT((R188-Assumptions!$C$2)/7)+1)</f>
        <v>12</v>
      </c>
      <c r="T188" s="11" t="s">
        <v>538</v>
      </c>
      <c r="U188" s="11" t="s">
        <v>275</v>
      </c>
      <c r="V188" s="11" t="s">
        <v>283</v>
      </c>
    </row>
    <row r="189" customFormat="false" ht="15" hidden="false" customHeight="false" outlineLevel="0" collapsed="false">
      <c r="A189" s="11" t="s">
        <v>730</v>
      </c>
      <c r="B189" s="11" t="s">
        <v>49</v>
      </c>
      <c r="C189" s="11" t="s">
        <v>731</v>
      </c>
      <c r="D189" s="11" t="s">
        <v>278</v>
      </c>
      <c r="E189" s="11" t="s">
        <v>286</v>
      </c>
      <c r="F189" s="11" t="s">
        <v>287</v>
      </c>
      <c r="G189" s="11" t="s">
        <v>288</v>
      </c>
      <c r="H189" s="37" t="n">
        <v>9528</v>
      </c>
      <c r="I189" s="26" t="n">
        <v>1</v>
      </c>
      <c r="J189" s="37" t="n">
        <f aca="false">H189*I189</f>
        <v>9528</v>
      </c>
      <c r="K189" s="38" t="n">
        <v>46368</v>
      </c>
      <c r="L189" s="11" t="n">
        <v>0</v>
      </c>
      <c r="M189" s="11" t="n">
        <v>3</v>
      </c>
      <c r="N189" s="38" t="n">
        <v>46371</v>
      </c>
      <c r="O189" s="11" t="n">
        <f aca="false">IF(INT((N189-Assumptions!$C$2)/7)+1&gt;Assumptions!$C$3,"after W13",INT((N189-Assumptions!$C$2)/7)+1)</f>
        <v>10</v>
      </c>
      <c r="P189" s="38" t="n">
        <f aca="false">IF(AND(D189="Receipt",G189="C01"),WORKDAY(N189+Assumptions!$C$14-1,1),N189)</f>
        <v>46371</v>
      </c>
      <c r="Q189" s="11" t="n">
        <f aca="false">IF(INT((P189-Assumptions!$C$2)/7)+1&gt;Assumptions!$C$3,"after W13",INT((P189-Assumptions!$C$2)/7)+1)</f>
        <v>10</v>
      </c>
      <c r="R189" s="38" t="n">
        <f aca="false">IF(AND(D189="Receipt",OR(G189="C01",G189="C02",G189="C03",G189="C04",G189="C07")),WORKDAY(N189+IF(G189="C01",Assumptions!$C$14,Assumptions!$C$15)-1,1),N189)</f>
        <v>46386</v>
      </c>
      <c r="S189" s="11" t="n">
        <f aca="false">IF(INT((R189-Assumptions!$C$2)/7)+1&gt;Assumptions!$C$3,"after W13",INT((R189-Assumptions!$C$2)/7)+1)</f>
        <v>12</v>
      </c>
      <c r="T189" s="11" t="s">
        <v>538</v>
      </c>
      <c r="U189" s="11" t="s">
        <v>275</v>
      </c>
      <c r="V189" s="11" t="s">
        <v>283</v>
      </c>
    </row>
    <row r="190" customFormat="false" ht="15" hidden="false" customHeight="false" outlineLevel="0" collapsed="false">
      <c r="A190" s="11" t="s">
        <v>732</v>
      </c>
      <c r="B190" s="11" t="s">
        <v>55</v>
      </c>
      <c r="C190" s="11" t="s">
        <v>733</v>
      </c>
      <c r="D190" s="11" t="s">
        <v>271</v>
      </c>
      <c r="E190" s="11" t="s">
        <v>291</v>
      </c>
      <c r="F190" s="11" t="s">
        <v>292</v>
      </c>
      <c r="G190" s="11"/>
      <c r="H190" s="37" t="n">
        <v>-4700</v>
      </c>
      <c r="I190" s="26" t="n">
        <v>1</v>
      </c>
      <c r="J190" s="37" t="n">
        <f aca="false">H190*I190</f>
        <v>-4700</v>
      </c>
      <c r="K190" s="38" t="n">
        <v>46372</v>
      </c>
      <c r="L190" s="11"/>
      <c r="M190" s="11"/>
      <c r="N190" s="38" t="n">
        <v>46372</v>
      </c>
      <c r="O190" s="11" t="n">
        <f aca="false">IF(INT((N190-Assumptions!$C$2)/7)+1&gt;Assumptions!$C$3,"after W13",INT((N190-Assumptions!$C$2)/7)+1)</f>
        <v>10</v>
      </c>
      <c r="P190" s="38" t="n">
        <f aca="false">IF(AND(D190="Receipt",G190="C01"),WORKDAY(N190+Assumptions!$C$14-1,1),N190)</f>
        <v>46372</v>
      </c>
      <c r="Q190" s="11" t="n">
        <f aca="false">IF(INT((P190-Assumptions!$C$2)/7)+1&gt;Assumptions!$C$3,"after W13",INT((P190-Assumptions!$C$2)/7)+1)</f>
        <v>10</v>
      </c>
      <c r="R190" s="38" t="n">
        <f aca="false">IF(AND(D190="Receipt",OR(G190="C01",G190="C02",G190="C03",G190="C04",G190="C07")),WORKDAY(N190+IF(G190="C01",Assumptions!$C$14,Assumptions!$C$15)-1,1),N190)</f>
        <v>46372</v>
      </c>
      <c r="S190" s="11" t="n">
        <f aca="false">IF(INT((R190-Assumptions!$C$2)/7)+1&gt;Assumptions!$C$3,"after W13",INT((R190-Assumptions!$C$2)/7)+1)</f>
        <v>10</v>
      </c>
      <c r="T190" s="11" t="s">
        <v>293</v>
      </c>
      <c r="U190" s="11" t="s">
        <v>275</v>
      </c>
      <c r="V190" s="11" t="s">
        <v>294</v>
      </c>
    </row>
    <row r="191" customFormat="false" ht="15" hidden="false" customHeight="false" outlineLevel="0" collapsed="false">
      <c r="A191" s="11" t="s">
        <v>734</v>
      </c>
      <c r="B191" s="11" t="s">
        <v>53</v>
      </c>
      <c r="C191" s="11" t="s">
        <v>735</v>
      </c>
      <c r="D191" s="11" t="s">
        <v>271</v>
      </c>
      <c r="E191" s="11" t="s">
        <v>307</v>
      </c>
      <c r="F191" s="11" t="s">
        <v>308</v>
      </c>
      <c r="G191" s="11"/>
      <c r="H191" s="37" t="n">
        <v>-33897.38</v>
      </c>
      <c r="I191" s="26" t="n">
        <v>1</v>
      </c>
      <c r="J191" s="37" t="n">
        <f aca="false">H191*I191</f>
        <v>-33897.38</v>
      </c>
      <c r="K191" s="38" t="n">
        <v>46374</v>
      </c>
      <c r="L191" s="11"/>
      <c r="M191" s="11"/>
      <c r="N191" s="38" t="n">
        <v>46373</v>
      </c>
      <c r="O191" s="11" t="n">
        <f aca="false">IF(INT((N191-Assumptions!$C$2)/7)+1&gt;Assumptions!$C$3,"after W13",INT((N191-Assumptions!$C$2)/7)+1)</f>
        <v>10</v>
      </c>
      <c r="P191" s="38" t="n">
        <f aca="false">IF(AND(D191="Receipt",G191="C01"),WORKDAY(N191+Assumptions!$C$14-1,1),N191)</f>
        <v>46373</v>
      </c>
      <c r="Q191" s="11" t="n">
        <f aca="false">IF(INT((P191-Assumptions!$C$2)/7)+1&gt;Assumptions!$C$3,"after W13",INT((P191-Assumptions!$C$2)/7)+1)</f>
        <v>10</v>
      </c>
      <c r="R191" s="38" t="n">
        <f aca="false">IF(AND(D191="Receipt",OR(G191="C01",G191="C02",G191="C03",G191="C04",G191="C07")),WORKDAY(N191+IF(G191="C01",Assumptions!$C$14,Assumptions!$C$15)-1,1),N191)</f>
        <v>46373</v>
      </c>
      <c r="S191" s="11" t="n">
        <f aca="false">IF(INT((R191-Assumptions!$C$2)/7)+1&gt;Assumptions!$C$3,"after W13",INT((R191-Assumptions!$C$2)/7)+1)</f>
        <v>10</v>
      </c>
      <c r="T191" s="11" t="s">
        <v>465</v>
      </c>
      <c r="U191" s="11" t="s">
        <v>275</v>
      </c>
      <c r="V191" s="11" t="s">
        <v>310</v>
      </c>
    </row>
    <row r="192" customFormat="false" ht="15" hidden="false" customHeight="false" outlineLevel="0" collapsed="false">
      <c r="A192" s="11" t="s">
        <v>736</v>
      </c>
      <c r="B192" s="11" t="s">
        <v>53</v>
      </c>
      <c r="C192" s="11" t="s">
        <v>737</v>
      </c>
      <c r="D192" s="11" t="s">
        <v>271</v>
      </c>
      <c r="E192" s="11" t="s">
        <v>307</v>
      </c>
      <c r="F192" s="11" t="s">
        <v>313</v>
      </c>
      <c r="G192" s="11"/>
      <c r="H192" s="37" t="n">
        <v>-4927.08</v>
      </c>
      <c r="I192" s="26" t="n">
        <v>1</v>
      </c>
      <c r="J192" s="37" t="n">
        <f aca="false">H192*I192</f>
        <v>-4927.08</v>
      </c>
      <c r="K192" s="38" t="n">
        <v>46379</v>
      </c>
      <c r="L192" s="11"/>
      <c r="M192" s="11"/>
      <c r="N192" s="38" t="n">
        <v>46373</v>
      </c>
      <c r="O192" s="11" t="n">
        <f aca="false">IF(INT((N192-Assumptions!$C$2)/7)+1&gt;Assumptions!$C$3,"after W13",INT((N192-Assumptions!$C$2)/7)+1)</f>
        <v>10</v>
      </c>
      <c r="P192" s="38" t="n">
        <f aca="false">IF(AND(D192="Receipt",G192="C01"),WORKDAY(N192+Assumptions!$C$14-1,1),N192)</f>
        <v>46373</v>
      </c>
      <c r="Q192" s="11" t="n">
        <f aca="false">IF(INT((P192-Assumptions!$C$2)/7)+1&gt;Assumptions!$C$3,"after W13",INT((P192-Assumptions!$C$2)/7)+1)</f>
        <v>10</v>
      </c>
      <c r="R192" s="38" t="n">
        <f aca="false">IF(AND(D192="Receipt",OR(G192="C01",G192="C02",G192="C03",G192="C04",G192="C07")),WORKDAY(N192+IF(G192="C01",Assumptions!$C$14,Assumptions!$C$15)-1,1),N192)</f>
        <v>46373</v>
      </c>
      <c r="S192" s="11" t="n">
        <f aca="false">IF(INT((R192-Assumptions!$C$2)/7)+1&gt;Assumptions!$C$3,"after W13",INT((R192-Assumptions!$C$2)/7)+1)</f>
        <v>10</v>
      </c>
      <c r="T192" s="11" t="s">
        <v>465</v>
      </c>
      <c r="U192" s="11" t="s">
        <v>275</v>
      </c>
      <c r="V192" s="11" t="s">
        <v>314</v>
      </c>
    </row>
    <row r="193" customFormat="false" ht="15" hidden="false" customHeight="false" outlineLevel="0" collapsed="false">
      <c r="A193" s="11" t="s">
        <v>738</v>
      </c>
      <c r="B193" s="11" t="s">
        <v>49</v>
      </c>
      <c r="C193" s="11" t="s">
        <v>739</v>
      </c>
      <c r="D193" s="11" t="s">
        <v>278</v>
      </c>
      <c r="E193" s="11" t="s">
        <v>297</v>
      </c>
      <c r="F193" s="11" t="s">
        <v>298</v>
      </c>
      <c r="G193" s="11" t="s">
        <v>299</v>
      </c>
      <c r="H193" s="37" t="n">
        <v>19060</v>
      </c>
      <c r="I193" s="26" t="n">
        <v>1</v>
      </c>
      <c r="J193" s="37" t="n">
        <f aca="false">H193*I193</f>
        <v>19060</v>
      </c>
      <c r="K193" s="38" t="n">
        <v>46367</v>
      </c>
      <c r="L193" s="11" t="n">
        <v>0</v>
      </c>
      <c r="M193" s="11" t="n">
        <v>6</v>
      </c>
      <c r="N193" s="38" t="n">
        <v>46373</v>
      </c>
      <c r="O193" s="11" t="n">
        <f aca="false">IF(INT((N193-Assumptions!$C$2)/7)+1&gt;Assumptions!$C$3,"after W13",INT((N193-Assumptions!$C$2)/7)+1)</f>
        <v>10</v>
      </c>
      <c r="P193" s="38" t="n">
        <f aca="false">IF(AND(D193="Receipt",G193="C01"),WORKDAY(N193+Assumptions!$C$14-1,1),N193)</f>
        <v>46373</v>
      </c>
      <c r="Q193" s="11" t="n">
        <f aca="false">IF(INT((P193-Assumptions!$C$2)/7)+1&gt;Assumptions!$C$3,"after W13",INT((P193-Assumptions!$C$2)/7)+1)</f>
        <v>10</v>
      </c>
      <c r="R193" s="38" t="n">
        <f aca="false">IF(AND(D193="Receipt",OR(G193="C01",G193="C02",G193="C03",G193="C04",G193="C07")),WORKDAY(N193+IF(G193="C01",Assumptions!$C$14,Assumptions!$C$15)-1,1),N193)</f>
        <v>46373</v>
      </c>
      <c r="S193" s="11" t="n">
        <f aca="false">IF(INT((R193-Assumptions!$C$2)/7)+1&gt;Assumptions!$C$3,"after W13",INT((R193-Assumptions!$C$2)/7)+1)</f>
        <v>10</v>
      </c>
      <c r="T193" s="11" t="s">
        <v>538</v>
      </c>
      <c r="U193" s="11" t="s">
        <v>275</v>
      </c>
      <c r="V193" s="11" t="s">
        <v>283</v>
      </c>
    </row>
    <row r="194" customFormat="false" ht="15" hidden="false" customHeight="false" outlineLevel="0" collapsed="false">
      <c r="A194" s="11" t="s">
        <v>740</v>
      </c>
      <c r="B194" s="11" t="s">
        <v>49</v>
      </c>
      <c r="C194" s="11" t="s">
        <v>741</v>
      </c>
      <c r="D194" s="11" t="s">
        <v>278</v>
      </c>
      <c r="E194" s="11" t="s">
        <v>279</v>
      </c>
      <c r="F194" s="11" t="s">
        <v>280</v>
      </c>
      <c r="G194" s="11" t="s">
        <v>281</v>
      </c>
      <c r="H194" s="37" t="n">
        <v>8256</v>
      </c>
      <c r="I194" s="26" t="n">
        <v>1</v>
      </c>
      <c r="J194" s="37" t="n">
        <f aca="false">H194*I194</f>
        <v>8256</v>
      </c>
      <c r="K194" s="38" t="n">
        <v>46373</v>
      </c>
      <c r="L194" s="11" t="n">
        <v>0</v>
      </c>
      <c r="M194" s="11" t="n">
        <v>0</v>
      </c>
      <c r="N194" s="38" t="n">
        <v>46373</v>
      </c>
      <c r="O194" s="11" t="n">
        <f aca="false">IF(INT((N194-Assumptions!$C$2)/7)+1&gt;Assumptions!$C$3,"after W13",INT((N194-Assumptions!$C$2)/7)+1)</f>
        <v>10</v>
      </c>
      <c r="P194" s="38" t="n">
        <f aca="false">IF(AND(D194="Receipt",G194="C01"),WORKDAY(N194+Assumptions!$C$14-1,1),N194)</f>
        <v>46373</v>
      </c>
      <c r="Q194" s="11" t="n">
        <f aca="false">IF(INT((P194-Assumptions!$C$2)/7)+1&gt;Assumptions!$C$3,"after W13",INT((P194-Assumptions!$C$2)/7)+1)</f>
        <v>10</v>
      </c>
      <c r="R194" s="38" t="n">
        <f aca="false">IF(AND(D194="Receipt",OR(G194="C01",G194="C02",G194="C03",G194="C04",G194="C07")),WORKDAY(N194+IF(G194="C01",Assumptions!$C$14,Assumptions!$C$15)-1,1),N194)</f>
        <v>46373</v>
      </c>
      <c r="S194" s="11" t="n">
        <f aca="false">IF(INT((R194-Assumptions!$C$2)/7)+1&gt;Assumptions!$C$3,"after W13",INT((R194-Assumptions!$C$2)/7)+1)</f>
        <v>10</v>
      </c>
      <c r="T194" s="11" t="s">
        <v>538</v>
      </c>
      <c r="U194" s="11" t="s">
        <v>275</v>
      </c>
      <c r="V194" s="11" t="s">
        <v>283</v>
      </c>
    </row>
    <row r="195" customFormat="false" ht="15" hidden="false" customHeight="false" outlineLevel="0" collapsed="false">
      <c r="A195" s="11" t="s">
        <v>742</v>
      </c>
      <c r="B195" s="11" t="s">
        <v>47</v>
      </c>
      <c r="C195" s="11" t="s">
        <v>743</v>
      </c>
      <c r="D195" s="11" t="s">
        <v>278</v>
      </c>
      <c r="E195" s="11" t="s">
        <v>286</v>
      </c>
      <c r="F195" s="11" t="s">
        <v>327</v>
      </c>
      <c r="G195" s="11" t="s">
        <v>328</v>
      </c>
      <c r="H195" s="37" t="n">
        <v>22356</v>
      </c>
      <c r="I195" s="26" t="n">
        <v>1</v>
      </c>
      <c r="J195" s="37" t="n">
        <f aca="false">H195*I195</f>
        <v>22356</v>
      </c>
      <c r="K195" s="38" t="n">
        <v>46353</v>
      </c>
      <c r="L195" s="11" t="n">
        <v>0</v>
      </c>
      <c r="M195" s="11" t="n">
        <v>21</v>
      </c>
      <c r="N195" s="38" t="n">
        <v>46374</v>
      </c>
      <c r="O195" s="11" t="n">
        <f aca="false">IF(INT((N195-Assumptions!$C$2)/7)+1&gt;Assumptions!$C$3,"after W13",INT((N195-Assumptions!$C$2)/7)+1)</f>
        <v>10</v>
      </c>
      <c r="P195" s="38" t="n">
        <f aca="false">IF(AND(D195="Receipt",G195="C01"),WORKDAY(N195+Assumptions!$C$14-1,1),N195)</f>
        <v>46374</v>
      </c>
      <c r="Q195" s="11" t="n">
        <f aca="false">IF(INT((P195-Assumptions!$C$2)/7)+1&gt;Assumptions!$C$3,"after W13",INT((P195-Assumptions!$C$2)/7)+1)</f>
        <v>10</v>
      </c>
      <c r="R195" s="38" t="n">
        <f aca="false">IF(AND(D195="Receipt",OR(G195="C01",G195="C02",G195="C03",G195="C04",G195="C07")),WORKDAY(N195+IF(G195="C01",Assumptions!$C$14,Assumptions!$C$15)-1,1),N195)</f>
        <v>46391</v>
      </c>
      <c r="S195" s="11" t="n">
        <f aca="false">IF(INT((R195-Assumptions!$C$2)/7)+1&gt;Assumptions!$C$3,"after W13",INT((R195-Assumptions!$C$2)/7)+1)</f>
        <v>13</v>
      </c>
      <c r="T195" s="11" t="s">
        <v>282</v>
      </c>
      <c r="U195" s="11" t="s">
        <v>275</v>
      </c>
      <c r="V195" s="11" t="s">
        <v>283</v>
      </c>
    </row>
    <row r="196" customFormat="false" ht="15" hidden="false" customHeight="false" outlineLevel="0" collapsed="false">
      <c r="A196" s="11" t="s">
        <v>744</v>
      </c>
      <c r="B196" s="11" t="s">
        <v>47</v>
      </c>
      <c r="C196" s="11" t="s">
        <v>745</v>
      </c>
      <c r="D196" s="11" t="s">
        <v>278</v>
      </c>
      <c r="E196" s="11" t="s">
        <v>286</v>
      </c>
      <c r="F196" s="11" t="s">
        <v>331</v>
      </c>
      <c r="G196" s="11" t="s">
        <v>332</v>
      </c>
      <c r="H196" s="37" t="n">
        <v>6516</v>
      </c>
      <c r="I196" s="26" t="n">
        <v>1</v>
      </c>
      <c r="J196" s="37" t="n">
        <f aca="false">H196*I196</f>
        <v>6516</v>
      </c>
      <c r="K196" s="38" t="n">
        <v>46349</v>
      </c>
      <c r="L196" s="11" t="n">
        <v>0</v>
      </c>
      <c r="M196" s="11" t="n">
        <v>25</v>
      </c>
      <c r="N196" s="38" t="n">
        <v>46374</v>
      </c>
      <c r="O196" s="11" t="n">
        <f aca="false">IF(INT((N196-Assumptions!$C$2)/7)+1&gt;Assumptions!$C$3,"after W13",INT((N196-Assumptions!$C$2)/7)+1)</f>
        <v>10</v>
      </c>
      <c r="P196" s="38" t="n">
        <f aca="false">IF(AND(D196="Receipt",G196="C01"),WORKDAY(N196+Assumptions!$C$14-1,1),N196)</f>
        <v>46374</v>
      </c>
      <c r="Q196" s="11" t="n">
        <f aca="false">IF(INT((P196-Assumptions!$C$2)/7)+1&gt;Assumptions!$C$3,"after W13",INT((P196-Assumptions!$C$2)/7)+1)</f>
        <v>10</v>
      </c>
      <c r="R196" s="38" t="n">
        <f aca="false">IF(AND(D196="Receipt",OR(G196="C01",G196="C02",G196="C03",G196="C04",G196="C07")),WORKDAY(N196+IF(G196="C01",Assumptions!$C$14,Assumptions!$C$15)-1,1),N196)</f>
        <v>46391</v>
      </c>
      <c r="S196" s="11" t="n">
        <f aca="false">IF(INT((R196-Assumptions!$C$2)/7)+1&gt;Assumptions!$C$3,"after W13",INT((R196-Assumptions!$C$2)/7)+1)</f>
        <v>13</v>
      </c>
      <c r="T196" s="11" t="s">
        <v>282</v>
      </c>
      <c r="U196" s="11" t="s">
        <v>275</v>
      </c>
      <c r="V196" s="11" t="s">
        <v>283</v>
      </c>
    </row>
    <row r="197" customFormat="false" ht="15" hidden="false" customHeight="false" outlineLevel="0" collapsed="false">
      <c r="A197" s="11" t="s">
        <v>746</v>
      </c>
      <c r="B197" s="11" t="s">
        <v>47</v>
      </c>
      <c r="C197" s="11" t="s">
        <v>747</v>
      </c>
      <c r="D197" s="11" t="s">
        <v>278</v>
      </c>
      <c r="E197" s="11" t="s">
        <v>286</v>
      </c>
      <c r="F197" s="11" t="s">
        <v>349</v>
      </c>
      <c r="G197" s="11" t="s">
        <v>350</v>
      </c>
      <c r="H197" s="37" t="n">
        <v>9348</v>
      </c>
      <c r="I197" s="26" t="n">
        <v>1</v>
      </c>
      <c r="J197" s="37" t="n">
        <f aca="false">H197*I197</f>
        <v>9348</v>
      </c>
      <c r="K197" s="38" t="n">
        <v>46364</v>
      </c>
      <c r="L197" s="11" t="n">
        <v>0</v>
      </c>
      <c r="M197" s="11" t="n">
        <v>10</v>
      </c>
      <c r="N197" s="38" t="n">
        <v>46374</v>
      </c>
      <c r="O197" s="11" t="n">
        <f aca="false">IF(INT((N197-Assumptions!$C$2)/7)+1&gt;Assumptions!$C$3,"after W13",INT((N197-Assumptions!$C$2)/7)+1)</f>
        <v>10</v>
      </c>
      <c r="P197" s="38" t="n">
        <f aca="false">IF(AND(D197="Receipt",G197="C01"),WORKDAY(N197+Assumptions!$C$14-1,1),N197)</f>
        <v>46374</v>
      </c>
      <c r="Q197" s="11" t="n">
        <f aca="false">IF(INT((P197-Assumptions!$C$2)/7)+1&gt;Assumptions!$C$3,"after W13",INT((P197-Assumptions!$C$2)/7)+1)</f>
        <v>10</v>
      </c>
      <c r="R197" s="38" t="n">
        <f aca="false">IF(AND(D197="Receipt",OR(G197="C01",G197="C02",G197="C03",G197="C04",G197="C07")),WORKDAY(N197+IF(G197="C01",Assumptions!$C$14,Assumptions!$C$15)-1,1),N197)</f>
        <v>46391</v>
      </c>
      <c r="S197" s="11" t="n">
        <f aca="false">IF(INT((R197-Assumptions!$C$2)/7)+1&gt;Assumptions!$C$3,"after W13",INT((R197-Assumptions!$C$2)/7)+1)</f>
        <v>13</v>
      </c>
      <c r="T197" s="11" t="s">
        <v>282</v>
      </c>
      <c r="U197" s="11" t="s">
        <v>275</v>
      </c>
      <c r="V197" s="11" t="s">
        <v>283</v>
      </c>
    </row>
    <row r="198" customFormat="false" ht="15" hidden="false" customHeight="false" outlineLevel="0" collapsed="false">
      <c r="A198" s="11" t="s">
        <v>748</v>
      </c>
      <c r="B198" s="11" t="s">
        <v>49</v>
      </c>
      <c r="C198" s="11" t="s">
        <v>749</v>
      </c>
      <c r="D198" s="11" t="s">
        <v>278</v>
      </c>
      <c r="E198" s="11" t="s">
        <v>279</v>
      </c>
      <c r="F198" s="11" t="s">
        <v>280</v>
      </c>
      <c r="G198" s="11" t="s">
        <v>281</v>
      </c>
      <c r="H198" s="37" t="n">
        <v>11340</v>
      </c>
      <c r="I198" s="26" t="n">
        <v>1</v>
      </c>
      <c r="J198" s="37" t="n">
        <f aca="false">H198*I198</f>
        <v>11340</v>
      </c>
      <c r="K198" s="38" t="n">
        <v>46374</v>
      </c>
      <c r="L198" s="11" t="n">
        <v>0</v>
      </c>
      <c r="M198" s="11" t="n">
        <v>0</v>
      </c>
      <c r="N198" s="38" t="n">
        <v>46374</v>
      </c>
      <c r="O198" s="11" t="n">
        <f aca="false">IF(INT((N198-Assumptions!$C$2)/7)+1&gt;Assumptions!$C$3,"after W13",INT((N198-Assumptions!$C$2)/7)+1)</f>
        <v>10</v>
      </c>
      <c r="P198" s="38" t="n">
        <f aca="false">IF(AND(D198="Receipt",G198="C01"),WORKDAY(N198+Assumptions!$C$14-1,1),N198)</f>
        <v>46374</v>
      </c>
      <c r="Q198" s="11" t="n">
        <f aca="false">IF(INT((P198-Assumptions!$C$2)/7)+1&gt;Assumptions!$C$3,"after W13",INT((P198-Assumptions!$C$2)/7)+1)</f>
        <v>10</v>
      </c>
      <c r="R198" s="38" t="n">
        <f aca="false">IF(AND(D198="Receipt",OR(G198="C01",G198="C02",G198="C03",G198="C04",G198="C07")),WORKDAY(N198+IF(G198="C01",Assumptions!$C$14,Assumptions!$C$15)-1,1),N198)</f>
        <v>46374</v>
      </c>
      <c r="S198" s="11" t="n">
        <f aca="false">IF(INT((R198-Assumptions!$C$2)/7)+1&gt;Assumptions!$C$3,"after W13",INT((R198-Assumptions!$C$2)/7)+1)</f>
        <v>10</v>
      </c>
      <c r="T198" s="11" t="s">
        <v>538</v>
      </c>
      <c r="U198" s="11" t="s">
        <v>275</v>
      </c>
      <c r="V198" s="11" t="s">
        <v>283</v>
      </c>
    </row>
    <row r="199" customFormat="false" ht="15" hidden="false" customHeight="false" outlineLevel="0" collapsed="false">
      <c r="A199" s="11" t="s">
        <v>750</v>
      </c>
      <c r="B199" s="11" t="s">
        <v>49</v>
      </c>
      <c r="C199" s="11" t="s">
        <v>751</v>
      </c>
      <c r="D199" s="11" t="s">
        <v>278</v>
      </c>
      <c r="E199" s="11" t="s">
        <v>297</v>
      </c>
      <c r="F199" s="11" t="s">
        <v>298</v>
      </c>
      <c r="G199" s="11" t="s">
        <v>299</v>
      </c>
      <c r="H199" s="37" t="n">
        <v>6920</v>
      </c>
      <c r="I199" s="26" t="n">
        <v>1</v>
      </c>
      <c r="J199" s="37" t="n">
        <f aca="false">H199*I199</f>
        <v>6920</v>
      </c>
      <c r="K199" s="38" t="n">
        <v>46371</v>
      </c>
      <c r="L199" s="11" t="n">
        <v>0</v>
      </c>
      <c r="M199" s="11" t="n">
        <v>6</v>
      </c>
      <c r="N199" s="38" t="n">
        <v>46377</v>
      </c>
      <c r="O199" s="11" t="n">
        <f aca="false">IF(INT((N199-Assumptions!$C$2)/7)+1&gt;Assumptions!$C$3,"after W13",INT((N199-Assumptions!$C$2)/7)+1)</f>
        <v>11</v>
      </c>
      <c r="P199" s="38" t="n">
        <f aca="false">IF(AND(D199="Receipt",G199="C01"),WORKDAY(N199+Assumptions!$C$14-1,1),N199)</f>
        <v>46377</v>
      </c>
      <c r="Q199" s="11" t="n">
        <f aca="false">IF(INT((P199-Assumptions!$C$2)/7)+1&gt;Assumptions!$C$3,"after W13",INT((P199-Assumptions!$C$2)/7)+1)</f>
        <v>11</v>
      </c>
      <c r="R199" s="38" t="n">
        <f aca="false">IF(AND(D199="Receipt",OR(G199="C01",G199="C02",G199="C03",G199="C04",G199="C07")),WORKDAY(N199+IF(G199="C01",Assumptions!$C$14,Assumptions!$C$15)-1,1),N199)</f>
        <v>46377</v>
      </c>
      <c r="S199" s="11" t="n">
        <f aca="false">IF(INT((R199-Assumptions!$C$2)/7)+1&gt;Assumptions!$C$3,"after W13",INT((R199-Assumptions!$C$2)/7)+1)</f>
        <v>11</v>
      </c>
      <c r="T199" s="11" t="s">
        <v>538</v>
      </c>
      <c r="U199" s="11" t="s">
        <v>275</v>
      </c>
      <c r="V199" s="11" t="s">
        <v>283</v>
      </c>
    </row>
    <row r="200" customFormat="false" ht="15" hidden="false" customHeight="false" outlineLevel="0" collapsed="false">
      <c r="A200" s="11" t="s">
        <v>752</v>
      </c>
      <c r="B200" s="11" t="s">
        <v>49</v>
      </c>
      <c r="C200" s="11" t="s">
        <v>753</v>
      </c>
      <c r="D200" s="11" t="s">
        <v>278</v>
      </c>
      <c r="E200" s="11" t="s">
        <v>279</v>
      </c>
      <c r="F200" s="11" t="s">
        <v>335</v>
      </c>
      <c r="G200" s="11" t="s">
        <v>336</v>
      </c>
      <c r="H200" s="37" t="n">
        <v>8868</v>
      </c>
      <c r="I200" s="26" t="n">
        <v>1</v>
      </c>
      <c r="J200" s="37" t="n">
        <f aca="false">H200*I200</f>
        <v>8868</v>
      </c>
      <c r="K200" s="38" t="n">
        <v>46368</v>
      </c>
      <c r="L200" s="11" t="n">
        <v>0</v>
      </c>
      <c r="M200" s="11" t="n">
        <v>7</v>
      </c>
      <c r="N200" s="38" t="n">
        <v>46377</v>
      </c>
      <c r="O200" s="11" t="n">
        <f aca="false">IF(INT((N200-Assumptions!$C$2)/7)+1&gt;Assumptions!$C$3,"after W13",INT((N200-Assumptions!$C$2)/7)+1)</f>
        <v>11</v>
      </c>
      <c r="P200" s="38" t="n">
        <f aca="false">IF(AND(D200="Receipt",G200="C01"),WORKDAY(N200+Assumptions!$C$14-1,1),N200)</f>
        <v>46377</v>
      </c>
      <c r="Q200" s="11" t="n">
        <f aca="false">IF(INT((P200-Assumptions!$C$2)/7)+1&gt;Assumptions!$C$3,"after W13",INT((P200-Assumptions!$C$2)/7)+1)</f>
        <v>11</v>
      </c>
      <c r="R200" s="38" t="n">
        <f aca="false">IF(AND(D200="Receipt",OR(G200="C01",G200="C02",G200="C03",G200="C04",G200="C07")),WORKDAY(N200+IF(G200="C01",Assumptions!$C$14,Assumptions!$C$15)-1,1),N200)</f>
        <v>46377</v>
      </c>
      <c r="S200" s="11" t="n">
        <f aca="false">IF(INT((R200-Assumptions!$C$2)/7)+1&gt;Assumptions!$C$3,"after W13",INT((R200-Assumptions!$C$2)/7)+1)</f>
        <v>11</v>
      </c>
      <c r="T200" s="11" t="s">
        <v>538</v>
      </c>
      <c r="U200" s="11" t="s">
        <v>275</v>
      </c>
      <c r="V200" s="11" t="s">
        <v>283</v>
      </c>
    </row>
    <row r="201" customFormat="false" ht="15" hidden="false" customHeight="false" outlineLevel="0" collapsed="false">
      <c r="A201" s="11" t="s">
        <v>754</v>
      </c>
      <c r="B201" s="11" t="s">
        <v>49</v>
      </c>
      <c r="C201" s="11" t="s">
        <v>755</v>
      </c>
      <c r="D201" s="11" t="s">
        <v>278</v>
      </c>
      <c r="E201" s="11" t="s">
        <v>279</v>
      </c>
      <c r="F201" s="11" t="s">
        <v>335</v>
      </c>
      <c r="G201" s="11" t="s">
        <v>336</v>
      </c>
      <c r="H201" s="37" t="n">
        <v>5940</v>
      </c>
      <c r="I201" s="26" t="n">
        <v>1</v>
      </c>
      <c r="J201" s="37" t="n">
        <f aca="false">H201*I201</f>
        <v>5940</v>
      </c>
      <c r="K201" s="38" t="n">
        <v>46368</v>
      </c>
      <c r="L201" s="11" t="n">
        <v>0</v>
      </c>
      <c r="M201" s="11" t="n">
        <v>7</v>
      </c>
      <c r="N201" s="38" t="n">
        <v>46377</v>
      </c>
      <c r="O201" s="11" t="n">
        <f aca="false">IF(INT((N201-Assumptions!$C$2)/7)+1&gt;Assumptions!$C$3,"after W13",INT((N201-Assumptions!$C$2)/7)+1)</f>
        <v>11</v>
      </c>
      <c r="P201" s="38" t="n">
        <f aca="false">IF(AND(D201="Receipt",G201="C01"),WORKDAY(N201+Assumptions!$C$14-1,1),N201)</f>
        <v>46377</v>
      </c>
      <c r="Q201" s="11" t="n">
        <f aca="false">IF(INT((P201-Assumptions!$C$2)/7)+1&gt;Assumptions!$C$3,"after W13",INT((P201-Assumptions!$C$2)/7)+1)</f>
        <v>11</v>
      </c>
      <c r="R201" s="38" t="n">
        <f aca="false">IF(AND(D201="Receipt",OR(G201="C01",G201="C02",G201="C03",G201="C04",G201="C07")),WORKDAY(N201+IF(G201="C01",Assumptions!$C$14,Assumptions!$C$15)-1,1),N201)</f>
        <v>46377</v>
      </c>
      <c r="S201" s="11" t="n">
        <f aca="false">IF(INT((R201-Assumptions!$C$2)/7)+1&gt;Assumptions!$C$3,"after W13",INT((R201-Assumptions!$C$2)/7)+1)</f>
        <v>11</v>
      </c>
      <c r="T201" s="11" t="s">
        <v>538</v>
      </c>
      <c r="U201" s="11" t="s">
        <v>275</v>
      </c>
      <c r="V201" s="11" t="s">
        <v>283</v>
      </c>
    </row>
    <row r="202" customFormat="false" ht="15" hidden="false" customHeight="false" outlineLevel="0" collapsed="false">
      <c r="A202" s="11" t="s">
        <v>756</v>
      </c>
      <c r="B202" s="11" t="s">
        <v>49</v>
      </c>
      <c r="C202" s="11" t="s">
        <v>757</v>
      </c>
      <c r="D202" s="11" t="s">
        <v>278</v>
      </c>
      <c r="E202" s="11" t="s">
        <v>279</v>
      </c>
      <c r="F202" s="11" t="s">
        <v>280</v>
      </c>
      <c r="G202" s="11" t="s">
        <v>281</v>
      </c>
      <c r="H202" s="37" t="n">
        <v>7740</v>
      </c>
      <c r="I202" s="26" t="n">
        <v>1</v>
      </c>
      <c r="J202" s="37" t="n">
        <f aca="false">H202*I202</f>
        <v>7740</v>
      </c>
      <c r="K202" s="38" t="n">
        <v>46376</v>
      </c>
      <c r="L202" s="11" t="n">
        <v>0</v>
      </c>
      <c r="M202" s="11" t="n">
        <v>0</v>
      </c>
      <c r="N202" s="38" t="n">
        <v>46377</v>
      </c>
      <c r="O202" s="11" t="n">
        <f aca="false">IF(INT((N202-Assumptions!$C$2)/7)+1&gt;Assumptions!$C$3,"after W13",INT((N202-Assumptions!$C$2)/7)+1)</f>
        <v>11</v>
      </c>
      <c r="P202" s="38" t="n">
        <f aca="false">IF(AND(D202="Receipt",G202="C01"),WORKDAY(N202+Assumptions!$C$14-1,1),N202)</f>
        <v>46377</v>
      </c>
      <c r="Q202" s="11" t="n">
        <f aca="false">IF(INT((P202-Assumptions!$C$2)/7)+1&gt;Assumptions!$C$3,"after W13",INT((P202-Assumptions!$C$2)/7)+1)</f>
        <v>11</v>
      </c>
      <c r="R202" s="38" t="n">
        <f aca="false">IF(AND(D202="Receipt",OR(G202="C01",G202="C02",G202="C03",G202="C04",G202="C07")),WORKDAY(N202+IF(G202="C01",Assumptions!$C$14,Assumptions!$C$15)-1,1),N202)</f>
        <v>46377</v>
      </c>
      <c r="S202" s="11" t="n">
        <f aca="false">IF(INT((R202-Assumptions!$C$2)/7)+1&gt;Assumptions!$C$3,"after W13",INT((R202-Assumptions!$C$2)/7)+1)</f>
        <v>11</v>
      </c>
      <c r="T202" s="11" t="s">
        <v>538</v>
      </c>
      <c r="U202" s="11" t="s">
        <v>275</v>
      </c>
      <c r="V202" s="11" t="s">
        <v>283</v>
      </c>
    </row>
    <row r="203" customFormat="false" ht="15" hidden="false" customHeight="false" outlineLevel="0" collapsed="false">
      <c r="A203" s="11" t="s">
        <v>758</v>
      </c>
      <c r="B203" s="11" t="s">
        <v>49</v>
      </c>
      <c r="C203" s="11" t="s">
        <v>759</v>
      </c>
      <c r="D203" s="11" t="s">
        <v>278</v>
      </c>
      <c r="E203" s="11" t="s">
        <v>279</v>
      </c>
      <c r="F203" s="11" t="s">
        <v>280</v>
      </c>
      <c r="G203" s="11" t="s">
        <v>281</v>
      </c>
      <c r="H203" s="37" t="n">
        <v>5412</v>
      </c>
      <c r="I203" s="26" t="n">
        <v>1</v>
      </c>
      <c r="J203" s="37" t="n">
        <f aca="false">H203*I203</f>
        <v>5412</v>
      </c>
      <c r="K203" s="38" t="n">
        <v>46377</v>
      </c>
      <c r="L203" s="11" t="n">
        <v>0</v>
      </c>
      <c r="M203" s="11" t="n">
        <v>0</v>
      </c>
      <c r="N203" s="38" t="n">
        <v>46377</v>
      </c>
      <c r="O203" s="11" t="n">
        <f aca="false">IF(INT((N203-Assumptions!$C$2)/7)+1&gt;Assumptions!$C$3,"after W13",INT((N203-Assumptions!$C$2)/7)+1)</f>
        <v>11</v>
      </c>
      <c r="P203" s="38" t="n">
        <f aca="false">IF(AND(D203="Receipt",G203="C01"),WORKDAY(N203+Assumptions!$C$14-1,1),N203)</f>
        <v>46377</v>
      </c>
      <c r="Q203" s="11" t="n">
        <f aca="false">IF(INT((P203-Assumptions!$C$2)/7)+1&gt;Assumptions!$C$3,"after W13",INT((P203-Assumptions!$C$2)/7)+1)</f>
        <v>11</v>
      </c>
      <c r="R203" s="38" t="n">
        <f aca="false">IF(AND(D203="Receipt",OR(G203="C01",G203="C02",G203="C03",G203="C04",G203="C07")),WORKDAY(N203+IF(G203="C01",Assumptions!$C$14,Assumptions!$C$15)-1,1),N203)</f>
        <v>46377</v>
      </c>
      <c r="S203" s="11" t="n">
        <f aca="false">IF(INT((R203-Assumptions!$C$2)/7)+1&gt;Assumptions!$C$3,"after W13",INT((R203-Assumptions!$C$2)/7)+1)</f>
        <v>11</v>
      </c>
      <c r="T203" s="11" t="s">
        <v>538</v>
      </c>
      <c r="U203" s="11" t="s">
        <v>275</v>
      </c>
      <c r="V203" s="11" t="s">
        <v>283</v>
      </c>
    </row>
    <row r="204" customFormat="false" ht="15" hidden="false" customHeight="false" outlineLevel="0" collapsed="false">
      <c r="A204" s="11" t="s">
        <v>760</v>
      </c>
      <c r="B204" s="11" t="s">
        <v>49</v>
      </c>
      <c r="C204" s="11" t="s">
        <v>761</v>
      </c>
      <c r="D204" s="11" t="s">
        <v>278</v>
      </c>
      <c r="E204" s="11" t="s">
        <v>398</v>
      </c>
      <c r="F204" s="11" t="s">
        <v>399</v>
      </c>
      <c r="G204" s="11" t="s">
        <v>400</v>
      </c>
      <c r="H204" s="37" t="n">
        <v>14244</v>
      </c>
      <c r="I204" s="26" t="n">
        <v>1</v>
      </c>
      <c r="J204" s="37" t="n">
        <f aca="false">H204*I204</f>
        <v>14244</v>
      </c>
      <c r="K204" s="38" t="n">
        <v>46369</v>
      </c>
      <c r="L204" s="11" t="n">
        <v>0</v>
      </c>
      <c r="M204" s="11" t="n">
        <v>8.5</v>
      </c>
      <c r="N204" s="38" t="n">
        <v>46377</v>
      </c>
      <c r="O204" s="11" t="n">
        <f aca="false">IF(INT((N204-Assumptions!$C$2)/7)+1&gt;Assumptions!$C$3,"after W13",INT((N204-Assumptions!$C$2)/7)+1)</f>
        <v>11</v>
      </c>
      <c r="P204" s="38" t="n">
        <f aca="false">IF(AND(D204="Receipt",G204="C01"),WORKDAY(N204+Assumptions!$C$14-1,1),N204)</f>
        <v>46377</v>
      </c>
      <c r="Q204" s="11" t="n">
        <f aca="false">IF(INT((P204-Assumptions!$C$2)/7)+1&gt;Assumptions!$C$3,"after W13",INT((P204-Assumptions!$C$2)/7)+1)</f>
        <v>11</v>
      </c>
      <c r="R204" s="38" t="n">
        <f aca="false">IF(AND(D204="Receipt",OR(G204="C01",G204="C02",G204="C03",G204="C04",G204="C07")),WORKDAY(N204+IF(G204="C01",Assumptions!$C$14,Assumptions!$C$15)-1,1),N204)</f>
        <v>46377</v>
      </c>
      <c r="S204" s="11" t="n">
        <f aca="false">IF(INT((R204-Assumptions!$C$2)/7)+1&gt;Assumptions!$C$3,"after W13",INT((R204-Assumptions!$C$2)/7)+1)</f>
        <v>11</v>
      </c>
      <c r="T204" s="11" t="s">
        <v>538</v>
      </c>
      <c r="U204" s="11" t="s">
        <v>275</v>
      </c>
      <c r="V204" s="11" t="s">
        <v>283</v>
      </c>
    </row>
    <row r="205" customFormat="false" ht="15" hidden="false" customHeight="false" outlineLevel="0" collapsed="false">
      <c r="A205" s="11" t="s">
        <v>762</v>
      </c>
      <c r="B205" s="11" t="s">
        <v>49</v>
      </c>
      <c r="C205" s="11" t="s">
        <v>763</v>
      </c>
      <c r="D205" s="11" t="s">
        <v>278</v>
      </c>
      <c r="E205" s="11" t="s">
        <v>286</v>
      </c>
      <c r="F205" s="11" t="s">
        <v>287</v>
      </c>
      <c r="G205" s="11" t="s">
        <v>288</v>
      </c>
      <c r="H205" s="37" t="n">
        <v>5028</v>
      </c>
      <c r="I205" s="26" t="n">
        <v>1</v>
      </c>
      <c r="J205" s="37" t="n">
        <f aca="false">H205*I205</f>
        <v>5028</v>
      </c>
      <c r="K205" s="38" t="n">
        <v>46374</v>
      </c>
      <c r="L205" s="11" t="n">
        <v>0</v>
      </c>
      <c r="M205" s="11" t="n">
        <v>3</v>
      </c>
      <c r="N205" s="38" t="n">
        <v>46377</v>
      </c>
      <c r="O205" s="11" t="n">
        <f aca="false">IF(INT((N205-Assumptions!$C$2)/7)+1&gt;Assumptions!$C$3,"after W13",INT((N205-Assumptions!$C$2)/7)+1)</f>
        <v>11</v>
      </c>
      <c r="P205" s="38" t="n">
        <f aca="false">IF(AND(D205="Receipt",G205="C01"),WORKDAY(N205+Assumptions!$C$14-1,1),N205)</f>
        <v>46377</v>
      </c>
      <c r="Q205" s="11" t="n">
        <f aca="false">IF(INT((P205-Assumptions!$C$2)/7)+1&gt;Assumptions!$C$3,"after W13",INT((P205-Assumptions!$C$2)/7)+1)</f>
        <v>11</v>
      </c>
      <c r="R205" s="38" t="n">
        <f aca="false">IF(AND(D205="Receipt",OR(G205="C01",G205="C02",G205="C03",G205="C04",G205="C07")),WORKDAY(N205+IF(G205="C01",Assumptions!$C$14,Assumptions!$C$15)-1,1),N205)</f>
        <v>46392</v>
      </c>
      <c r="S205" s="11" t="n">
        <f aca="false">IF(INT((R205-Assumptions!$C$2)/7)+1&gt;Assumptions!$C$3,"after W13",INT((R205-Assumptions!$C$2)/7)+1)</f>
        <v>13</v>
      </c>
      <c r="T205" s="11" t="s">
        <v>538</v>
      </c>
      <c r="U205" s="11" t="s">
        <v>275</v>
      </c>
      <c r="V205" s="11" t="s">
        <v>283</v>
      </c>
    </row>
    <row r="206" customFormat="false" ht="15" hidden="false" customHeight="false" outlineLevel="0" collapsed="false">
      <c r="A206" s="11" t="s">
        <v>764</v>
      </c>
      <c r="B206" s="11" t="s">
        <v>49</v>
      </c>
      <c r="C206" s="11" t="s">
        <v>765</v>
      </c>
      <c r="D206" s="11" t="s">
        <v>278</v>
      </c>
      <c r="E206" s="11" t="s">
        <v>286</v>
      </c>
      <c r="F206" s="11" t="s">
        <v>287</v>
      </c>
      <c r="G206" s="11" t="s">
        <v>288</v>
      </c>
      <c r="H206" s="37" t="n">
        <v>1752</v>
      </c>
      <c r="I206" s="26" t="n">
        <v>1</v>
      </c>
      <c r="J206" s="37" t="n">
        <f aca="false">H206*I206</f>
        <v>1752</v>
      </c>
      <c r="K206" s="38" t="n">
        <v>46374</v>
      </c>
      <c r="L206" s="11" t="n">
        <v>0</v>
      </c>
      <c r="M206" s="11" t="n">
        <v>3</v>
      </c>
      <c r="N206" s="38" t="n">
        <v>46377</v>
      </c>
      <c r="O206" s="11" t="n">
        <f aca="false">IF(INT((N206-Assumptions!$C$2)/7)+1&gt;Assumptions!$C$3,"after W13",INT((N206-Assumptions!$C$2)/7)+1)</f>
        <v>11</v>
      </c>
      <c r="P206" s="38" t="n">
        <f aca="false">IF(AND(D206="Receipt",G206="C01"),WORKDAY(N206+Assumptions!$C$14-1,1),N206)</f>
        <v>46377</v>
      </c>
      <c r="Q206" s="11" t="n">
        <f aca="false">IF(INT((P206-Assumptions!$C$2)/7)+1&gt;Assumptions!$C$3,"after W13",INT((P206-Assumptions!$C$2)/7)+1)</f>
        <v>11</v>
      </c>
      <c r="R206" s="38" t="n">
        <f aca="false">IF(AND(D206="Receipt",OR(G206="C01",G206="C02",G206="C03",G206="C04",G206="C07")),WORKDAY(N206+IF(G206="C01",Assumptions!$C$14,Assumptions!$C$15)-1,1),N206)</f>
        <v>46392</v>
      </c>
      <c r="S206" s="11" t="n">
        <f aca="false">IF(INT((R206-Assumptions!$C$2)/7)+1&gt;Assumptions!$C$3,"after W13",INT((R206-Assumptions!$C$2)/7)+1)</f>
        <v>13</v>
      </c>
      <c r="T206" s="11" t="s">
        <v>538</v>
      </c>
      <c r="U206" s="11" t="s">
        <v>275</v>
      </c>
      <c r="V206" s="11" t="s">
        <v>283</v>
      </c>
    </row>
    <row r="207" customFormat="false" ht="15" hidden="false" customHeight="false" outlineLevel="0" collapsed="false">
      <c r="A207" s="11" t="s">
        <v>766</v>
      </c>
      <c r="B207" s="11" t="s">
        <v>49</v>
      </c>
      <c r="C207" s="11" t="s">
        <v>767</v>
      </c>
      <c r="D207" s="11" t="s">
        <v>278</v>
      </c>
      <c r="E207" s="11" t="s">
        <v>286</v>
      </c>
      <c r="F207" s="11" t="s">
        <v>349</v>
      </c>
      <c r="G207" s="11" t="s">
        <v>350</v>
      </c>
      <c r="H207" s="37" t="n">
        <v>8244</v>
      </c>
      <c r="I207" s="26" t="n">
        <v>1</v>
      </c>
      <c r="J207" s="37" t="n">
        <f aca="false">H207*I207</f>
        <v>8244</v>
      </c>
      <c r="K207" s="38" t="n">
        <v>46368</v>
      </c>
      <c r="L207" s="11" t="n">
        <v>0</v>
      </c>
      <c r="M207" s="11" t="n">
        <v>10</v>
      </c>
      <c r="N207" s="38" t="n">
        <v>46378</v>
      </c>
      <c r="O207" s="11" t="n">
        <f aca="false">IF(INT((N207-Assumptions!$C$2)/7)+1&gt;Assumptions!$C$3,"after W13",INT((N207-Assumptions!$C$2)/7)+1)</f>
        <v>11</v>
      </c>
      <c r="P207" s="38" t="n">
        <f aca="false">IF(AND(D207="Receipt",G207="C01"),WORKDAY(N207+Assumptions!$C$14-1,1),N207)</f>
        <v>46378</v>
      </c>
      <c r="Q207" s="11" t="n">
        <f aca="false">IF(INT((P207-Assumptions!$C$2)/7)+1&gt;Assumptions!$C$3,"after W13",INT((P207-Assumptions!$C$2)/7)+1)</f>
        <v>11</v>
      </c>
      <c r="R207" s="38" t="n">
        <f aca="false">IF(AND(D207="Receipt",OR(G207="C01",G207="C02",G207="C03",G207="C04",G207="C07")),WORKDAY(N207+IF(G207="C01",Assumptions!$C$14,Assumptions!$C$15)-1,1),N207)</f>
        <v>46393</v>
      </c>
      <c r="S207" s="11" t="n">
        <f aca="false">IF(INT((R207-Assumptions!$C$2)/7)+1&gt;Assumptions!$C$3,"after W13",INT((R207-Assumptions!$C$2)/7)+1)</f>
        <v>13</v>
      </c>
      <c r="T207" s="11" t="s">
        <v>538</v>
      </c>
      <c r="U207" s="11" t="s">
        <v>275</v>
      </c>
      <c r="V207" s="11" t="s">
        <v>283</v>
      </c>
    </row>
    <row r="208" customFormat="false" ht="15" hidden="false" customHeight="false" outlineLevel="0" collapsed="false">
      <c r="A208" s="11" t="s">
        <v>768</v>
      </c>
      <c r="B208" s="11" t="s">
        <v>49</v>
      </c>
      <c r="C208" s="11" t="s">
        <v>769</v>
      </c>
      <c r="D208" s="11" t="s">
        <v>278</v>
      </c>
      <c r="E208" s="11" t="s">
        <v>286</v>
      </c>
      <c r="F208" s="11" t="s">
        <v>331</v>
      </c>
      <c r="G208" s="11" t="s">
        <v>332</v>
      </c>
      <c r="H208" s="37" t="n">
        <v>11340</v>
      </c>
      <c r="I208" s="26" t="n">
        <v>1</v>
      </c>
      <c r="J208" s="37" t="n">
        <f aca="false">H208*I208</f>
        <v>11340</v>
      </c>
      <c r="K208" s="38" t="n">
        <v>46353</v>
      </c>
      <c r="L208" s="11" t="n">
        <v>0</v>
      </c>
      <c r="M208" s="11" t="n">
        <v>25</v>
      </c>
      <c r="N208" s="38" t="n">
        <v>46378</v>
      </c>
      <c r="O208" s="11" t="n">
        <f aca="false">IF(INT((N208-Assumptions!$C$2)/7)+1&gt;Assumptions!$C$3,"after W13",INT((N208-Assumptions!$C$2)/7)+1)</f>
        <v>11</v>
      </c>
      <c r="P208" s="38" t="n">
        <f aca="false">IF(AND(D208="Receipt",G208="C01"),WORKDAY(N208+Assumptions!$C$14-1,1),N208)</f>
        <v>46378</v>
      </c>
      <c r="Q208" s="11" t="n">
        <f aca="false">IF(INT((P208-Assumptions!$C$2)/7)+1&gt;Assumptions!$C$3,"after W13",INT((P208-Assumptions!$C$2)/7)+1)</f>
        <v>11</v>
      </c>
      <c r="R208" s="38" t="n">
        <f aca="false">IF(AND(D208="Receipt",OR(G208="C01",G208="C02",G208="C03",G208="C04",G208="C07")),WORKDAY(N208+IF(G208="C01",Assumptions!$C$14,Assumptions!$C$15)-1,1),N208)</f>
        <v>46393</v>
      </c>
      <c r="S208" s="11" t="n">
        <f aca="false">IF(INT((R208-Assumptions!$C$2)/7)+1&gt;Assumptions!$C$3,"after W13",INT((R208-Assumptions!$C$2)/7)+1)</f>
        <v>13</v>
      </c>
      <c r="T208" s="11" t="s">
        <v>538</v>
      </c>
      <c r="U208" s="11" t="s">
        <v>275</v>
      </c>
      <c r="V208" s="11" t="s">
        <v>283</v>
      </c>
    </row>
    <row r="209" customFormat="false" ht="15" hidden="false" customHeight="false" outlineLevel="0" collapsed="false">
      <c r="A209" s="11" t="s">
        <v>770</v>
      </c>
      <c r="B209" s="11" t="s">
        <v>49</v>
      </c>
      <c r="C209" s="11" t="s">
        <v>771</v>
      </c>
      <c r="D209" s="11" t="s">
        <v>278</v>
      </c>
      <c r="E209" s="11" t="s">
        <v>322</v>
      </c>
      <c r="F209" s="11" t="s">
        <v>323</v>
      </c>
      <c r="G209" s="11" t="s">
        <v>324</v>
      </c>
      <c r="H209" s="37" t="n">
        <v>4524</v>
      </c>
      <c r="I209" s="26" t="n">
        <v>1</v>
      </c>
      <c r="J209" s="37" t="n">
        <f aca="false">H209*I209</f>
        <v>4524</v>
      </c>
      <c r="K209" s="38" t="n">
        <v>46366</v>
      </c>
      <c r="L209" s="11" t="n">
        <v>0</v>
      </c>
      <c r="M209" s="11" t="n">
        <v>12</v>
      </c>
      <c r="N209" s="38" t="n">
        <v>46378</v>
      </c>
      <c r="O209" s="11" t="n">
        <f aca="false">IF(INT((N209-Assumptions!$C$2)/7)+1&gt;Assumptions!$C$3,"after W13",INT((N209-Assumptions!$C$2)/7)+1)</f>
        <v>11</v>
      </c>
      <c r="P209" s="38" t="n">
        <f aca="false">IF(AND(D209="Receipt",G209="C01"),WORKDAY(N209+Assumptions!$C$14-1,1),N209)</f>
        <v>46378</v>
      </c>
      <c r="Q209" s="11" t="n">
        <f aca="false">IF(INT((P209-Assumptions!$C$2)/7)+1&gt;Assumptions!$C$3,"after W13",INT((P209-Assumptions!$C$2)/7)+1)</f>
        <v>11</v>
      </c>
      <c r="R209" s="38" t="n">
        <f aca="false">IF(AND(D209="Receipt",OR(G209="C01",G209="C02",G209="C03",G209="C04",G209="C07")),WORKDAY(N209+IF(G209="C01",Assumptions!$C$14,Assumptions!$C$15)-1,1),N209)</f>
        <v>46378</v>
      </c>
      <c r="S209" s="11" t="n">
        <f aca="false">IF(INT((R209-Assumptions!$C$2)/7)+1&gt;Assumptions!$C$3,"after W13",INT((R209-Assumptions!$C$2)/7)+1)</f>
        <v>11</v>
      </c>
      <c r="T209" s="11" t="s">
        <v>538</v>
      </c>
      <c r="U209" s="11" t="s">
        <v>275</v>
      </c>
      <c r="V209" s="11" t="s">
        <v>283</v>
      </c>
    </row>
    <row r="210" customFormat="false" ht="15" hidden="false" customHeight="false" outlineLevel="0" collapsed="false">
      <c r="A210" s="11" t="s">
        <v>772</v>
      </c>
      <c r="B210" s="11" t="s">
        <v>49</v>
      </c>
      <c r="C210" s="11" t="s">
        <v>773</v>
      </c>
      <c r="D210" s="11" t="s">
        <v>278</v>
      </c>
      <c r="E210" s="11" t="s">
        <v>322</v>
      </c>
      <c r="F210" s="11" t="s">
        <v>323</v>
      </c>
      <c r="G210" s="11" t="s">
        <v>324</v>
      </c>
      <c r="H210" s="37" t="n">
        <v>5436</v>
      </c>
      <c r="I210" s="26" t="n">
        <v>1</v>
      </c>
      <c r="J210" s="37" t="n">
        <f aca="false">H210*I210</f>
        <v>5436</v>
      </c>
      <c r="K210" s="38" t="n">
        <v>46366</v>
      </c>
      <c r="L210" s="11" t="n">
        <v>0</v>
      </c>
      <c r="M210" s="11" t="n">
        <v>12</v>
      </c>
      <c r="N210" s="38" t="n">
        <v>46378</v>
      </c>
      <c r="O210" s="11" t="n">
        <f aca="false">IF(INT((N210-Assumptions!$C$2)/7)+1&gt;Assumptions!$C$3,"after W13",INT((N210-Assumptions!$C$2)/7)+1)</f>
        <v>11</v>
      </c>
      <c r="P210" s="38" t="n">
        <f aca="false">IF(AND(D210="Receipt",G210="C01"),WORKDAY(N210+Assumptions!$C$14-1,1),N210)</f>
        <v>46378</v>
      </c>
      <c r="Q210" s="11" t="n">
        <f aca="false">IF(INT((P210-Assumptions!$C$2)/7)+1&gt;Assumptions!$C$3,"after W13",INT((P210-Assumptions!$C$2)/7)+1)</f>
        <v>11</v>
      </c>
      <c r="R210" s="38" t="n">
        <f aca="false">IF(AND(D210="Receipt",OR(G210="C01",G210="C02",G210="C03",G210="C04",G210="C07")),WORKDAY(N210+IF(G210="C01",Assumptions!$C$14,Assumptions!$C$15)-1,1),N210)</f>
        <v>46378</v>
      </c>
      <c r="S210" s="11" t="n">
        <f aca="false">IF(INT((R210-Assumptions!$C$2)/7)+1&gt;Assumptions!$C$3,"after W13",INT((R210-Assumptions!$C$2)/7)+1)</f>
        <v>11</v>
      </c>
      <c r="T210" s="11" t="s">
        <v>538</v>
      </c>
      <c r="U210" s="11" t="s">
        <v>275</v>
      </c>
      <c r="V210" s="11" t="s">
        <v>283</v>
      </c>
    </row>
    <row r="211" customFormat="false" ht="15" hidden="false" customHeight="false" outlineLevel="0" collapsed="false">
      <c r="A211" s="11" t="s">
        <v>774</v>
      </c>
      <c r="B211" s="11" t="s">
        <v>55</v>
      </c>
      <c r="C211" s="11" t="s">
        <v>775</v>
      </c>
      <c r="D211" s="11" t="s">
        <v>271</v>
      </c>
      <c r="E211" s="11" t="s">
        <v>291</v>
      </c>
      <c r="F211" s="11" t="s">
        <v>292</v>
      </c>
      <c r="G211" s="11"/>
      <c r="H211" s="37" t="n">
        <v>-4700</v>
      </c>
      <c r="I211" s="26" t="n">
        <v>1</v>
      </c>
      <c r="J211" s="37" t="n">
        <f aca="false">H211*I211</f>
        <v>-4700</v>
      </c>
      <c r="K211" s="38" t="n">
        <v>46379</v>
      </c>
      <c r="L211" s="11"/>
      <c r="M211" s="11"/>
      <c r="N211" s="38" t="n">
        <v>46379</v>
      </c>
      <c r="O211" s="11" t="n">
        <f aca="false">IF(INT((N211-Assumptions!$C$2)/7)+1&gt;Assumptions!$C$3,"after W13",INT((N211-Assumptions!$C$2)/7)+1)</f>
        <v>11</v>
      </c>
      <c r="P211" s="38" t="n">
        <f aca="false">IF(AND(D211="Receipt",G211="C01"),WORKDAY(N211+Assumptions!$C$14-1,1),N211)</f>
        <v>46379</v>
      </c>
      <c r="Q211" s="11" t="n">
        <f aca="false">IF(INT((P211-Assumptions!$C$2)/7)+1&gt;Assumptions!$C$3,"after W13",INT((P211-Assumptions!$C$2)/7)+1)</f>
        <v>11</v>
      </c>
      <c r="R211" s="38" t="n">
        <f aca="false">IF(AND(D211="Receipt",OR(G211="C01",G211="C02",G211="C03",G211="C04",G211="C07")),WORKDAY(N211+IF(G211="C01",Assumptions!$C$14,Assumptions!$C$15)-1,1),N211)</f>
        <v>46379</v>
      </c>
      <c r="S211" s="11" t="n">
        <f aca="false">IF(INT((R211-Assumptions!$C$2)/7)+1&gt;Assumptions!$C$3,"after W13",INT((R211-Assumptions!$C$2)/7)+1)</f>
        <v>11</v>
      </c>
      <c r="T211" s="11" t="s">
        <v>293</v>
      </c>
      <c r="U211" s="11" t="s">
        <v>275</v>
      </c>
      <c r="V211" s="11" t="s">
        <v>294</v>
      </c>
    </row>
    <row r="212" customFormat="false" ht="15" hidden="false" customHeight="false" outlineLevel="0" collapsed="false">
      <c r="A212" s="11" t="s">
        <v>776</v>
      </c>
      <c r="B212" s="11" t="s">
        <v>49</v>
      </c>
      <c r="C212" s="11" t="s">
        <v>777</v>
      </c>
      <c r="D212" s="11" t="s">
        <v>278</v>
      </c>
      <c r="E212" s="11" t="s">
        <v>286</v>
      </c>
      <c r="F212" s="11" t="s">
        <v>287</v>
      </c>
      <c r="G212" s="11" t="s">
        <v>288</v>
      </c>
      <c r="H212" s="37" t="n">
        <v>4680</v>
      </c>
      <c r="I212" s="26" t="n">
        <v>1</v>
      </c>
      <c r="J212" s="37" t="n">
        <f aca="false">H212*I212</f>
        <v>4680</v>
      </c>
      <c r="K212" s="38" t="n">
        <v>46376</v>
      </c>
      <c r="L212" s="11" t="n">
        <v>0</v>
      </c>
      <c r="M212" s="11" t="n">
        <v>3</v>
      </c>
      <c r="N212" s="38" t="n">
        <v>46379</v>
      </c>
      <c r="O212" s="11" t="n">
        <f aca="false">IF(INT((N212-Assumptions!$C$2)/7)+1&gt;Assumptions!$C$3,"after W13",INT((N212-Assumptions!$C$2)/7)+1)</f>
        <v>11</v>
      </c>
      <c r="P212" s="38" t="n">
        <f aca="false">IF(AND(D212="Receipt",G212="C01"),WORKDAY(N212+Assumptions!$C$14-1,1),N212)</f>
        <v>46379</v>
      </c>
      <c r="Q212" s="11" t="n">
        <f aca="false">IF(INT((P212-Assumptions!$C$2)/7)+1&gt;Assumptions!$C$3,"after W13",INT((P212-Assumptions!$C$2)/7)+1)</f>
        <v>11</v>
      </c>
      <c r="R212" s="38" t="n">
        <f aca="false">IF(AND(D212="Receipt",OR(G212="C01",G212="C02",G212="C03",G212="C04",G212="C07")),WORKDAY(N212+IF(G212="C01",Assumptions!$C$14,Assumptions!$C$15)-1,1),N212)</f>
        <v>46394</v>
      </c>
      <c r="S212" s="11" t="n">
        <f aca="false">IF(INT((R212-Assumptions!$C$2)/7)+1&gt;Assumptions!$C$3,"after W13",INT((R212-Assumptions!$C$2)/7)+1)</f>
        <v>13</v>
      </c>
      <c r="T212" s="11" t="s">
        <v>538</v>
      </c>
      <c r="U212" s="11" t="s">
        <v>275</v>
      </c>
      <c r="V212" s="11" t="s">
        <v>283</v>
      </c>
    </row>
    <row r="213" customFormat="false" ht="15" hidden="false" customHeight="false" outlineLevel="0" collapsed="false">
      <c r="A213" s="11" t="s">
        <v>778</v>
      </c>
      <c r="B213" s="11" t="s">
        <v>53</v>
      </c>
      <c r="C213" s="11" t="s">
        <v>779</v>
      </c>
      <c r="D213" s="11" t="s">
        <v>271</v>
      </c>
      <c r="E213" s="11" t="s">
        <v>307</v>
      </c>
      <c r="F213" s="11" t="s">
        <v>308</v>
      </c>
      <c r="G213" s="11"/>
      <c r="H213" s="37" t="n">
        <v>-38400</v>
      </c>
      <c r="I213" s="26" t="n">
        <v>1</v>
      </c>
      <c r="J213" s="37" t="n">
        <f aca="false">H213*I213</f>
        <v>-38400</v>
      </c>
      <c r="K213" s="38" t="n">
        <v>46380</v>
      </c>
      <c r="L213" s="11"/>
      <c r="M213" s="11"/>
      <c r="N213" s="38" t="n">
        <v>46380</v>
      </c>
      <c r="O213" s="11" t="n">
        <f aca="false">IF(INT((N213-Assumptions!$C$2)/7)+1&gt;Assumptions!$C$3,"after W13",INT((N213-Assumptions!$C$2)/7)+1)</f>
        <v>11</v>
      </c>
      <c r="P213" s="38" t="n">
        <f aca="false">IF(AND(D213="Receipt",G213="C01"),WORKDAY(N213+Assumptions!$C$14-1,1),N213)</f>
        <v>46380</v>
      </c>
      <c r="Q213" s="11" t="n">
        <f aca="false">IF(INT((P213-Assumptions!$C$2)/7)+1&gt;Assumptions!$C$3,"after W13",INT((P213-Assumptions!$C$2)/7)+1)</f>
        <v>11</v>
      </c>
      <c r="R213" s="38" t="n">
        <f aca="false">IF(AND(D213="Receipt",OR(G213="C01",G213="C02",G213="C03",G213="C04",G213="C07")),WORKDAY(N213+IF(G213="C01",Assumptions!$C$14,Assumptions!$C$15)-1,1),N213)</f>
        <v>46380</v>
      </c>
      <c r="S213" s="11" t="n">
        <f aca="false">IF(INT((R213-Assumptions!$C$2)/7)+1&gt;Assumptions!$C$3,"after W13",INT((R213-Assumptions!$C$2)/7)+1)</f>
        <v>11</v>
      </c>
      <c r="T213" s="11" t="s">
        <v>465</v>
      </c>
      <c r="U213" s="11" t="s">
        <v>275</v>
      </c>
      <c r="V213" s="11" t="s">
        <v>780</v>
      </c>
    </row>
    <row r="214" customFormat="false" ht="15" hidden="false" customHeight="false" outlineLevel="0" collapsed="false">
      <c r="A214" s="11" t="s">
        <v>781</v>
      </c>
      <c r="B214" s="11" t="s">
        <v>53</v>
      </c>
      <c r="C214" s="11" t="s">
        <v>782</v>
      </c>
      <c r="D214" s="11" t="s">
        <v>271</v>
      </c>
      <c r="E214" s="11" t="s">
        <v>307</v>
      </c>
      <c r="F214" s="11" t="s">
        <v>414</v>
      </c>
      <c r="G214" s="11"/>
      <c r="H214" s="37" t="n">
        <v>-24098.48</v>
      </c>
      <c r="I214" s="26" t="n">
        <v>1</v>
      </c>
      <c r="J214" s="37" t="n">
        <f aca="false">H214*I214</f>
        <v>-24098.48</v>
      </c>
      <c r="K214" s="38" t="n">
        <v>46386</v>
      </c>
      <c r="L214" s="11"/>
      <c r="M214" s="11"/>
      <c r="N214" s="38" t="n">
        <v>46380</v>
      </c>
      <c r="O214" s="11" t="n">
        <f aca="false">IF(INT((N214-Assumptions!$C$2)/7)+1&gt;Assumptions!$C$3,"after W13",INT((N214-Assumptions!$C$2)/7)+1)</f>
        <v>11</v>
      </c>
      <c r="P214" s="38" t="n">
        <f aca="false">IF(AND(D214="Receipt",G214="C01"),WORKDAY(N214+Assumptions!$C$14-1,1),N214)</f>
        <v>46380</v>
      </c>
      <c r="Q214" s="11" t="n">
        <f aca="false">IF(INT((P214-Assumptions!$C$2)/7)+1&gt;Assumptions!$C$3,"after W13",INT((P214-Assumptions!$C$2)/7)+1)</f>
        <v>11</v>
      </c>
      <c r="R214" s="38" t="n">
        <f aca="false">IF(AND(D214="Receipt",OR(G214="C01",G214="C02",G214="C03",G214="C04",G214="C07")),WORKDAY(N214+IF(G214="C01",Assumptions!$C$14,Assumptions!$C$15)-1,1),N214)</f>
        <v>46380</v>
      </c>
      <c r="S214" s="11" t="n">
        <f aca="false">IF(INT((R214-Assumptions!$C$2)/7)+1&gt;Assumptions!$C$3,"after W13",INT((R214-Assumptions!$C$2)/7)+1)</f>
        <v>11</v>
      </c>
      <c r="T214" s="11" t="s">
        <v>783</v>
      </c>
      <c r="U214" s="11" t="s">
        <v>275</v>
      </c>
      <c r="V214" s="11" t="s">
        <v>784</v>
      </c>
    </row>
    <row r="215" customFormat="false" ht="15" hidden="false" customHeight="false" outlineLevel="0" collapsed="false">
      <c r="A215" s="11" t="s">
        <v>785</v>
      </c>
      <c r="B215" s="11" t="s">
        <v>55</v>
      </c>
      <c r="C215" s="11" t="s">
        <v>786</v>
      </c>
      <c r="D215" s="11" t="s">
        <v>271</v>
      </c>
      <c r="E215" s="11" t="s">
        <v>383</v>
      </c>
      <c r="F215" s="11" t="s">
        <v>384</v>
      </c>
      <c r="G215" s="11"/>
      <c r="H215" s="37" t="n">
        <v>-89420</v>
      </c>
      <c r="I215" s="26" t="n">
        <v>1</v>
      </c>
      <c r="J215" s="37" t="n">
        <f aca="false">H215*I215</f>
        <v>-89420</v>
      </c>
      <c r="K215" s="38" t="n">
        <v>46380</v>
      </c>
      <c r="L215" s="11"/>
      <c r="M215" s="11"/>
      <c r="N215" s="38" t="n">
        <v>46380</v>
      </c>
      <c r="O215" s="11" t="n">
        <f aca="false">IF(INT((N215-Assumptions!$C$2)/7)+1&gt;Assumptions!$C$3,"after W13",INT((N215-Assumptions!$C$2)/7)+1)</f>
        <v>11</v>
      </c>
      <c r="P215" s="38" t="n">
        <f aca="false">IF(AND(D215="Receipt",G215="C01"),WORKDAY(N215+Assumptions!$C$14-1,1),N215)</f>
        <v>46380</v>
      </c>
      <c r="Q215" s="11" t="n">
        <f aca="false">IF(INT((P215-Assumptions!$C$2)/7)+1&gt;Assumptions!$C$3,"after W13",INT((P215-Assumptions!$C$2)/7)+1)</f>
        <v>11</v>
      </c>
      <c r="R215" s="38" t="n">
        <f aca="false">IF(AND(D215="Receipt",OR(G215="C01",G215="C02",G215="C03",G215="C04",G215="C07")),WORKDAY(N215+IF(G215="C01",Assumptions!$C$14,Assumptions!$C$15)-1,1),N215)</f>
        <v>46380</v>
      </c>
      <c r="S215" s="11" t="n">
        <f aca="false">IF(INT((R215-Assumptions!$C$2)/7)+1&gt;Assumptions!$C$3,"after W13",INT((R215-Assumptions!$C$2)/7)+1)</f>
        <v>11</v>
      </c>
      <c r="T215" s="11" t="s">
        <v>571</v>
      </c>
      <c r="U215" s="11" t="s">
        <v>275</v>
      </c>
      <c r="V215" s="11" t="s">
        <v>787</v>
      </c>
    </row>
    <row r="216" customFormat="false" ht="15" hidden="false" customHeight="false" outlineLevel="0" collapsed="false">
      <c r="A216" s="11" t="s">
        <v>788</v>
      </c>
      <c r="B216" s="11" t="s">
        <v>49</v>
      </c>
      <c r="C216" s="11" t="s">
        <v>789</v>
      </c>
      <c r="D216" s="11" t="s">
        <v>278</v>
      </c>
      <c r="E216" s="11" t="s">
        <v>286</v>
      </c>
      <c r="F216" s="11" t="s">
        <v>331</v>
      </c>
      <c r="G216" s="11" t="s">
        <v>332</v>
      </c>
      <c r="H216" s="37" t="n">
        <v>21996</v>
      </c>
      <c r="I216" s="26" t="n">
        <v>1</v>
      </c>
      <c r="J216" s="37" t="n">
        <f aca="false">H216*I216</f>
        <v>21996</v>
      </c>
      <c r="K216" s="38" t="n">
        <v>46355</v>
      </c>
      <c r="L216" s="11" t="n">
        <v>0</v>
      </c>
      <c r="M216" s="11" t="n">
        <v>25</v>
      </c>
      <c r="N216" s="38" t="n">
        <v>46380</v>
      </c>
      <c r="O216" s="11" t="n">
        <f aca="false">IF(INT((N216-Assumptions!$C$2)/7)+1&gt;Assumptions!$C$3,"after W13",INT((N216-Assumptions!$C$2)/7)+1)</f>
        <v>11</v>
      </c>
      <c r="P216" s="38" t="n">
        <f aca="false">IF(AND(D216="Receipt",G216="C01"),WORKDAY(N216+Assumptions!$C$14-1,1),N216)</f>
        <v>46380</v>
      </c>
      <c r="Q216" s="11" t="n">
        <f aca="false">IF(INT((P216-Assumptions!$C$2)/7)+1&gt;Assumptions!$C$3,"after W13",INT((P216-Assumptions!$C$2)/7)+1)</f>
        <v>11</v>
      </c>
      <c r="R216" s="38" t="n">
        <f aca="false">IF(AND(D216="Receipt",OR(G216="C01",G216="C02",G216="C03",G216="C04",G216="C07")),WORKDAY(N216+IF(G216="C01",Assumptions!$C$14,Assumptions!$C$15)-1,1),N216)</f>
        <v>46395</v>
      </c>
      <c r="S216" s="11" t="n">
        <f aca="false">IF(INT((R216-Assumptions!$C$2)/7)+1&gt;Assumptions!$C$3,"after W13",INT((R216-Assumptions!$C$2)/7)+1)</f>
        <v>13</v>
      </c>
      <c r="T216" s="11" t="s">
        <v>538</v>
      </c>
      <c r="U216" s="11" t="s">
        <v>275</v>
      </c>
      <c r="V216" s="11" t="s">
        <v>283</v>
      </c>
    </row>
    <row r="217" customFormat="false" ht="15" hidden="false" customHeight="false" outlineLevel="0" collapsed="false">
      <c r="A217" s="11" t="s">
        <v>790</v>
      </c>
      <c r="B217" s="11" t="s">
        <v>49</v>
      </c>
      <c r="C217" s="11" t="s">
        <v>791</v>
      </c>
      <c r="D217" s="11" t="s">
        <v>278</v>
      </c>
      <c r="E217" s="11" t="s">
        <v>279</v>
      </c>
      <c r="F217" s="11" t="s">
        <v>335</v>
      </c>
      <c r="G217" s="11" t="s">
        <v>336</v>
      </c>
      <c r="H217" s="37" t="n">
        <v>7656</v>
      </c>
      <c r="I217" s="26" t="n">
        <v>1</v>
      </c>
      <c r="J217" s="37" t="n">
        <f aca="false">H217*I217</f>
        <v>7656</v>
      </c>
      <c r="K217" s="38" t="n">
        <v>46373</v>
      </c>
      <c r="L217" s="11" t="n">
        <v>0</v>
      </c>
      <c r="M217" s="11" t="n">
        <v>7</v>
      </c>
      <c r="N217" s="38" t="n">
        <v>46380</v>
      </c>
      <c r="O217" s="11" t="n">
        <f aca="false">IF(INT((N217-Assumptions!$C$2)/7)+1&gt;Assumptions!$C$3,"after W13",INT((N217-Assumptions!$C$2)/7)+1)</f>
        <v>11</v>
      </c>
      <c r="P217" s="38" t="n">
        <f aca="false">IF(AND(D217="Receipt",G217="C01"),WORKDAY(N217+Assumptions!$C$14-1,1),N217)</f>
        <v>46380</v>
      </c>
      <c r="Q217" s="11" t="n">
        <f aca="false">IF(INT((P217-Assumptions!$C$2)/7)+1&gt;Assumptions!$C$3,"after W13",INT((P217-Assumptions!$C$2)/7)+1)</f>
        <v>11</v>
      </c>
      <c r="R217" s="38" t="n">
        <f aca="false">IF(AND(D217="Receipt",OR(G217="C01",G217="C02",G217="C03",G217="C04",G217="C07")),WORKDAY(N217+IF(G217="C01",Assumptions!$C$14,Assumptions!$C$15)-1,1),N217)</f>
        <v>46380</v>
      </c>
      <c r="S217" s="11" t="n">
        <f aca="false">IF(INT((R217-Assumptions!$C$2)/7)+1&gt;Assumptions!$C$3,"after W13",INT((R217-Assumptions!$C$2)/7)+1)</f>
        <v>11</v>
      </c>
      <c r="T217" s="11" t="s">
        <v>538</v>
      </c>
      <c r="U217" s="11" t="s">
        <v>275</v>
      </c>
      <c r="V217" s="11" t="s">
        <v>283</v>
      </c>
    </row>
    <row r="218" customFormat="false" ht="15" hidden="false" customHeight="false" outlineLevel="0" collapsed="false">
      <c r="A218" s="11" t="s">
        <v>792</v>
      </c>
      <c r="B218" s="11" t="s">
        <v>49</v>
      </c>
      <c r="C218" s="11" t="s">
        <v>793</v>
      </c>
      <c r="D218" s="11" t="s">
        <v>278</v>
      </c>
      <c r="E218" s="11" t="s">
        <v>279</v>
      </c>
      <c r="F218" s="11" t="s">
        <v>280</v>
      </c>
      <c r="G218" s="11" t="s">
        <v>281</v>
      </c>
      <c r="H218" s="37" t="n">
        <v>3984</v>
      </c>
      <c r="I218" s="26" t="n">
        <v>1</v>
      </c>
      <c r="J218" s="37" t="n">
        <f aca="false">H218*I218</f>
        <v>3984</v>
      </c>
      <c r="K218" s="38" t="n">
        <v>46380</v>
      </c>
      <c r="L218" s="11" t="n">
        <v>0</v>
      </c>
      <c r="M218" s="11" t="n">
        <v>0</v>
      </c>
      <c r="N218" s="38" t="n">
        <v>46380</v>
      </c>
      <c r="O218" s="11" t="n">
        <f aca="false">IF(INT((N218-Assumptions!$C$2)/7)+1&gt;Assumptions!$C$3,"after W13",INT((N218-Assumptions!$C$2)/7)+1)</f>
        <v>11</v>
      </c>
      <c r="P218" s="38" t="n">
        <f aca="false">IF(AND(D218="Receipt",G218="C01"),WORKDAY(N218+Assumptions!$C$14-1,1),N218)</f>
        <v>46380</v>
      </c>
      <c r="Q218" s="11" t="n">
        <f aca="false">IF(INT((P218-Assumptions!$C$2)/7)+1&gt;Assumptions!$C$3,"after W13",INT((P218-Assumptions!$C$2)/7)+1)</f>
        <v>11</v>
      </c>
      <c r="R218" s="38" t="n">
        <f aca="false">IF(AND(D218="Receipt",OR(G218="C01",G218="C02",G218="C03",G218="C04",G218="C07")),WORKDAY(N218+IF(G218="C01",Assumptions!$C$14,Assumptions!$C$15)-1,1),N218)</f>
        <v>46380</v>
      </c>
      <c r="S218" s="11" t="n">
        <f aca="false">IF(INT((R218-Assumptions!$C$2)/7)+1&gt;Assumptions!$C$3,"after W13",INT((R218-Assumptions!$C$2)/7)+1)</f>
        <v>11</v>
      </c>
      <c r="T218" s="11" t="s">
        <v>538</v>
      </c>
      <c r="U218" s="11" t="s">
        <v>275</v>
      </c>
      <c r="V218" s="11" t="s">
        <v>283</v>
      </c>
    </row>
    <row r="219" customFormat="false" ht="15" hidden="false" customHeight="false" outlineLevel="0" collapsed="false">
      <c r="A219" s="11" t="s">
        <v>794</v>
      </c>
      <c r="B219" s="11" t="s">
        <v>49</v>
      </c>
      <c r="C219" s="11" t="s">
        <v>795</v>
      </c>
      <c r="D219" s="11" t="s">
        <v>278</v>
      </c>
      <c r="E219" s="11" t="s">
        <v>279</v>
      </c>
      <c r="F219" s="11" t="s">
        <v>280</v>
      </c>
      <c r="G219" s="11" t="s">
        <v>281</v>
      </c>
      <c r="H219" s="37" t="n">
        <v>5376</v>
      </c>
      <c r="I219" s="26" t="n">
        <v>1</v>
      </c>
      <c r="J219" s="37" t="n">
        <f aca="false">H219*I219</f>
        <v>5376</v>
      </c>
      <c r="K219" s="38" t="n">
        <v>46380</v>
      </c>
      <c r="L219" s="11" t="n">
        <v>0</v>
      </c>
      <c r="M219" s="11" t="n">
        <v>0</v>
      </c>
      <c r="N219" s="38" t="n">
        <v>46380</v>
      </c>
      <c r="O219" s="11" t="n">
        <f aca="false">IF(INT((N219-Assumptions!$C$2)/7)+1&gt;Assumptions!$C$3,"after W13",INT((N219-Assumptions!$C$2)/7)+1)</f>
        <v>11</v>
      </c>
      <c r="P219" s="38" t="n">
        <f aca="false">IF(AND(D219="Receipt",G219="C01"),WORKDAY(N219+Assumptions!$C$14-1,1),N219)</f>
        <v>46380</v>
      </c>
      <c r="Q219" s="11" t="n">
        <f aca="false">IF(INT((P219-Assumptions!$C$2)/7)+1&gt;Assumptions!$C$3,"after W13",INT((P219-Assumptions!$C$2)/7)+1)</f>
        <v>11</v>
      </c>
      <c r="R219" s="38" t="n">
        <f aca="false">IF(AND(D219="Receipt",OR(G219="C01",G219="C02",G219="C03",G219="C04",G219="C07")),WORKDAY(N219+IF(G219="C01",Assumptions!$C$14,Assumptions!$C$15)-1,1),N219)</f>
        <v>46380</v>
      </c>
      <c r="S219" s="11" t="n">
        <f aca="false">IF(INT((R219-Assumptions!$C$2)/7)+1&gt;Assumptions!$C$3,"after W13",INT((R219-Assumptions!$C$2)/7)+1)</f>
        <v>11</v>
      </c>
      <c r="T219" s="11" t="s">
        <v>538</v>
      </c>
      <c r="U219" s="11" t="s">
        <v>275</v>
      </c>
      <c r="V219" s="11" t="s">
        <v>283</v>
      </c>
    </row>
    <row r="220" customFormat="false" ht="15" hidden="false" customHeight="false" outlineLevel="0" collapsed="false">
      <c r="A220" s="11" t="s">
        <v>796</v>
      </c>
      <c r="B220" s="11" t="s">
        <v>49</v>
      </c>
      <c r="C220" s="11" t="s">
        <v>797</v>
      </c>
      <c r="D220" s="11" t="s">
        <v>278</v>
      </c>
      <c r="E220" s="11" t="s">
        <v>286</v>
      </c>
      <c r="F220" s="11" t="s">
        <v>349</v>
      </c>
      <c r="G220" s="11" t="s">
        <v>350</v>
      </c>
      <c r="H220" s="37" t="n">
        <v>10788</v>
      </c>
      <c r="I220" s="26" t="n">
        <v>1</v>
      </c>
      <c r="J220" s="37" t="n">
        <f aca="false">H220*I220</f>
        <v>10788</v>
      </c>
      <c r="K220" s="38" t="n">
        <v>46371</v>
      </c>
      <c r="L220" s="11" t="n">
        <v>0</v>
      </c>
      <c r="M220" s="11" t="n">
        <v>10</v>
      </c>
      <c r="N220" s="38" t="n">
        <v>46381</v>
      </c>
      <c r="O220" s="11" t="n">
        <f aca="false">IF(INT((N220-Assumptions!$C$2)/7)+1&gt;Assumptions!$C$3,"after W13",INT((N220-Assumptions!$C$2)/7)+1)</f>
        <v>11</v>
      </c>
      <c r="P220" s="38" t="n">
        <f aca="false">IF(AND(D220="Receipt",G220="C01"),WORKDAY(N220+Assumptions!$C$14-1,1),N220)</f>
        <v>46381</v>
      </c>
      <c r="Q220" s="11" t="n">
        <f aca="false">IF(INT((P220-Assumptions!$C$2)/7)+1&gt;Assumptions!$C$3,"after W13",INT((P220-Assumptions!$C$2)/7)+1)</f>
        <v>11</v>
      </c>
      <c r="R220" s="38" t="n">
        <f aca="false">IF(AND(D220="Receipt",OR(G220="C01",G220="C02",G220="C03",G220="C04",G220="C07")),WORKDAY(N220+IF(G220="C01",Assumptions!$C$14,Assumptions!$C$15)-1,1),N220)</f>
        <v>46398</v>
      </c>
      <c r="S220" s="11" t="str">
        <f aca="false">IF(INT((R220-Assumptions!$C$2)/7)+1&gt;Assumptions!$C$3,"after W13",INT((R220-Assumptions!$C$2)/7)+1)</f>
        <v>after W13</v>
      </c>
      <c r="T220" s="11" t="s">
        <v>538</v>
      </c>
      <c r="U220" s="11" t="s">
        <v>275</v>
      </c>
      <c r="V220" s="11" t="s">
        <v>283</v>
      </c>
    </row>
    <row r="221" customFormat="false" ht="15" hidden="false" customHeight="false" outlineLevel="0" collapsed="false">
      <c r="A221" s="11" t="s">
        <v>798</v>
      </c>
      <c r="B221" s="11" t="s">
        <v>49</v>
      </c>
      <c r="C221" s="11" t="s">
        <v>799</v>
      </c>
      <c r="D221" s="11" t="s">
        <v>278</v>
      </c>
      <c r="E221" s="11" t="s">
        <v>286</v>
      </c>
      <c r="F221" s="11" t="s">
        <v>349</v>
      </c>
      <c r="G221" s="11" t="s">
        <v>350</v>
      </c>
      <c r="H221" s="37" t="n">
        <v>4236</v>
      </c>
      <c r="I221" s="26" t="n">
        <v>1</v>
      </c>
      <c r="J221" s="37" t="n">
        <f aca="false">H221*I221</f>
        <v>4236</v>
      </c>
      <c r="K221" s="38" t="n">
        <v>46371</v>
      </c>
      <c r="L221" s="11" t="n">
        <v>0</v>
      </c>
      <c r="M221" s="11" t="n">
        <v>10</v>
      </c>
      <c r="N221" s="38" t="n">
        <v>46381</v>
      </c>
      <c r="O221" s="11" t="n">
        <f aca="false">IF(INT((N221-Assumptions!$C$2)/7)+1&gt;Assumptions!$C$3,"after W13",INT((N221-Assumptions!$C$2)/7)+1)</f>
        <v>11</v>
      </c>
      <c r="P221" s="38" t="n">
        <f aca="false">IF(AND(D221="Receipt",G221="C01"),WORKDAY(N221+Assumptions!$C$14-1,1),N221)</f>
        <v>46381</v>
      </c>
      <c r="Q221" s="11" t="n">
        <f aca="false">IF(INT((P221-Assumptions!$C$2)/7)+1&gt;Assumptions!$C$3,"after W13",INT((P221-Assumptions!$C$2)/7)+1)</f>
        <v>11</v>
      </c>
      <c r="R221" s="38" t="n">
        <f aca="false">IF(AND(D221="Receipt",OR(G221="C01",G221="C02",G221="C03",G221="C04",G221="C07")),WORKDAY(N221+IF(G221="C01",Assumptions!$C$14,Assumptions!$C$15)-1,1),N221)</f>
        <v>46398</v>
      </c>
      <c r="S221" s="11" t="str">
        <f aca="false">IF(INT((R221-Assumptions!$C$2)/7)+1&gt;Assumptions!$C$3,"after W13",INT((R221-Assumptions!$C$2)/7)+1)</f>
        <v>after W13</v>
      </c>
      <c r="T221" s="11" t="s">
        <v>538</v>
      </c>
      <c r="U221" s="11" t="s">
        <v>275</v>
      </c>
      <c r="V221" s="11" t="s">
        <v>283</v>
      </c>
    </row>
    <row r="222" customFormat="false" ht="15" hidden="false" customHeight="false" outlineLevel="0" collapsed="false">
      <c r="A222" s="11" t="s">
        <v>800</v>
      </c>
      <c r="B222" s="11" t="s">
        <v>49</v>
      </c>
      <c r="C222" s="11" t="s">
        <v>801</v>
      </c>
      <c r="D222" s="11" t="s">
        <v>278</v>
      </c>
      <c r="E222" s="11" t="s">
        <v>279</v>
      </c>
      <c r="F222" s="11" t="s">
        <v>335</v>
      </c>
      <c r="G222" s="11" t="s">
        <v>336</v>
      </c>
      <c r="H222" s="37" t="n">
        <v>2952</v>
      </c>
      <c r="I222" s="26" t="n">
        <v>1</v>
      </c>
      <c r="J222" s="37" t="n">
        <f aca="false">H222*I222</f>
        <v>2952</v>
      </c>
      <c r="K222" s="38" t="n">
        <v>46374</v>
      </c>
      <c r="L222" s="11" t="n">
        <v>0</v>
      </c>
      <c r="M222" s="11" t="n">
        <v>7</v>
      </c>
      <c r="N222" s="38" t="n">
        <v>46381</v>
      </c>
      <c r="O222" s="11" t="n">
        <f aca="false">IF(INT((N222-Assumptions!$C$2)/7)+1&gt;Assumptions!$C$3,"after W13",INT((N222-Assumptions!$C$2)/7)+1)</f>
        <v>11</v>
      </c>
      <c r="P222" s="38" t="n">
        <f aca="false">IF(AND(D222="Receipt",G222="C01"),WORKDAY(N222+Assumptions!$C$14-1,1),N222)</f>
        <v>46381</v>
      </c>
      <c r="Q222" s="11" t="n">
        <f aca="false">IF(INT((P222-Assumptions!$C$2)/7)+1&gt;Assumptions!$C$3,"after W13",INT((P222-Assumptions!$C$2)/7)+1)</f>
        <v>11</v>
      </c>
      <c r="R222" s="38" t="n">
        <f aca="false">IF(AND(D222="Receipt",OR(G222="C01",G222="C02",G222="C03",G222="C04",G222="C07")),WORKDAY(N222+IF(G222="C01",Assumptions!$C$14,Assumptions!$C$15)-1,1),N222)</f>
        <v>46381</v>
      </c>
      <c r="S222" s="11" t="n">
        <f aca="false">IF(INT((R222-Assumptions!$C$2)/7)+1&gt;Assumptions!$C$3,"after W13",INT((R222-Assumptions!$C$2)/7)+1)</f>
        <v>11</v>
      </c>
      <c r="T222" s="11" t="s">
        <v>538</v>
      </c>
      <c r="U222" s="11" t="s">
        <v>275</v>
      </c>
      <c r="V222" s="11" t="s">
        <v>283</v>
      </c>
    </row>
    <row r="223" customFormat="false" ht="15" hidden="false" customHeight="false" outlineLevel="0" collapsed="false">
      <c r="A223" s="11" t="s">
        <v>802</v>
      </c>
      <c r="B223" s="11" t="s">
        <v>49</v>
      </c>
      <c r="C223" s="11" t="s">
        <v>803</v>
      </c>
      <c r="D223" s="11" t="s">
        <v>278</v>
      </c>
      <c r="E223" s="11" t="s">
        <v>322</v>
      </c>
      <c r="F223" s="11" t="s">
        <v>323</v>
      </c>
      <c r="G223" s="11" t="s">
        <v>324</v>
      </c>
      <c r="H223" s="37" t="n">
        <v>11592</v>
      </c>
      <c r="I223" s="26" t="n">
        <v>1</v>
      </c>
      <c r="J223" s="37" t="n">
        <f aca="false">H223*I223</f>
        <v>11592</v>
      </c>
      <c r="K223" s="38" t="n">
        <v>46369</v>
      </c>
      <c r="L223" s="11" t="n">
        <v>0</v>
      </c>
      <c r="M223" s="11" t="n">
        <v>12</v>
      </c>
      <c r="N223" s="38" t="n">
        <v>46381</v>
      </c>
      <c r="O223" s="11" t="n">
        <f aca="false">IF(INT((N223-Assumptions!$C$2)/7)+1&gt;Assumptions!$C$3,"after W13",INT((N223-Assumptions!$C$2)/7)+1)</f>
        <v>11</v>
      </c>
      <c r="P223" s="38" t="n">
        <f aca="false">IF(AND(D223="Receipt",G223="C01"),WORKDAY(N223+Assumptions!$C$14-1,1),N223)</f>
        <v>46381</v>
      </c>
      <c r="Q223" s="11" t="n">
        <f aca="false">IF(INT((P223-Assumptions!$C$2)/7)+1&gt;Assumptions!$C$3,"after W13",INT((P223-Assumptions!$C$2)/7)+1)</f>
        <v>11</v>
      </c>
      <c r="R223" s="38" t="n">
        <f aca="false">IF(AND(D223="Receipt",OR(G223="C01",G223="C02",G223="C03",G223="C04",G223="C07")),WORKDAY(N223+IF(G223="C01",Assumptions!$C$14,Assumptions!$C$15)-1,1),N223)</f>
        <v>46381</v>
      </c>
      <c r="S223" s="11" t="n">
        <f aca="false">IF(INT((R223-Assumptions!$C$2)/7)+1&gt;Assumptions!$C$3,"after W13",INT((R223-Assumptions!$C$2)/7)+1)</f>
        <v>11</v>
      </c>
      <c r="T223" s="11" t="s">
        <v>538</v>
      </c>
      <c r="U223" s="11" t="s">
        <v>275</v>
      </c>
      <c r="V223" s="11" t="s">
        <v>283</v>
      </c>
    </row>
    <row r="224" customFormat="false" ht="15" hidden="false" customHeight="false" outlineLevel="0" collapsed="false">
      <c r="A224" s="11" t="s">
        <v>804</v>
      </c>
      <c r="B224" s="11" t="s">
        <v>47</v>
      </c>
      <c r="C224" s="11" t="s">
        <v>805</v>
      </c>
      <c r="D224" s="11" t="s">
        <v>278</v>
      </c>
      <c r="E224" s="11" t="s">
        <v>286</v>
      </c>
      <c r="F224" s="11" t="s">
        <v>327</v>
      </c>
      <c r="G224" s="11" t="s">
        <v>328</v>
      </c>
      <c r="H224" s="37" t="n">
        <v>36864</v>
      </c>
      <c r="I224" s="26" t="n">
        <v>1</v>
      </c>
      <c r="J224" s="37" t="n">
        <f aca="false">H224*I224</f>
        <v>36864</v>
      </c>
      <c r="K224" s="38" t="n">
        <v>46363</v>
      </c>
      <c r="L224" s="11" t="n">
        <v>0</v>
      </c>
      <c r="M224" s="11" t="n">
        <v>21</v>
      </c>
      <c r="N224" s="38" t="n">
        <v>46384</v>
      </c>
      <c r="O224" s="11" t="n">
        <f aca="false">IF(INT((N224-Assumptions!$C$2)/7)+1&gt;Assumptions!$C$3,"after W13",INT((N224-Assumptions!$C$2)/7)+1)</f>
        <v>12</v>
      </c>
      <c r="P224" s="38" t="n">
        <f aca="false">IF(AND(D224="Receipt",G224="C01"),WORKDAY(N224+Assumptions!$C$14-1,1),N224)</f>
        <v>46384</v>
      </c>
      <c r="Q224" s="11" t="n">
        <f aca="false">IF(INT((P224-Assumptions!$C$2)/7)+1&gt;Assumptions!$C$3,"after W13",INT((P224-Assumptions!$C$2)/7)+1)</f>
        <v>12</v>
      </c>
      <c r="R224" s="38" t="n">
        <f aca="false">IF(AND(D224="Receipt",OR(G224="C01",G224="C02",G224="C03",G224="C04",G224="C07")),WORKDAY(N224+IF(G224="C01",Assumptions!$C$14,Assumptions!$C$15)-1,1),N224)</f>
        <v>46399</v>
      </c>
      <c r="S224" s="11" t="str">
        <f aca="false">IF(INT((R224-Assumptions!$C$2)/7)+1&gt;Assumptions!$C$3,"after W13",INT((R224-Assumptions!$C$2)/7)+1)</f>
        <v>after W13</v>
      </c>
      <c r="T224" s="11" t="s">
        <v>282</v>
      </c>
      <c r="U224" s="11" t="s">
        <v>275</v>
      </c>
      <c r="V224" s="11" t="s">
        <v>283</v>
      </c>
    </row>
    <row r="225" customFormat="false" ht="15" hidden="false" customHeight="false" outlineLevel="0" collapsed="false">
      <c r="A225" s="11" t="s">
        <v>806</v>
      </c>
      <c r="B225" s="11" t="s">
        <v>47</v>
      </c>
      <c r="C225" s="11" t="s">
        <v>807</v>
      </c>
      <c r="D225" s="11" t="s">
        <v>278</v>
      </c>
      <c r="E225" s="11" t="s">
        <v>286</v>
      </c>
      <c r="F225" s="11" t="s">
        <v>327</v>
      </c>
      <c r="G225" s="11" t="s">
        <v>328</v>
      </c>
      <c r="H225" s="37" t="n">
        <v>36684</v>
      </c>
      <c r="I225" s="26" t="n">
        <v>1</v>
      </c>
      <c r="J225" s="37" t="n">
        <f aca="false">H225*I225</f>
        <v>36684</v>
      </c>
      <c r="K225" s="38" t="n">
        <v>46363</v>
      </c>
      <c r="L225" s="11" t="n">
        <v>0</v>
      </c>
      <c r="M225" s="11" t="n">
        <v>21</v>
      </c>
      <c r="N225" s="38" t="n">
        <v>46384</v>
      </c>
      <c r="O225" s="11" t="n">
        <f aca="false">IF(INT((N225-Assumptions!$C$2)/7)+1&gt;Assumptions!$C$3,"after W13",INT((N225-Assumptions!$C$2)/7)+1)</f>
        <v>12</v>
      </c>
      <c r="P225" s="38" t="n">
        <f aca="false">IF(AND(D225="Receipt",G225="C01"),WORKDAY(N225+Assumptions!$C$14-1,1),N225)</f>
        <v>46384</v>
      </c>
      <c r="Q225" s="11" t="n">
        <f aca="false">IF(INT((P225-Assumptions!$C$2)/7)+1&gt;Assumptions!$C$3,"after W13",INT((P225-Assumptions!$C$2)/7)+1)</f>
        <v>12</v>
      </c>
      <c r="R225" s="38" t="n">
        <f aca="false">IF(AND(D225="Receipt",OR(G225="C01",G225="C02",G225="C03",G225="C04",G225="C07")),WORKDAY(N225+IF(G225="C01",Assumptions!$C$14,Assumptions!$C$15)-1,1),N225)</f>
        <v>46399</v>
      </c>
      <c r="S225" s="11" t="str">
        <f aca="false">IF(INT((R225-Assumptions!$C$2)/7)+1&gt;Assumptions!$C$3,"after W13",INT((R225-Assumptions!$C$2)/7)+1)</f>
        <v>after W13</v>
      </c>
      <c r="T225" s="11" t="s">
        <v>282</v>
      </c>
      <c r="U225" s="11" t="s">
        <v>275</v>
      </c>
      <c r="V225" s="11" t="s">
        <v>283</v>
      </c>
    </row>
    <row r="226" customFormat="false" ht="15" hidden="false" customHeight="false" outlineLevel="0" collapsed="false">
      <c r="A226" s="11" t="s">
        <v>808</v>
      </c>
      <c r="B226" s="11" t="s">
        <v>49</v>
      </c>
      <c r="C226" s="11" t="s">
        <v>809</v>
      </c>
      <c r="D226" s="11" t="s">
        <v>278</v>
      </c>
      <c r="E226" s="11" t="s">
        <v>596</v>
      </c>
      <c r="F226" s="11" t="s">
        <v>810</v>
      </c>
      <c r="G226" s="11" t="s">
        <v>811</v>
      </c>
      <c r="H226" s="37" t="n">
        <v>129600</v>
      </c>
      <c r="I226" s="26" t="n">
        <v>1</v>
      </c>
      <c r="J226" s="37" t="n">
        <f aca="false">H226*I226</f>
        <v>129600</v>
      </c>
      <c r="K226" s="38" t="n">
        <v>46373</v>
      </c>
      <c r="L226" s="11" t="n">
        <v>0</v>
      </c>
      <c r="M226" s="11" t="n">
        <v>11</v>
      </c>
      <c r="N226" s="38" t="n">
        <v>46384</v>
      </c>
      <c r="O226" s="11" t="n">
        <f aca="false">IF(INT((N226-Assumptions!$C$2)/7)+1&gt;Assumptions!$C$3,"after W13",INT((N226-Assumptions!$C$2)/7)+1)</f>
        <v>12</v>
      </c>
      <c r="P226" s="38" t="n">
        <f aca="false">IF(AND(D226="Receipt",G226="C01"),WORKDAY(N226+Assumptions!$C$14-1,1),N226)</f>
        <v>46384</v>
      </c>
      <c r="Q226" s="11" t="n">
        <f aca="false">IF(INT((P226-Assumptions!$C$2)/7)+1&gt;Assumptions!$C$3,"after W13",INT((P226-Assumptions!$C$2)/7)+1)</f>
        <v>12</v>
      </c>
      <c r="R226" s="38" t="n">
        <f aca="false">IF(AND(D226="Receipt",OR(G226="C01",G226="C02",G226="C03",G226="C04",G226="C07")),WORKDAY(N226+IF(G226="C01",Assumptions!$C$14,Assumptions!$C$15)-1,1),N226)</f>
        <v>46384</v>
      </c>
      <c r="S226" s="11" t="n">
        <f aca="false">IF(INT((R226-Assumptions!$C$2)/7)+1&gt;Assumptions!$C$3,"after W13",INT((R226-Assumptions!$C$2)/7)+1)</f>
        <v>12</v>
      </c>
      <c r="T226" s="11" t="s">
        <v>812</v>
      </c>
      <c r="U226" s="11" t="s">
        <v>275</v>
      </c>
      <c r="V226" s="11" t="s">
        <v>813</v>
      </c>
    </row>
    <row r="227" customFormat="false" ht="15" hidden="false" customHeight="false" outlineLevel="0" collapsed="false">
      <c r="A227" s="11" t="s">
        <v>814</v>
      </c>
      <c r="B227" s="11" t="s">
        <v>49</v>
      </c>
      <c r="C227" s="11" t="s">
        <v>815</v>
      </c>
      <c r="D227" s="11" t="s">
        <v>278</v>
      </c>
      <c r="E227" s="11" t="s">
        <v>279</v>
      </c>
      <c r="F227" s="11" t="s">
        <v>335</v>
      </c>
      <c r="G227" s="11" t="s">
        <v>336</v>
      </c>
      <c r="H227" s="37" t="n">
        <v>9144</v>
      </c>
      <c r="I227" s="26" t="n">
        <v>1</v>
      </c>
      <c r="J227" s="37" t="n">
        <f aca="false">H227*I227</f>
        <v>9144</v>
      </c>
      <c r="K227" s="38" t="n">
        <v>46377</v>
      </c>
      <c r="L227" s="11" t="n">
        <v>0</v>
      </c>
      <c r="M227" s="11" t="n">
        <v>7</v>
      </c>
      <c r="N227" s="38" t="n">
        <v>46384</v>
      </c>
      <c r="O227" s="11" t="n">
        <f aca="false">IF(INT((N227-Assumptions!$C$2)/7)+1&gt;Assumptions!$C$3,"after W13",INT((N227-Assumptions!$C$2)/7)+1)</f>
        <v>12</v>
      </c>
      <c r="P227" s="38" t="n">
        <f aca="false">IF(AND(D227="Receipt",G227="C01"),WORKDAY(N227+Assumptions!$C$14-1,1),N227)</f>
        <v>46384</v>
      </c>
      <c r="Q227" s="11" t="n">
        <f aca="false">IF(INT((P227-Assumptions!$C$2)/7)+1&gt;Assumptions!$C$3,"after W13",INT((P227-Assumptions!$C$2)/7)+1)</f>
        <v>12</v>
      </c>
      <c r="R227" s="38" t="n">
        <f aca="false">IF(AND(D227="Receipt",OR(G227="C01",G227="C02",G227="C03",G227="C04",G227="C07")),WORKDAY(N227+IF(G227="C01",Assumptions!$C$14,Assumptions!$C$15)-1,1),N227)</f>
        <v>46384</v>
      </c>
      <c r="S227" s="11" t="n">
        <f aca="false">IF(INT((R227-Assumptions!$C$2)/7)+1&gt;Assumptions!$C$3,"after W13",INT((R227-Assumptions!$C$2)/7)+1)</f>
        <v>12</v>
      </c>
      <c r="T227" s="11" t="s">
        <v>538</v>
      </c>
      <c r="U227" s="11" t="s">
        <v>275</v>
      </c>
      <c r="V227" s="11" t="s">
        <v>283</v>
      </c>
    </row>
    <row r="228" customFormat="false" ht="15" hidden="false" customHeight="false" outlineLevel="0" collapsed="false">
      <c r="A228" s="11" t="s">
        <v>816</v>
      </c>
      <c r="B228" s="11" t="s">
        <v>49</v>
      </c>
      <c r="C228" s="11" t="s">
        <v>817</v>
      </c>
      <c r="D228" s="11" t="s">
        <v>278</v>
      </c>
      <c r="E228" s="11" t="s">
        <v>279</v>
      </c>
      <c r="F228" s="11" t="s">
        <v>335</v>
      </c>
      <c r="G228" s="11" t="s">
        <v>336</v>
      </c>
      <c r="H228" s="37" t="n">
        <v>8988</v>
      </c>
      <c r="I228" s="26" t="n">
        <v>1</v>
      </c>
      <c r="J228" s="37" t="n">
        <f aca="false">H228*I228</f>
        <v>8988</v>
      </c>
      <c r="K228" s="38" t="n">
        <v>46377</v>
      </c>
      <c r="L228" s="11" t="n">
        <v>0</v>
      </c>
      <c r="M228" s="11" t="n">
        <v>7</v>
      </c>
      <c r="N228" s="38" t="n">
        <v>46384</v>
      </c>
      <c r="O228" s="11" t="n">
        <f aca="false">IF(INT((N228-Assumptions!$C$2)/7)+1&gt;Assumptions!$C$3,"after W13",INT((N228-Assumptions!$C$2)/7)+1)</f>
        <v>12</v>
      </c>
      <c r="P228" s="38" t="n">
        <f aca="false">IF(AND(D228="Receipt",G228="C01"),WORKDAY(N228+Assumptions!$C$14-1,1),N228)</f>
        <v>46384</v>
      </c>
      <c r="Q228" s="11" t="n">
        <f aca="false">IF(INT((P228-Assumptions!$C$2)/7)+1&gt;Assumptions!$C$3,"after W13",INT((P228-Assumptions!$C$2)/7)+1)</f>
        <v>12</v>
      </c>
      <c r="R228" s="38" t="n">
        <f aca="false">IF(AND(D228="Receipt",OR(G228="C01",G228="C02",G228="C03",G228="C04",G228="C07")),WORKDAY(N228+IF(G228="C01",Assumptions!$C$14,Assumptions!$C$15)-1,1),N228)</f>
        <v>46384</v>
      </c>
      <c r="S228" s="11" t="n">
        <f aca="false">IF(INT((R228-Assumptions!$C$2)/7)+1&gt;Assumptions!$C$3,"after W13",INT((R228-Assumptions!$C$2)/7)+1)</f>
        <v>12</v>
      </c>
      <c r="T228" s="11" t="s">
        <v>538</v>
      </c>
      <c r="U228" s="11" t="s">
        <v>275</v>
      </c>
      <c r="V228" s="11" t="s">
        <v>283</v>
      </c>
    </row>
    <row r="229" customFormat="false" ht="15" hidden="false" customHeight="false" outlineLevel="0" collapsed="false">
      <c r="A229" s="11" t="s">
        <v>818</v>
      </c>
      <c r="B229" s="11" t="s">
        <v>49</v>
      </c>
      <c r="C229" s="11" t="s">
        <v>819</v>
      </c>
      <c r="D229" s="11" t="s">
        <v>278</v>
      </c>
      <c r="E229" s="11" t="s">
        <v>279</v>
      </c>
      <c r="F229" s="11" t="s">
        <v>280</v>
      </c>
      <c r="G229" s="11" t="s">
        <v>281</v>
      </c>
      <c r="H229" s="37" t="n">
        <v>8340</v>
      </c>
      <c r="I229" s="26" t="n">
        <v>1</v>
      </c>
      <c r="J229" s="37" t="n">
        <f aca="false">H229*I229</f>
        <v>8340</v>
      </c>
      <c r="K229" s="38" t="n">
        <v>46384</v>
      </c>
      <c r="L229" s="11" t="n">
        <v>0</v>
      </c>
      <c r="M229" s="11" t="n">
        <v>0</v>
      </c>
      <c r="N229" s="38" t="n">
        <v>46384</v>
      </c>
      <c r="O229" s="11" t="n">
        <f aca="false">IF(INT((N229-Assumptions!$C$2)/7)+1&gt;Assumptions!$C$3,"after W13",INT((N229-Assumptions!$C$2)/7)+1)</f>
        <v>12</v>
      </c>
      <c r="P229" s="38" t="n">
        <f aca="false">IF(AND(D229="Receipt",G229="C01"),WORKDAY(N229+Assumptions!$C$14-1,1),N229)</f>
        <v>46384</v>
      </c>
      <c r="Q229" s="11" t="n">
        <f aca="false">IF(INT((P229-Assumptions!$C$2)/7)+1&gt;Assumptions!$C$3,"after W13",INT((P229-Assumptions!$C$2)/7)+1)</f>
        <v>12</v>
      </c>
      <c r="R229" s="38" t="n">
        <f aca="false">IF(AND(D229="Receipt",OR(G229="C01",G229="C02",G229="C03",G229="C04",G229="C07")),WORKDAY(N229+IF(G229="C01",Assumptions!$C$14,Assumptions!$C$15)-1,1),N229)</f>
        <v>46384</v>
      </c>
      <c r="S229" s="11" t="n">
        <f aca="false">IF(INT((R229-Assumptions!$C$2)/7)+1&gt;Assumptions!$C$3,"after W13",INT((R229-Assumptions!$C$2)/7)+1)</f>
        <v>12</v>
      </c>
      <c r="T229" s="11" t="s">
        <v>538</v>
      </c>
      <c r="U229" s="11" t="s">
        <v>275</v>
      </c>
      <c r="V229" s="11" t="s">
        <v>283</v>
      </c>
    </row>
    <row r="230" customFormat="false" ht="15" hidden="false" customHeight="false" outlineLevel="0" collapsed="false">
      <c r="A230" s="11" t="s">
        <v>820</v>
      </c>
      <c r="B230" s="11" t="s">
        <v>49</v>
      </c>
      <c r="C230" s="11" t="s">
        <v>821</v>
      </c>
      <c r="D230" s="11" t="s">
        <v>278</v>
      </c>
      <c r="E230" s="11" t="s">
        <v>322</v>
      </c>
      <c r="F230" s="11" t="s">
        <v>323</v>
      </c>
      <c r="G230" s="11" t="s">
        <v>324</v>
      </c>
      <c r="H230" s="37" t="n">
        <v>10464</v>
      </c>
      <c r="I230" s="26" t="n">
        <v>1</v>
      </c>
      <c r="J230" s="37" t="n">
        <f aca="false">H230*I230</f>
        <v>10464</v>
      </c>
      <c r="K230" s="38" t="n">
        <v>46372</v>
      </c>
      <c r="L230" s="11" t="n">
        <v>0</v>
      </c>
      <c r="M230" s="11" t="n">
        <v>12</v>
      </c>
      <c r="N230" s="38" t="n">
        <v>46384</v>
      </c>
      <c r="O230" s="11" t="n">
        <f aca="false">IF(INT((N230-Assumptions!$C$2)/7)+1&gt;Assumptions!$C$3,"after W13",INT((N230-Assumptions!$C$2)/7)+1)</f>
        <v>12</v>
      </c>
      <c r="P230" s="38" t="n">
        <f aca="false">IF(AND(D230="Receipt",G230="C01"),WORKDAY(N230+Assumptions!$C$14-1,1),N230)</f>
        <v>46384</v>
      </c>
      <c r="Q230" s="11" t="n">
        <f aca="false">IF(INT((P230-Assumptions!$C$2)/7)+1&gt;Assumptions!$C$3,"after W13",INT((P230-Assumptions!$C$2)/7)+1)</f>
        <v>12</v>
      </c>
      <c r="R230" s="38" t="n">
        <f aca="false">IF(AND(D230="Receipt",OR(G230="C01",G230="C02",G230="C03",G230="C04",G230="C07")),WORKDAY(N230+IF(G230="C01",Assumptions!$C$14,Assumptions!$C$15)-1,1),N230)</f>
        <v>46384</v>
      </c>
      <c r="S230" s="11" t="n">
        <f aca="false">IF(INT((R230-Assumptions!$C$2)/7)+1&gt;Assumptions!$C$3,"after W13",INT((R230-Assumptions!$C$2)/7)+1)</f>
        <v>12</v>
      </c>
      <c r="T230" s="11" t="s">
        <v>538</v>
      </c>
      <c r="U230" s="11" t="s">
        <v>275</v>
      </c>
      <c r="V230" s="11" t="s">
        <v>283</v>
      </c>
    </row>
    <row r="231" customFormat="false" ht="15" hidden="false" customHeight="false" outlineLevel="0" collapsed="false">
      <c r="A231" s="11" t="s">
        <v>822</v>
      </c>
      <c r="B231" s="11" t="s">
        <v>49</v>
      </c>
      <c r="C231" s="11" t="s">
        <v>823</v>
      </c>
      <c r="D231" s="11" t="s">
        <v>278</v>
      </c>
      <c r="E231" s="11" t="s">
        <v>391</v>
      </c>
      <c r="F231" s="11" t="s">
        <v>392</v>
      </c>
      <c r="G231" s="11" t="s">
        <v>393</v>
      </c>
      <c r="H231" s="37" t="n">
        <v>5472</v>
      </c>
      <c r="I231" s="26" t="n">
        <v>1</v>
      </c>
      <c r="J231" s="37" t="n">
        <f aca="false">H231*I231</f>
        <v>5472</v>
      </c>
      <c r="K231" s="38" t="n">
        <v>46361</v>
      </c>
      <c r="L231" s="11" t="n">
        <v>0</v>
      </c>
      <c r="M231" s="11" t="n">
        <v>23.5</v>
      </c>
      <c r="N231" s="38" t="n">
        <v>46385</v>
      </c>
      <c r="O231" s="11" t="n">
        <f aca="false">IF(INT((N231-Assumptions!$C$2)/7)+1&gt;Assumptions!$C$3,"after W13",INT((N231-Assumptions!$C$2)/7)+1)</f>
        <v>12</v>
      </c>
      <c r="P231" s="38" t="n">
        <f aca="false">IF(AND(D231="Receipt",G231="C01"),WORKDAY(N231+Assumptions!$C$14-1,1),N231)</f>
        <v>46385</v>
      </c>
      <c r="Q231" s="11" t="n">
        <f aca="false">IF(INT((P231-Assumptions!$C$2)/7)+1&gt;Assumptions!$C$3,"after W13",INT((P231-Assumptions!$C$2)/7)+1)</f>
        <v>12</v>
      </c>
      <c r="R231" s="38" t="n">
        <f aca="false">IF(AND(D231="Receipt",OR(G231="C01",G231="C02",G231="C03",G231="C04",G231="C07")),WORKDAY(N231+IF(G231="C01",Assumptions!$C$14,Assumptions!$C$15)-1,1),N231)</f>
        <v>46385</v>
      </c>
      <c r="S231" s="11" t="n">
        <f aca="false">IF(INT((R231-Assumptions!$C$2)/7)+1&gt;Assumptions!$C$3,"after W13",INT((R231-Assumptions!$C$2)/7)+1)</f>
        <v>12</v>
      </c>
      <c r="T231" s="11" t="s">
        <v>538</v>
      </c>
      <c r="U231" s="11" t="s">
        <v>275</v>
      </c>
      <c r="V231" s="11" t="s">
        <v>283</v>
      </c>
    </row>
    <row r="232" customFormat="false" ht="15" hidden="false" customHeight="false" outlineLevel="0" collapsed="false">
      <c r="A232" s="11" t="s">
        <v>824</v>
      </c>
      <c r="B232" s="11" t="s">
        <v>49</v>
      </c>
      <c r="C232" s="11" t="s">
        <v>825</v>
      </c>
      <c r="D232" s="11" t="s">
        <v>278</v>
      </c>
      <c r="E232" s="11" t="s">
        <v>286</v>
      </c>
      <c r="F232" s="11" t="s">
        <v>331</v>
      </c>
      <c r="G232" s="11" t="s">
        <v>332</v>
      </c>
      <c r="H232" s="37" t="n">
        <v>7428</v>
      </c>
      <c r="I232" s="26" t="n">
        <v>1</v>
      </c>
      <c r="J232" s="37" t="n">
        <f aca="false">H232*I232</f>
        <v>7428</v>
      </c>
      <c r="K232" s="38" t="n">
        <v>46360</v>
      </c>
      <c r="L232" s="11" t="n">
        <v>0</v>
      </c>
      <c r="M232" s="11" t="n">
        <v>25</v>
      </c>
      <c r="N232" s="38" t="n">
        <v>46385</v>
      </c>
      <c r="O232" s="11" t="n">
        <f aca="false">IF(INT((N232-Assumptions!$C$2)/7)+1&gt;Assumptions!$C$3,"after W13",INT((N232-Assumptions!$C$2)/7)+1)</f>
        <v>12</v>
      </c>
      <c r="P232" s="38" t="n">
        <f aca="false">IF(AND(D232="Receipt",G232="C01"),WORKDAY(N232+Assumptions!$C$14-1,1),N232)</f>
        <v>46385</v>
      </c>
      <c r="Q232" s="11" t="n">
        <f aca="false">IF(INT((P232-Assumptions!$C$2)/7)+1&gt;Assumptions!$C$3,"after W13",INT((P232-Assumptions!$C$2)/7)+1)</f>
        <v>12</v>
      </c>
      <c r="R232" s="38" t="n">
        <f aca="false">IF(AND(D232="Receipt",OR(G232="C01",G232="C02",G232="C03",G232="C04",G232="C07")),WORKDAY(N232+IF(G232="C01",Assumptions!$C$14,Assumptions!$C$15)-1,1),N232)</f>
        <v>46400</v>
      </c>
      <c r="S232" s="11" t="str">
        <f aca="false">IF(INT((R232-Assumptions!$C$2)/7)+1&gt;Assumptions!$C$3,"after W13",INT((R232-Assumptions!$C$2)/7)+1)</f>
        <v>after W13</v>
      </c>
      <c r="T232" s="11" t="s">
        <v>538</v>
      </c>
      <c r="U232" s="11" t="s">
        <v>275</v>
      </c>
      <c r="V232" s="11" t="s">
        <v>283</v>
      </c>
    </row>
    <row r="233" customFormat="false" ht="15" hidden="false" customHeight="false" outlineLevel="0" collapsed="false">
      <c r="A233" s="11" t="s">
        <v>826</v>
      </c>
      <c r="B233" s="11" t="s">
        <v>55</v>
      </c>
      <c r="C233" s="11" t="s">
        <v>827</v>
      </c>
      <c r="D233" s="11" t="s">
        <v>271</v>
      </c>
      <c r="E233" s="11" t="s">
        <v>291</v>
      </c>
      <c r="F233" s="11" t="s">
        <v>292</v>
      </c>
      <c r="G233" s="11"/>
      <c r="H233" s="37" t="n">
        <v>-1800</v>
      </c>
      <c r="I233" s="26" t="n">
        <v>1</v>
      </c>
      <c r="J233" s="37" t="n">
        <f aca="false">H233*I233</f>
        <v>-1800</v>
      </c>
      <c r="K233" s="38" t="n">
        <v>46386</v>
      </c>
      <c r="L233" s="11"/>
      <c r="M233" s="11"/>
      <c r="N233" s="38" t="n">
        <v>46386</v>
      </c>
      <c r="O233" s="11" t="n">
        <f aca="false">IF(INT((N233-Assumptions!$C$2)/7)+1&gt;Assumptions!$C$3,"after W13",INT((N233-Assumptions!$C$2)/7)+1)</f>
        <v>12</v>
      </c>
      <c r="P233" s="38" t="n">
        <f aca="false">IF(AND(D233="Receipt",G233="C01"),WORKDAY(N233+Assumptions!$C$14-1,1),N233)</f>
        <v>46386</v>
      </c>
      <c r="Q233" s="11" t="n">
        <f aca="false">IF(INT((P233-Assumptions!$C$2)/7)+1&gt;Assumptions!$C$3,"after W13",INT((P233-Assumptions!$C$2)/7)+1)</f>
        <v>12</v>
      </c>
      <c r="R233" s="38" t="n">
        <f aca="false">IF(AND(D233="Receipt",OR(G233="C01",G233="C02",G233="C03",G233="C04",G233="C07")),WORKDAY(N233+IF(G233="C01",Assumptions!$C$14,Assumptions!$C$15)-1,1),N233)</f>
        <v>46386</v>
      </c>
      <c r="S233" s="11" t="n">
        <f aca="false">IF(INT((R233-Assumptions!$C$2)/7)+1&gt;Assumptions!$C$3,"after W13",INT((R233-Assumptions!$C$2)/7)+1)</f>
        <v>12</v>
      </c>
      <c r="T233" s="11" t="s">
        <v>293</v>
      </c>
      <c r="U233" s="11" t="s">
        <v>275</v>
      </c>
      <c r="V233" s="11" t="s">
        <v>294</v>
      </c>
    </row>
    <row r="234" customFormat="false" ht="15" hidden="false" customHeight="false" outlineLevel="0" collapsed="false">
      <c r="A234" s="11" t="s">
        <v>828</v>
      </c>
      <c r="B234" s="11" t="s">
        <v>53</v>
      </c>
      <c r="C234" s="11" t="s">
        <v>829</v>
      </c>
      <c r="D234" s="11" t="s">
        <v>271</v>
      </c>
      <c r="E234" s="11" t="s">
        <v>307</v>
      </c>
      <c r="F234" s="11" t="s">
        <v>308</v>
      </c>
      <c r="G234" s="11"/>
      <c r="H234" s="37" t="n">
        <v>-34980.4</v>
      </c>
      <c r="I234" s="26" t="n">
        <v>1</v>
      </c>
      <c r="J234" s="37" t="n">
        <f aca="false">H234*I234</f>
        <v>-34980.4</v>
      </c>
      <c r="K234" s="38" t="n">
        <v>46388</v>
      </c>
      <c r="L234" s="11"/>
      <c r="M234" s="11"/>
      <c r="N234" s="38" t="n">
        <v>46387</v>
      </c>
      <c r="O234" s="11" t="n">
        <f aca="false">IF(INT((N234-Assumptions!$C$2)/7)+1&gt;Assumptions!$C$3,"after W13",INT((N234-Assumptions!$C$2)/7)+1)</f>
        <v>12</v>
      </c>
      <c r="P234" s="38" t="n">
        <f aca="false">IF(AND(D234="Receipt",G234="C01"),WORKDAY(N234+Assumptions!$C$14-1,1),N234)</f>
        <v>46387</v>
      </c>
      <c r="Q234" s="11" t="n">
        <f aca="false">IF(INT((P234-Assumptions!$C$2)/7)+1&gt;Assumptions!$C$3,"after W13",INT((P234-Assumptions!$C$2)/7)+1)</f>
        <v>12</v>
      </c>
      <c r="R234" s="38" t="n">
        <f aca="false">IF(AND(D234="Receipt",OR(G234="C01",G234="C02",G234="C03",G234="C04",G234="C07")),WORKDAY(N234+IF(G234="C01",Assumptions!$C$14,Assumptions!$C$15)-1,1),N234)</f>
        <v>46387</v>
      </c>
      <c r="S234" s="11" t="n">
        <f aca="false">IF(INT((R234-Assumptions!$C$2)/7)+1&gt;Assumptions!$C$3,"after W13",INT((R234-Assumptions!$C$2)/7)+1)</f>
        <v>12</v>
      </c>
      <c r="T234" s="11" t="s">
        <v>465</v>
      </c>
      <c r="U234" s="11" t="s">
        <v>275</v>
      </c>
      <c r="V234" s="11" t="s">
        <v>411</v>
      </c>
    </row>
    <row r="235" customFormat="false" ht="15" hidden="false" customHeight="false" outlineLevel="0" collapsed="false">
      <c r="A235" s="11" t="s">
        <v>830</v>
      </c>
      <c r="B235" s="11" t="s">
        <v>53</v>
      </c>
      <c r="C235" s="11" t="s">
        <v>831</v>
      </c>
      <c r="D235" s="11" t="s">
        <v>271</v>
      </c>
      <c r="E235" s="11" t="s">
        <v>307</v>
      </c>
      <c r="F235" s="11" t="s">
        <v>313</v>
      </c>
      <c r="G235" s="11"/>
      <c r="H235" s="37" t="n">
        <v>-4961.84</v>
      </c>
      <c r="I235" s="26" t="n">
        <v>1</v>
      </c>
      <c r="J235" s="37" t="n">
        <f aca="false">H235*I235</f>
        <v>-4961.84</v>
      </c>
      <c r="K235" s="38" t="n">
        <v>46388</v>
      </c>
      <c r="L235" s="11"/>
      <c r="M235" s="11"/>
      <c r="N235" s="38" t="n">
        <v>46387</v>
      </c>
      <c r="O235" s="11" t="n">
        <f aca="false">IF(INT((N235-Assumptions!$C$2)/7)+1&gt;Assumptions!$C$3,"after W13",INT((N235-Assumptions!$C$2)/7)+1)</f>
        <v>12</v>
      </c>
      <c r="P235" s="38" t="n">
        <f aca="false">IF(AND(D235="Receipt",G235="C01"),WORKDAY(N235+Assumptions!$C$14-1,1),N235)</f>
        <v>46387</v>
      </c>
      <c r="Q235" s="11" t="n">
        <f aca="false">IF(INT((P235-Assumptions!$C$2)/7)+1&gt;Assumptions!$C$3,"after W13",INT((P235-Assumptions!$C$2)/7)+1)</f>
        <v>12</v>
      </c>
      <c r="R235" s="38" t="n">
        <f aca="false">IF(AND(D235="Receipt",OR(G235="C01",G235="C02",G235="C03",G235="C04",G235="C07")),WORKDAY(N235+IF(G235="C01",Assumptions!$C$14,Assumptions!$C$15)-1,1),N235)</f>
        <v>46387</v>
      </c>
      <c r="S235" s="11" t="n">
        <f aca="false">IF(INT((R235-Assumptions!$C$2)/7)+1&gt;Assumptions!$C$3,"after W13",INT((R235-Assumptions!$C$2)/7)+1)</f>
        <v>12</v>
      </c>
      <c r="T235" s="11" t="s">
        <v>783</v>
      </c>
      <c r="U235" s="11" t="s">
        <v>275</v>
      </c>
      <c r="V235" s="11" t="s">
        <v>314</v>
      </c>
    </row>
    <row r="236" customFormat="false" ht="15" hidden="false" customHeight="false" outlineLevel="0" collapsed="false">
      <c r="A236" s="11" t="s">
        <v>832</v>
      </c>
      <c r="B236" s="11" t="s">
        <v>53</v>
      </c>
      <c r="C236" s="11" t="s">
        <v>833</v>
      </c>
      <c r="D236" s="11" t="s">
        <v>271</v>
      </c>
      <c r="E236" s="11" t="s">
        <v>307</v>
      </c>
      <c r="F236" s="11" t="s">
        <v>420</v>
      </c>
      <c r="G236" s="11"/>
      <c r="H236" s="37" t="n">
        <v>-97624.95</v>
      </c>
      <c r="I236" s="26" t="n">
        <v>1</v>
      </c>
      <c r="J236" s="37" t="n">
        <f aca="false">H236*I236</f>
        <v>-97624.95</v>
      </c>
      <c r="K236" s="38" t="n">
        <v>46393</v>
      </c>
      <c r="L236" s="11"/>
      <c r="M236" s="11"/>
      <c r="N236" s="38" t="n">
        <v>46387</v>
      </c>
      <c r="O236" s="11" t="n">
        <f aca="false">IF(INT((N236-Assumptions!$C$2)/7)+1&gt;Assumptions!$C$3,"after W13",INT((N236-Assumptions!$C$2)/7)+1)</f>
        <v>12</v>
      </c>
      <c r="P236" s="38" t="n">
        <f aca="false">IF(AND(D236="Receipt",G236="C01"),WORKDAY(N236+Assumptions!$C$14-1,1),N236)</f>
        <v>46387</v>
      </c>
      <c r="Q236" s="11" t="n">
        <f aca="false">IF(INT((P236-Assumptions!$C$2)/7)+1&gt;Assumptions!$C$3,"after W13",INT((P236-Assumptions!$C$2)/7)+1)</f>
        <v>12</v>
      </c>
      <c r="R236" s="38" t="n">
        <f aca="false">IF(AND(D236="Receipt",OR(G236="C01",G236="C02",G236="C03",G236="C04",G236="C07")),WORKDAY(N236+IF(G236="C01",Assumptions!$C$14,Assumptions!$C$15)-1,1),N236)</f>
        <v>46387</v>
      </c>
      <c r="S236" s="11" t="n">
        <f aca="false">IF(INT((R236-Assumptions!$C$2)/7)+1&gt;Assumptions!$C$3,"after W13",INT((R236-Assumptions!$C$2)/7)+1)</f>
        <v>12</v>
      </c>
      <c r="T236" s="11" t="s">
        <v>783</v>
      </c>
      <c r="U236" s="11" t="s">
        <v>275</v>
      </c>
      <c r="V236" s="11" t="s">
        <v>834</v>
      </c>
    </row>
    <row r="237" customFormat="false" ht="15" hidden="false" customHeight="false" outlineLevel="0" collapsed="false">
      <c r="A237" s="11" t="s">
        <v>835</v>
      </c>
      <c r="B237" s="11" t="s">
        <v>55</v>
      </c>
      <c r="C237" s="11" t="s">
        <v>836</v>
      </c>
      <c r="D237" s="11" t="s">
        <v>271</v>
      </c>
      <c r="E237" s="11" t="s">
        <v>424</v>
      </c>
      <c r="F237" s="11" t="s">
        <v>425</v>
      </c>
      <c r="G237" s="11"/>
      <c r="H237" s="37" t="n">
        <v>-72000</v>
      </c>
      <c r="I237" s="26" t="n">
        <v>1</v>
      </c>
      <c r="J237" s="37" t="n">
        <f aca="false">H237*I237</f>
        <v>-72000</v>
      </c>
      <c r="K237" s="38" t="n">
        <v>46387</v>
      </c>
      <c r="L237" s="11"/>
      <c r="M237" s="11"/>
      <c r="N237" s="38" t="n">
        <v>46387</v>
      </c>
      <c r="O237" s="11" t="n">
        <f aca="false">IF(INT((N237-Assumptions!$C$2)/7)+1&gt;Assumptions!$C$3,"after W13",INT((N237-Assumptions!$C$2)/7)+1)</f>
        <v>12</v>
      </c>
      <c r="P237" s="38" t="n">
        <f aca="false">IF(AND(D237="Receipt",G237="C01"),WORKDAY(N237+Assumptions!$C$14-1,1),N237)</f>
        <v>46387</v>
      </c>
      <c r="Q237" s="11" t="n">
        <f aca="false">IF(INT((P237-Assumptions!$C$2)/7)+1&gt;Assumptions!$C$3,"after W13",INT((P237-Assumptions!$C$2)/7)+1)</f>
        <v>12</v>
      </c>
      <c r="R237" s="38" t="n">
        <f aca="false">IF(AND(D237="Receipt",OR(G237="C01",G237="C02",G237="C03",G237="C04",G237="C07")),WORKDAY(N237+IF(G237="C01",Assumptions!$C$14,Assumptions!$C$15)-1,1),N237)</f>
        <v>46387</v>
      </c>
      <c r="S237" s="11" t="n">
        <f aca="false">IF(INT((R237-Assumptions!$C$2)/7)+1&gt;Assumptions!$C$3,"after W13",INT((R237-Assumptions!$C$2)/7)+1)</f>
        <v>12</v>
      </c>
      <c r="T237" s="11" t="s">
        <v>274</v>
      </c>
      <c r="U237" s="11" t="s">
        <v>275</v>
      </c>
      <c r="V237" s="11" t="s">
        <v>837</v>
      </c>
    </row>
    <row r="238" customFormat="false" ht="15" hidden="false" customHeight="false" outlineLevel="0" collapsed="false">
      <c r="A238" s="11" t="s">
        <v>838</v>
      </c>
      <c r="B238" s="11" t="s">
        <v>55</v>
      </c>
      <c r="C238" s="11" t="s">
        <v>839</v>
      </c>
      <c r="D238" s="11" t="s">
        <v>271</v>
      </c>
      <c r="E238" s="11" t="s">
        <v>424</v>
      </c>
      <c r="F238" s="11" t="s">
        <v>425</v>
      </c>
      <c r="G238" s="11"/>
      <c r="H238" s="37" t="n">
        <v>-106000</v>
      </c>
      <c r="I238" s="26" t="n">
        <v>1</v>
      </c>
      <c r="J238" s="37" t="n">
        <f aca="false">H238*I238</f>
        <v>-106000</v>
      </c>
      <c r="K238" s="38" t="n">
        <v>46387</v>
      </c>
      <c r="L238" s="11"/>
      <c r="M238" s="11"/>
      <c r="N238" s="38" t="n">
        <v>46387</v>
      </c>
      <c r="O238" s="11" t="n">
        <f aca="false">IF(INT((N238-Assumptions!$C$2)/7)+1&gt;Assumptions!$C$3,"after W13",INT((N238-Assumptions!$C$2)/7)+1)</f>
        <v>12</v>
      </c>
      <c r="P238" s="38" t="n">
        <f aca="false">IF(AND(D238="Receipt",G238="C01"),WORKDAY(N238+Assumptions!$C$14-1,1),N238)</f>
        <v>46387</v>
      </c>
      <c r="Q238" s="11" t="n">
        <f aca="false">IF(INT((P238-Assumptions!$C$2)/7)+1&gt;Assumptions!$C$3,"after W13",INT((P238-Assumptions!$C$2)/7)+1)</f>
        <v>12</v>
      </c>
      <c r="R238" s="38" t="n">
        <f aca="false">IF(AND(D238="Receipt",OR(G238="C01",G238="C02",G238="C03",G238="C04",G238="C07")),WORKDAY(N238+IF(G238="C01",Assumptions!$C$14,Assumptions!$C$15)-1,1),N238)</f>
        <v>46387</v>
      </c>
      <c r="S238" s="11" t="n">
        <f aca="false">IF(INT((R238-Assumptions!$C$2)/7)+1&gt;Assumptions!$C$3,"after W13",INT((R238-Assumptions!$C$2)/7)+1)</f>
        <v>12</v>
      </c>
      <c r="T238" s="11" t="s">
        <v>274</v>
      </c>
      <c r="U238" s="11" t="s">
        <v>275</v>
      </c>
      <c r="V238" s="11"/>
    </row>
    <row r="239" customFormat="false" ht="15" hidden="false" customHeight="false" outlineLevel="0" collapsed="false">
      <c r="A239" s="11" t="s">
        <v>840</v>
      </c>
      <c r="B239" s="11" t="s">
        <v>49</v>
      </c>
      <c r="C239" s="11" t="s">
        <v>841</v>
      </c>
      <c r="D239" s="11" t="s">
        <v>278</v>
      </c>
      <c r="E239" s="11" t="s">
        <v>297</v>
      </c>
      <c r="F239" s="11" t="s">
        <v>298</v>
      </c>
      <c r="G239" s="11" t="s">
        <v>299</v>
      </c>
      <c r="H239" s="37" t="n">
        <v>8010</v>
      </c>
      <c r="I239" s="26" t="n">
        <v>1</v>
      </c>
      <c r="J239" s="37" t="n">
        <f aca="false">H239*I239</f>
        <v>8010</v>
      </c>
      <c r="K239" s="38" t="n">
        <v>46381</v>
      </c>
      <c r="L239" s="11" t="n">
        <v>0</v>
      </c>
      <c r="M239" s="11" t="n">
        <v>6</v>
      </c>
      <c r="N239" s="38" t="n">
        <v>46387</v>
      </c>
      <c r="O239" s="11" t="n">
        <f aca="false">IF(INT((N239-Assumptions!$C$2)/7)+1&gt;Assumptions!$C$3,"after W13",INT((N239-Assumptions!$C$2)/7)+1)</f>
        <v>12</v>
      </c>
      <c r="P239" s="38" t="n">
        <f aca="false">IF(AND(D239="Receipt",G239="C01"),WORKDAY(N239+Assumptions!$C$14-1,1),N239)</f>
        <v>46387</v>
      </c>
      <c r="Q239" s="11" t="n">
        <f aca="false">IF(INT((P239-Assumptions!$C$2)/7)+1&gt;Assumptions!$C$3,"after W13",INT((P239-Assumptions!$C$2)/7)+1)</f>
        <v>12</v>
      </c>
      <c r="R239" s="38" t="n">
        <f aca="false">IF(AND(D239="Receipt",OR(G239="C01",G239="C02",G239="C03",G239="C04",G239="C07")),WORKDAY(N239+IF(G239="C01",Assumptions!$C$14,Assumptions!$C$15)-1,1),N239)</f>
        <v>46387</v>
      </c>
      <c r="S239" s="11" t="n">
        <f aca="false">IF(INT((R239-Assumptions!$C$2)/7)+1&gt;Assumptions!$C$3,"after W13",INT((R239-Assumptions!$C$2)/7)+1)</f>
        <v>12</v>
      </c>
      <c r="T239" s="11" t="s">
        <v>538</v>
      </c>
      <c r="U239" s="11" t="s">
        <v>275</v>
      </c>
      <c r="V239" s="11" t="s">
        <v>283</v>
      </c>
    </row>
    <row r="240" customFormat="false" ht="15" hidden="false" customHeight="false" outlineLevel="0" collapsed="false">
      <c r="A240" s="11" t="s">
        <v>842</v>
      </c>
      <c r="B240" s="11" t="s">
        <v>49</v>
      </c>
      <c r="C240" s="11" t="s">
        <v>843</v>
      </c>
      <c r="D240" s="11" t="s">
        <v>278</v>
      </c>
      <c r="E240" s="11" t="s">
        <v>279</v>
      </c>
      <c r="F240" s="11" t="s">
        <v>335</v>
      </c>
      <c r="G240" s="11" t="s">
        <v>336</v>
      </c>
      <c r="H240" s="37" t="n">
        <v>2916</v>
      </c>
      <c r="I240" s="26" t="n">
        <v>1</v>
      </c>
      <c r="J240" s="37" t="n">
        <f aca="false">H240*I240</f>
        <v>2916</v>
      </c>
      <c r="K240" s="38" t="n">
        <v>46381</v>
      </c>
      <c r="L240" s="11" t="n">
        <v>0</v>
      </c>
      <c r="M240" s="11" t="n">
        <v>7</v>
      </c>
      <c r="N240" s="38" t="n">
        <v>46388</v>
      </c>
      <c r="O240" s="11" t="n">
        <f aca="false">IF(INT((N240-Assumptions!$C$2)/7)+1&gt;Assumptions!$C$3,"after W13",INT((N240-Assumptions!$C$2)/7)+1)</f>
        <v>12</v>
      </c>
      <c r="P240" s="38" t="n">
        <f aca="false">IF(AND(D240="Receipt",G240="C01"),WORKDAY(N240+Assumptions!$C$14-1,1),N240)</f>
        <v>46388</v>
      </c>
      <c r="Q240" s="11" t="n">
        <f aca="false">IF(INT((P240-Assumptions!$C$2)/7)+1&gt;Assumptions!$C$3,"after W13",INT((P240-Assumptions!$C$2)/7)+1)</f>
        <v>12</v>
      </c>
      <c r="R240" s="38" t="n">
        <f aca="false">IF(AND(D240="Receipt",OR(G240="C01",G240="C02",G240="C03",G240="C04",G240="C07")),WORKDAY(N240+IF(G240="C01",Assumptions!$C$14,Assumptions!$C$15)-1,1),N240)</f>
        <v>46388</v>
      </c>
      <c r="S240" s="11" t="n">
        <f aca="false">IF(INT((R240-Assumptions!$C$2)/7)+1&gt;Assumptions!$C$3,"after W13",INT((R240-Assumptions!$C$2)/7)+1)</f>
        <v>12</v>
      </c>
      <c r="T240" s="11" t="s">
        <v>538</v>
      </c>
      <c r="U240" s="11" t="s">
        <v>275</v>
      </c>
      <c r="V240" s="11" t="s">
        <v>283</v>
      </c>
    </row>
    <row r="241" customFormat="false" ht="15" hidden="false" customHeight="false" outlineLevel="0" collapsed="false">
      <c r="A241" s="11" t="s">
        <v>844</v>
      </c>
      <c r="B241" s="11" t="s">
        <v>55</v>
      </c>
      <c r="C241" s="11" t="s">
        <v>845</v>
      </c>
      <c r="D241" s="11" t="s">
        <v>271</v>
      </c>
      <c r="E241" s="11" t="s">
        <v>846</v>
      </c>
      <c r="F241" s="11" t="s">
        <v>847</v>
      </c>
      <c r="G241" s="11"/>
      <c r="H241" s="37" t="n">
        <v>-23400</v>
      </c>
      <c r="I241" s="26" t="n">
        <v>1</v>
      </c>
      <c r="J241" s="37" t="n">
        <f aca="false">H241*I241</f>
        <v>-23400</v>
      </c>
      <c r="K241" s="38" t="n">
        <v>46391</v>
      </c>
      <c r="L241" s="11"/>
      <c r="M241" s="11"/>
      <c r="N241" s="38" t="n">
        <v>46391</v>
      </c>
      <c r="O241" s="11" t="n">
        <f aca="false">IF(INT((N241-Assumptions!$C$2)/7)+1&gt;Assumptions!$C$3,"after W13",INT((N241-Assumptions!$C$2)/7)+1)</f>
        <v>13</v>
      </c>
      <c r="P241" s="38" t="n">
        <f aca="false">IF(AND(D241="Receipt",G241="C01"),WORKDAY(N241+Assumptions!$C$14-1,1),N241)</f>
        <v>46391</v>
      </c>
      <c r="Q241" s="11" t="n">
        <f aca="false">IF(INT((P241-Assumptions!$C$2)/7)+1&gt;Assumptions!$C$3,"after W13",INT((P241-Assumptions!$C$2)/7)+1)</f>
        <v>13</v>
      </c>
      <c r="R241" s="38" t="n">
        <f aca="false">IF(AND(D241="Receipt",OR(G241="C01",G241="C02",G241="C03",G241="C04",G241="C07")),WORKDAY(N241+IF(G241="C01",Assumptions!$C$14,Assumptions!$C$15)-1,1),N241)</f>
        <v>46391</v>
      </c>
      <c r="S241" s="11" t="n">
        <f aca="false">IF(INT((R241-Assumptions!$C$2)/7)+1&gt;Assumptions!$C$3,"after W13",INT((R241-Assumptions!$C$2)/7)+1)</f>
        <v>13</v>
      </c>
      <c r="T241" s="11" t="s">
        <v>274</v>
      </c>
      <c r="U241" s="11" t="s">
        <v>275</v>
      </c>
      <c r="V241" s="11"/>
    </row>
    <row r="242" customFormat="false" ht="15" hidden="false" customHeight="false" outlineLevel="0" collapsed="false">
      <c r="A242" s="11" t="s">
        <v>848</v>
      </c>
      <c r="B242" s="11" t="s">
        <v>55</v>
      </c>
      <c r="C242" s="11" t="s">
        <v>849</v>
      </c>
      <c r="D242" s="11" t="s">
        <v>271</v>
      </c>
      <c r="E242" s="11" t="s">
        <v>448</v>
      </c>
      <c r="F242" s="11" t="s">
        <v>449</v>
      </c>
      <c r="G242" s="11"/>
      <c r="H242" s="37" t="n">
        <v>-2880</v>
      </c>
      <c r="I242" s="26" t="n">
        <v>1</v>
      </c>
      <c r="J242" s="37" t="n">
        <f aca="false">H242*I242</f>
        <v>-2880</v>
      </c>
      <c r="K242" s="38" t="n">
        <v>46391</v>
      </c>
      <c r="L242" s="11"/>
      <c r="M242" s="11"/>
      <c r="N242" s="38" t="n">
        <v>46391</v>
      </c>
      <c r="O242" s="11" t="n">
        <f aca="false">IF(INT((N242-Assumptions!$C$2)/7)+1&gt;Assumptions!$C$3,"after W13",INT((N242-Assumptions!$C$2)/7)+1)</f>
        <v>13</v>
      </c>
      <c r="P242" s="38" t="n">
        <f aca="false">IF(AND(D242="Receipt",G242="C01"),WORKDAY(N242+Assumptions!$C$14-1,1),N242)</f>
        <v>46391</v>
      </c>
      <c r="Q242" s="11" t="n">
        <f aca="false">IF(INT((P242-Assumptions!$C$2)/7)+1&gt;Assumptions!$C$3,"after W13",INT((P242-Assumptions!$C$2)/7)+1)</f>
        <v>13</v>
      </c>
      <c r="R242" s="38" t="n">
        <f aca="false">IF(AND(D242="Receipt",OR(G242="C01",G242="C02",G242="C03",G242="C04",G242="C07")),WORKDAY(N242+IF(G242="C01",Assumptions!$C$14,Assumptions!$C$15)-1,1),N242)</f>
        <v>46391</v>
      </c>
      <c r="S242" s="11" t="n">
        <f aca="false">IF(INT((R242-Assumptions!$C$2)/7)+1&gt;Assumptions!$C$3,"after W13",INT((R242-Assumptions!$C$2)/7)+1)</f>
        <v>13</v>
      </c>
      <c r="T242" s="11" t="s">
        <v>274</v>
      </c>
      <c r="U242" s="11" t="s">
        <v>275</v>
      </c>
      <c r="V242" s="11"/>
    </row>
    <row r="243" customFormat="false" ht="15" hidden="false" customHeight="false" outlineLevel="0" collapsed="false">
      <c r="A243" s="11" t="s">
        <v>850</v>
      </c>
      <c r="B243" s="11" t="s">
        <v>55</v>
      </c>
      <c r="C243" s="11" t="s">
        <v>851</v>
      </c>
      <c r="D243" s="11" t="s">
        <v>271</v>
      </c>
      <c r="E243" s="11" t="s">
        <v>852</v>
      </c>
      <c r="F243" s="11" t="s">
        <v>853</v>
      </c>
      <c r="G243" s="11"/>
      <c r="H243" s="37" t="n">
        <v>-7800</v>
      </c>
      <c r="I243" s="26" t="n">
        <v>1</v>
      </c>
      <c r="J243" s="37" t="n">
        <f aca="false">H243*I243</f>
        <v>-7800</v>
      </c>
      <c r="K243" s="38" t="n">
        <v>46391</v>
      </c>
      <c r="L243" s="11"/>
      <c r="M243" s="11"/>
      <c r="N243" s="38" t="n">
        <v>46391</v>
      </c>
      <c r="O243" s="11" t="n">
        <f aca="false">IF(INT((N243-Assumptions!$C$2)/7)+1&gt;Assumptions!$C$3,"after W13",INT((N243-Assumptions!$C$2)/7)+1)</f>
        <v>13</v>
      </c>
      <c r="P243" s="38" t="n">
        <f aca="false">IF(AND(D243="Receipt",G243="C01"),WORKDAY(N243+Assumptions!$C$14-1,1),N243)</f>
        <v>46391</v>
      </c>
      <c r="Q243" s="11" t="n">
        <f aca="false">IF(INT((P243-Assumptions!$C$2)/7)+1&gt;Assumptions!$C$3,"after W13",INT((P243-Assumptions!$C$2)/7)+1)</f>
        <v>13</v>
      </c>
      <c r="R243" s="38" t="n">
        <f aca="false">IF(AND(D243="Receipt",OR(G243="C01",G243="C02",G243="C03",G243="C04",G243="C07")),WORKDAY(N243+IF(G243="C01",Assumptions!$C$14,Assumptions!$C$15)-1,1),N243)</f>
        <v>46391</v>
      </c>
      <c r="S243" s="11" t="n">
        <f aca="false">IF(INT((R243-Assumptions!$C$2)/7)+1&gt;Assumptions!$C$3,"after W13",INT((R243-Assumptions!$C$2)/7)+1)</f>
        <v>13</v>
      </c>
      <c r="T243" s="11" t="s">
        <v>274</v>
      </c>
      <c r="U243" s="11" t="s">
        <v>275</v>
      </c>
      <c r="V243" s="11"/>
    </row>
    <row r="244" customFormat="false" ht="15" hidden="false" customHeight="false" outlineLevel="0" collapsed="false">
      <c r="A244" s="11" t="s">
        <v>854</v>
      </c>
      <c r="B244" s="11" t="s">
        <v>49</v>
      </c>
      <c r="C244" s="11" t="s">
        <v>855</v>
      </c>
      <c r="D244" s="11" t="s">
        <v>278</v>
      </c>
      <c r="E244" s="11" t="s">
        <v>286</v>
      </c>
      <c r="F244" s="11" t="s">
        <v>327</v>
      </c>
      <c r="G244" s="11" t="s">
        <v>328</v>
      </c>
      <c r="H244" s="37" t="n">
        <v>15780</v>
      </c>
      <c r="I244" s="26" t="n">
        <v>1</v>
      </c>
      <c r="J244" s="37" t="n">
        <f aca="false">H244*I244</f>
        <v>15780</v>
      </c>
      <c r="K244" s="38" t="n">
        <v>46370</v>
      </c>
      <c r="L244" s="11" t="n">
        <v>0</v>
      </c>
      <c r="M244" s="11" t="n">
        <v>21</v>
      </c>
      <c r="N244" s="38" t="n">
        <v>46391</v>
      </c>
      <c r="O244" s="11" t="n">
        <f aca="false">IF(INT((N244-Assumptions!$C$2)/7)+1&gt;Assumptions!$C$3,"after W13",INT((N244-Assumptions!$C$2)/7)+1)</f>
        <v>13</v>
      </c>
      <c r="P244" s="38" t="n">
        <f aca="false">IF(AND(D244="Receipt",G244="C01"),WORKDAY(N244+Assumptions!$C$14-1,1),N244)</f>
        <v>46391</v>
      </c>
      <c r="Q244" s="11" t="n">
        <f aca="false">IF(INT((P244-Assumptions!$C$2)/7)+1&gt;Assumptions!$C$3,"after W13",INT((P244-Assumptions!$C$2)/7)+1)</f>
        <v>13</v>
      </c>
      <c r="R244" s="38" t="n">
        <f aca="false">IF(AND(D244="Receipt",OR(G244="C01",G244="C02",G244="C03",G244="C04",G244="C07")),WORKDAY(N244+IF(G244="C01",Assumptions!$C$14,Assumptions!$C$15)-1,1),N244)</f>
        <v>46406</v>
      </c>
      <c r="S244" s="11" t="str">
        <f aca="false">IF(INT((R244-Assumptions!$C$2)/7)+1&gt;Assumptions!$C$3,"after W13",INT((R244-Assumptions!$C$2)/7)+1)</f>
        <v>after W13</v>
      </c>
      <c r="T244" s="11" t="s">
        <v>538</v>
      </c>
      <c r="U244" s="11" t="s">
        <v>275</v>
      </c>
      <c r="V244" s="11" t="s">
        <v>283</v>
      </c>
    </row>
    <row r="245" customFormat="false" ht="15" hidden="false" customHeight="false" outlineLevel="0" collapsed="false">
      <c r="A245" s="11" t="s">
        <v>856</v>
      </c>
      <c r="B245" s="11" t="s">
        <v>49</v>
      </c>
      <c r="C245" s="11" t="s">
        <v>857</v>
      </c>
      <c r="D245" s="11" t="s">
        <v>278</v>
      </c>
      <c r="E245" s="11" t="s">
        <v>279</v>
      </c>
      <c r="F245" s="11" t="s">
        <v>280</v>
      </c>
      <c r="G245" s="11" t="s">
        <v>281</v>
      </c>
      <c r="H245" s="37" t="n">
        <v>1992</v>
      </c>
      <c r="I245" s="26" t="n">
        <v>1</v>
      </c>
      <c r="J245" s="37" t="n">
        <f aca="false">H245*I245</f>
        <v>1992</v>
      </c>
      <c r="K245" s="38" t="n">
        <v>46389</v>
      </c>
      <c r="L245" s="11" t="n">
        <v>0</v>
      </c>
      <c r="M245" s="11" t="n">
        <v>0</v>
      </c>
      <c r="N245" s="38" t="n">
        <v>46391</v>
      </c>
      <c r="O245" s="11" t="n">
        <f aca="false">IF(INT((N245-Assumptions!$C$2)/7)+1&gt;Assumptions!$C$3,"after W13",INT((N245-Assumptions!$C$2)/7)+1)</f>
        <v>13</v>
      </c>
      <c r="P245" s="38" t="n">
        <f aca="false">IF(AND(D245="Receipt",G245="C01"),WORKDAY(N245+Assumptions!$C$14-1,1),N245)</f>
        <v>46391</v>
      </c>
      <c r="Q245" s="11" t="n">
        <f aca="false">IF(INT((P245-Assumptions!$C$2)/7)+1&gt;Assumptions!$C$3,"after W13",INT((P245-Assumptions!$C$2)/7)+1)</f>
        <v>13</v>
      </c>
      <c r="R245" s="38" t="n">
        <f aca="false">IF(AND(D245="Receipt",OR(G245="C01",G245="C02",G245="C03",G245="C04",G245="C07")),WORKDAY(N245+IF(G245="C01",Assumptions!$C$14,Assumptions!$C$15)-1,1),N245)</f>
        <v>46391</v>
      </c>
      <c r="S245" s="11" t="n">
        <f aca="false">IF(INT((R245-Assumptions!$C$2)/7)+1&gt;Assumptions!$C$3,"after W13",INT((R245-Assumptions!$C$2)/7)+1)</f>
        <v>13</v>
      </c>
      <c r="T245" s="11" t="s">
        <v>538</v>
      </c>
      <c r="U245" s="11" t="s">
        <v>275</v>
      </c>
      <c r="V245" s="11" t="s">
        <v>283</v>
      </c>
    </row>
    <row r="246" customFormat="false" ht="15" hidden="false" customHeight="false" outlineLevel="0" collapsed="false">
      <c r="A246" s="11" t="s">
        <v>858</v>
      </c>
      <c r="B246" s="11" t="s">
        <v>49</v>
      </c>
      <c r="C246" s="11" t="s">
        <v>859</v>
      </c>
      <c r="D246" s="11" t="s">
        <v>278</v>
      </c>
      <c r="E246" s="11" t="s">
        <v>279</v>
      </c>
      <c r="F246" s="11" t="s">
        <v>280</v>
      </c>
      <c r="G246" s="11" t="s">
        <v>281</v>
      </c>
      <c r="H246" s="37" t="n">
        <v>6312</v>
      </c>
      <c r="I246" s="26" t="n">
        <v>1</v>
      </c>
      <c r="J246" s="37" t="n">
        <f aca="false">H246*I246</f>
        <v>6312</v>
      </c>
      <c r="K246" s="38" t="n">
        <v>46391</v>
      </c>
      <c r="L246" s="11" t="n">
        <v>0</v>
      </c>
      <c r="M246" s="11" t="n">
        <v>0</v>
      </c>
      <c r="N246" s="38" t="n">
        <v>46391</v>
      </c>
      <c r="O246" s="11" t="n">
        <f aca="false">IF(INT((N246-Assumptions!$C$2)/7)+1&gt;Assumptions!$C$3,"after W13",INT((N246-Assumptions!$C$2)/7)+1)</f>
        <v>13</v>
      </c>
      <c r="P246" s="38" t="n">
        <f aca="false">IF(AND(D246="Receipt",G246="C01"),WORKDAY(N246+Assumptions!$C$14-1,1),N246)</f>
        <v>46391</v>
      </c>
      <c r="Q246" s="11" t="n">
        <f aca="false">IF(INT((P246-Assumptions!$C$2)/7)+1&gt;Assumptions!$C$3,"after W13",INT((P246-Assumptions!$C$2)/7)+1)</f>
        <v>13</v>
      </c>
      <c r="R246" s="38" t="n">
        <f aca="false">IF(AND(D246="Receipt",OR(G246="C01",G246="C02",G246="C03",G246="C04",G246="C07")),WORKDAY(N246+IF(G246="C01",Assumptions!$C$14,Assumptions!$C$15)-1,1),N246)</f>
        <v>46391</v>
      </c>
      <c r="S246" s="11" t="n">
        <f aca="false">IF(INT((R246-Assumptions!$C$2)/7)+1&gt;Assumptions!$C$3,"after W13",INT((R246-Assumptions!$C$2)/7)+1)</f>
        <v>13</v>
      </c>
      <c r="T246" s="11" t="s">
        <v>538</v>
      </c>
      <c r="U246" s="11" t="s">
        <v>275</v>
      </c>
      <c r="V246" s="11" t="s">
        <v>283</v>
      </c>
    </row>
    <row r="247" customFormat="false" ht="15" hidden="false" customHeight="false" outlineLevel="0" collapsed="false">
      <c r="A247" s="11" t="s">
        <v>860</v>
      </c>
      <c r="B247" s="11" t="s">
        <v>49</v>
      </c>
      <c r="C247" s="11" t="s">
        <v>861</v>
      </c>
      <c r="D247" s="11" t="s">
        <v>278</v>
      </c>
      <c r="E247" s="11" t="s">
        <v>279</v>
      </c>
      <c r="F247" s="11" t="s">
        <v>280</v>
      </c>
      <c r="G247" s="11" t="s">
        <v>281</v>
      </c>
      <c r="H247" s="37" t="n">
        <v>9684</v>
      </c>
      <c r="I247" s="26" t="n">
        <v>1</v>
      </c>
      <c r="J247" s="37" t="n">
        <f aca="false">H247*I247</f>
        <v>9684</v>
      </c>
      <c r="K247" s="38" t="n">
        <v>46391</v>
      </c>
      <c r="L247" s="11" t="n">
        <v>0</v>
      </c>
      <c r="M247" s="11" t="n">
        <v>0</v>
      </c>
      <c r="N247" s="38" t="n">
        <v>46391</v>
      </c>
      <c r="O247" s="11" t="n">
        <f aca="false">IF(INT((N247-Assumptions!$C$2)/7)+1&gt;Assumptions!$C$3,"after W13",INT((N247-Assumptions!$C$2)/7)+1)</f>
        <v>13</v>
      </c>
      <c r="P247" s="38" t="n">
        <f aca="false">IF(AND(D247="Receipt",G247="C01"),WORKDAY(N247+Assumptions!$C$14-1,1),N247)</f>
        <v>46391</v>
      </c>
      <c r="Q247" s="11" t="n">
        <f aca="false">IF(INT((P247-Assumptions!$C$2)/7)+1&gt;Assumptions!$C$3,"after W13",INT((P247-Assumptions!$C$2)/7)+1)</f>
        <v>13</v>
      </c>
      <c r="R247" s="38" t="n">
        <f aca="false">IF(AND(D247="Receipt",OR(G247="C01",G247="C02",G247="C03",G247="C04",G247="C07")),WORKDAY(N247+IF(G247="C01",Assumptions!$C$14,Assumptions!$C$15)-1,1),N247)</f>
        <v>46391</v>
      </c>
      <c r="S247" s="11" t="n">
        <f aca="false">IF(INT((R247-Assumptions!$C$2)/7)+1&gt;Assumptions!$C$3,"after W13",INT((R247-Assumptions!$C$2)/7)+1)</f>
        <v>13</v>
      </c>
      <c r="T247" s="11" t="s">
        <v>538</v>
      </c>
      <c r="U247" s="11" t="s">
        <v>275</v>
      </c>
      <c r="V247" s="11" t="s">
        <v>283</v>
      </c>
    </row>
    <row r="248" customFormat="false" ht="15" hidden="false" customHeight="false" outlineLevel="0" collapsed="false">
      <c r="A248" s="11" t="s">
        <v>862</v>
      </c>
      <c r="B248" s="11" t="s">
        <v>49</v>
      </c>
      <c r="C248" s="11" t="s">
        <v>863</v>
      </c>
      <c r="D248" s="11" t="s">
        <v>278</v>
      </c>
      <c r="E248" s="11" t="s">
        <v>398</v>
      </c>
      <c r="F248" s="11" t="s">
        <v>399</v>
      </c>
      <c r="G248" s="11" t="s">
        <v>400</v>
      </c>
      <c r="H248" s="37" t="n">
        <v>21840</v>
      </c>
      <c r="I248" s="39" t="n">
        <f aca="false">Assumptions!$C$9</f>
        <v>0.8</v>
      </c>
      <c r="J248" s="37" t="n">
        <f aca="false">H248*I248</f>
        <v>17472</v>
      </c>
      <c r="K248" s="38" t="n">
        <v>46382</v>
      </c>
      <c r="L248" s="11" t="n">
        <v>0</v>
      </c>
      <c r="M248" s="11" t="n">
        <v>8.5</v>
      </c>
      <c r="N248" s="38" t="n">
        <v>46391</v>
      </c>
      <c r="O248" s="11" t="n">
        <f aca="false">IF(INT((N248-Assumptions!$C$2)/7)+1&gt;Assumptions!$C$3,"after W13",INT((N248-Assumptions!$C$2)/7)+1)</f>
        <v>13</v>
      </c>
      <c r="P248" s="38" t="n">
        <f aca="false">IF(AND(D248="Receipt",G248="C01"),WORKDAY(N248+Assumptions!$C$14-1,1),N248)</f>
        <v>46391</v>
      </c>
      <c r="Q248" s="11" t="n">
        <f aca="false">IF(INT((P248-Assumptions!$C$2)/7)+1&gt;Assumptions!$C$3,"after W13",INT((P248-Assumptions!$C$2)/7)+1)</f>
        <v>13</v>
      </c>
      <c r="R248" s="38" t="n">
        <f aca="false">IF(AND(D248="Receipt",OR(G248="C01",G248="C02",G248="C03",G248="C04",G248="C07")),WORKDAY(N248+IF(G248="C01",Assumptions!$C$14,Assumptions!$C$15)-1,1),N248)</f>
        <v>46391</v>
      </c>
      <c r="S248" s="11" t="n">
        <f aca="false">IF(INT((R248-Assumptions!$C$2)/7)+1&gt;Assumptions!$C$3,"after W13",INT((R248-Assumptions!$C$2)/7)+1)</f>
        <v>13</v>
      </c>
      <c r="T248" s="11" t="s">
        <v>864</v>
      </c>
      <c r="U248" s="11" t="s">
        <v>275</v>
      </c>
      <c r="V248" s="11" t="s">
        <v>283</v>
      </c>
    </row>
    <row r="249" customFormat="false" ht="15" hidden="false" customHeight="false" outlineLevel="0" collapsed="false">
      <c r="A249" s="11" t="s">
        <v>865</v>
      </c>
      <c r="B249" s="11" t="s">
        <v>49</v>
      </c>
      <c r="C249" s="11" t="s">
        <v>866</v>
      </c>
      <c r="D249" s="11" t="s">
        <v>278</v>
      </c>
      <c r="E249" s="11" t="s">
        <v>286</v>
      </c>
      <c r="F249" s="11" t="s">
        <v>287</v>
      </c>
      <c r="G249" s="11" t="s">
        <v>288</v>
      </c>
      <c r="H249" s="37" t="n">
        <v>7356</v>
      </c>
      <c r="I249" s="39" t="n">
        <f aca="false">Assumptions!$C$9</f>
        <v>0.8</v>
      </c>
      <c r="J249" s="37" t="n">
        <f aca="false">H249*I249</f>
        <v>5884.8</v>
      </c>
      <c r="K249" s="38" t="n">
        <v>46386</v>
      </c>
      <c r="L249" s="11" t="n">
        <v>0</v>
      </c>
      <c r="M249" s="11" t="n">
        <v>3</v>
      </c>
      <c r="N249" s="38" t="n">
        <v>46391</v>
      </c>
      <c r="O249" s="11" t="n">
        <f aca="false">IF(INT((N249-Assumptions!$C$2)/7)+1&gt;Assumptions!$C$3,"after W13",INT((N249-Assumptions!$C$2)/7)+1)</f>
        <v>13</v>
      </c>
      <c r="P249" s="38" t="n">
        <f aca="false">IF(AND(D249="Receipt",G249="C01"),WORKDAY(N249+Assumptions!$C$14-1,1),N249)</f>
        <v>46391</v>
      </c>
      <c r="Q249" s="11" t="n">
        <f aca="false">IF(INT((P249-Assumptions!$C$2)/7)+1&gt;Assumptions!$C$3,"after W13",INT((P249-Assumptions!$C$2)/7)+1)</f>
        <v>13</v>
      </c>
      <c r="R249" s="38" t="n">
        <f aca="false">IF(AND(D249="Receipt",OR(G249="C01",G249="C02",G249="C03",G249="C04",G249="C07")),WORKDAY(N249+IF(G249="C01",Assumptions!$C$14,Assumptions!$C$15)-1,1),N249)</f>
        <v>46406</v>
      </c>
      <c r="S249" s="11" t="str">
        <f aca="false">IF(INT((R249-Assumptions!$C$2)/7)+1&gt;Assumptions!$C$3,"after W13",INT((R249-Assumptions!$C$2)/7)+1)</f>
        <v>after W13</v>
      </c>
      <c r="T249" s="11" t="s">
        <v>864</v>
      </c>
      <c r="U249" s="11" t="s">
        <v>275</v>
      </c>
      <c r="V249" s="11" t="s">
        <v>283</v>
      </c>
    </row>
    <row r="250" customFormat="false" ht="15" hidden="false" customHeight="false" outlineLevel="0" collapsed="false">
      <c r="A250" s="11" t="s">
        <v>867</v>
      </c>
      <c r="B250" s="11" t="s">
        <v>49</v>
      </c>
      <c r="C250" s="11" t="s">
        <v>868</v>
      </c>
      <c r="D250" s="11" t="s">
        <v>278</v>
      </c>
      <c r="E250" s="11" t="s">
        <v>286</v>
      </c>
      <c r="F250" s="11" t="s">
        <v>287</v>
      </c>
      <c r="G250" s="11" t="s">
        <v>288</v>
      </c>
      <c r="H250" s="37" t="n">
        <v>2196</v>
      </c>
      <c r="I250" s="39" t="n">
        <f aca="false">Assumptions!$C$9</f>
        <v>0.8</v>
      </c>
      <c r="J250" s="37" t="n">
        <f aca="false">H250*I250</f>
        <v>1756.8</v>
      </c>
      <c r="K250" s="38" t="n">
        <v>46388</v>
      </c>
      <c r="L250" s="11" t="n">
        <v>0</v>
      </c>
      <c r="M250" s="11" t="n">
        <v>3</v>
      </c>
      <c r="N250" s="38" t="n">
        <v>46391</v>
      </c>
      <c r="O250" s="11" t="n">
        <f aca="false">IF(INT((N250-Assumptions!$C$2)/7)+1&gt;Assumptions!$C$3,"after W13",INT((N250-Assumptions!$C$2)/7)+1)</f>
        <v>13</v>
      </c>
      <c r="P250" s="38" t="n">
        <f aca="false">IF(AND(D250="Receipt",G250="C01"),WORKDAY(N250+Assumptions!$C$14-1,1),N250)</f>
        <v>46391</v>
      </c>
      <c r="Q250" s="11" t="n">
        <f aca="false">IF(INT((P250-Assumptions!$C$2)/7)+1&gt;Assumptions!$C$3,"after W13",INT((P250-Assumptions!$C$2)/7)+1)</f>
        <v>13</v>
      </c>
      <c r="R250" s="38" t="n">
        <f aca="false">IF(AND(D250="Receipt",OR(G250="C01",G250="C02",G250="C03",G250="C04",G250="C07")),WORKDAY(N250+IF(G250="C01",Assumptions!$C$14,Assumptions!$C$15)-1,1),N250)</f>
        <v>46406</v>
      </c>
      <c r="S250" s="11" t="str">
        <f aca="false">IF(INT((R250-Assumptions!$C$2)/7)+1&gt;Assumptions!$C$3,"after W13",INT((R250-Assumptions!$C$2)/7)+1)</f>
        <v>after W13</v>
      </c>
      <c r="T250" s="11" t="s">
        <v>864</v>
      </c>
      <c r="U250" s="11" t="s">
        <v>275</v>
      </c>
      <c r="V250" s="11" t="s">
        <v>283</v>
      </c>
    </row>
    <row r="251" customFormat="false" ht="15" hidden="false" customHeight="false" outlineLevel="0" collapsed="false">
      <c r="A251" s="11" t="s">
        <v>869</v>
      </c>
      <c r="B251" s="11" t="s">
        <v>55</v>
      </c>
      <c r="C251" s="11" t="s">
        <v>870</v>
      </c>
      <c r="D251" s="11" t="s">
        <v>271</v>
      </c>
      <c r="E251" s="11" t="s">
        <v>469</v>
      </c>
      <c r="F251" s="11" t="s">
        <v>470</v>
      </c>
      <c r="G251" s="11"/>
      <c r="H251" s="37" t="n">
        <v>-8900</v>
      </c>
      <c r="I251" s="26" t="n">
        <v>1</v>
      </c>
      <c r="J251" s="37" t="n">
        <f aca="false">H251*I251</f>
        <v>-8900</v>
      </c>
      <c r="K251" s="38" t="n">
        <v>46392</v>
      </c>
      <c r="L251" s="11"/>
      <c r="M251" s="11"/>
      <c r="N251" s="38" t="n">
        <v>46392</v>
      </c>
      <c r="O251" s="11" t="n">
        <f aca="false">IF(INT((N251-Assumptions!$C$2)/7)+1&gt;Assumptions!$C$3,"after W13",INT((N251-Assumptions!$C$2)/7)+1)</f>
        <v>13</v>
      </c>
      <c r="P251" s="38" t="n">
        <f aca="false">IF(AND(D251="Receipt",G251="C01"),WORKDAY(N251+Assumptions!$C$14-1,1),N251)</f>
        <v>46392</v>
      </c>
      <c r="Q251" s="11" t="n">
        <f aca="false">IF(INT((P251-Assumptions!$C$2)/7)+1&gt;Assumptions!$C$3,"after W13",INT((P251-Assumptions!$C$2)/7)+1)</f>
        <v>13</v>
      </c>
      <c r="R251" s="38" t="n">
        <f aca="false">IF(AND(D251="Receipt",OR(G251="C01",G251="C02",G251="C03",G251="C04",G251="C07")),WORKDAY(N251+IF(G251="C01",Assumptions!$C$14,Assumptions!$C$15)-1,1),N251)</f>
        <v>46392</v>
      </c>
      <c r="S251" s="11" t="n">
        <f aca="false">IF(INT((R251-Assumptions!$C$2)/7)+1&gt;Assumptions!$C$3,"after W13",INT((R251-Assumptions!$C$2)/7)+1)</f>
        <v>13</v>
      </c>
      <c r="T251" s="11" t="s">
        <v>274</v>
      </c>
      <c r="U251" s="11" t="s">
        <v>275</v>
      </c>
      <c r="V251" s="11" t="s">
        <v>471</v>
      </c>
    </row>
    <row r="252" customFormat="false" ht="15" hidden="false" customHeight="false" outlineLevel="0" collapsed="false">
      <c r="A252" s="11" t="s">
        <v>871</v>
      </c>
      <c r="B252" s="11" t="s">
        <v>49</v>
      </c>
      <c r="C252" s="11" t="s">
        <v>872</v>
      </c>
      <c r="D252" s="11" t="s">
        <v>278</v>
      </c>
      <c r="E252" s="11" t="s">
        <v>391</v>
      </c>
      <c r="F252" s="11" t="s">
        <v>392</v>
      </c>
      <c r="G252" s="11" t="s">
        <v>393</v>
      </c>
      <c r="H252" s="37" t="n">
        <v>7956</v>
      </c>
      <c r="I252" s="26" t="n">
        <v>1</v>
      </c>
      <c r="J252" s="37" t="n">
        <f aca="false">H252*I252</f>
        <v>7956</v>
      </c>
      <c r="K252" s="38" t="n">
        <v>46368</v>
      </c>
      <c r="L252" s="11" t="n">
        <v>0</v>
      </c>
      <c r="M252" s="11" t="n">
        <v>23.5</v>
      </c>
      <c r="N252" s="38" t="n">
        <v>46392</v>
      </c>
      <c r="O252" s="11" t="n">
        <f aca="false">IF(INT((N252-Assumptions!$C$2)/7)+1&gt;Assumptions!$C$3,"after W13",INT((N252-Assumptions!$C$2)/7)+1)</f>
        <v>13</v>
      </c>
      <c r="P252" s="38" t="n">
        <f aca="false">IF(AND(D252="Receipt",G252="C01"),WORKDAY(N252+Assumptions!$C$14-1,1),N252)</f>
        <v>46392</v>
      </c>
      <c r="Q252" s="11" t="n">
        <f aca="false">IF(INT((P252-Assumptions!$C$2)/7)+1&gt;Assumptions!$C$3,"after W13",INT((P252-Assumptions!$C$2)/7)+1)</f>
        <v>13</v>
      </c>
      <c r="R252" s="38" t="n">
        <f aca="false">IF(AND(D252="Receipt",OR(G252="C01",G252="C02",G252="C03",G252="C04",G252="C07")),WORKDAY(N252+IF(G252="C01",Assumptions!$C$14,Assumptions!$C$15)-1,1),N252)</f>
        <v>46392</v>
      </c>
      <c r="S252" s="11" t="n">
        <f aca="false">IF(INT((R252-Assumptions!$C$2)/7)+1&gt;Assumptions!$C$3,"after W13",INT((R252-Assumptions!$C$2)/7)+1)</f>
        <v>13</v>
      </c>
      <c r="T252" s="11" t="s">
        <v>538</v>
      </c>
      <c r="U252" s="11" t="s">
        <v>275</v>
      </c>
      <c r="V252" s="11" t="s">
        <v>283</v>
      </c>
    </row>
    <row r="253" customFormat="false" ht="15" hidden="false" customHeight="false" outlineLevel="0" collapsed="false">
      <c r="A253" s="11" t="s">
        <v>873</v>
      </c>
      <c r="B253" s="11" t="s">
        <v>49</v>
      </c>
      <c r="C253" s="11" t="s">
        <v>874</v>
      </c>
      <c r="D253" s="11" t="s">
        <v>278</v>
      </c>
      <c r="E253" s="11" t="s">
        <v>286</v>
      </c>
      <c r="F253" s="11" t="s">
        <v>287</v>
      </c>
      <c r="G253" s="11" t="s">
        <v>288</v>
      </c>
      <c r="H253" s="37" t="n">
        <v>7728</v>
      </c>
      <c r="I253" s="39" t="n">
        <f aca="false">Assumptions!$C$9</f>
        <v>0.8</v>
      </c>
      <c r="J253" s="37" t="n">
        <f aca="false">H253*I253</f>
        <v>6182.4</v>
      </c>
      <c r="K253" s="38" t="n">
        <v>46389</v>
      </c>
      <c r="L253" s="11" t="n">
        <v>0</v>
      </c>
      <c r="M253" s="11" t="n">
        <v>3</v>
      </c>
      <c r="N253" s="38" t="n">
        <v>46392</v>
      </c>
      <c r="O253" s="11" t="n">
        <f aca="false">IF(INT((N253-Assumptions!$C$2)/7)+1&gt;Assumptions!$C$3,"after W13",INT((N253-Assumptions!$C$2)/7)+1)</f>
        <v>13</v>
      </c>
      <c r="P253" s="38" t="n">
        <f aca="false">IF(AND(D253="Receipt",G253="C01"),WORKDAY(N253+Assumptions!$C$14-1,1),N253)</f>
        <v>46392</v>
      </c>
      <c r="Q253" s="11" t="n">
        <f aca="false">IF(INT((P253-Assumptions!$C$2)/7)+1&gt;Assumptions!$C$3,"after W13",INT((P253-Assumptions!$C$2)/7)+1)</f>
        <v>13</v>
      </c>
      <c r="R253" s="38" t="n">
        <f aca="false">IF(AND(D253="Receipt",OR(G253="C01",G253="C02",G253="C03",G253="C04",G253="C07")),WORKDAY(N253+IF(G253="C01",Assumptions!$C$14,Assumptions!$C$15)-1,1),N253)</f>
        <v>46407</v>
      </c>
      <c r="S253" s="11" t="str">
        <f aca="false">IF(INT((R253-Assumptions!$C$2)/7)+1&gt;Assumptions!$C$3,"after W13",INT((R253-Assumptions!$C$2)/7)+1)</f>
        <v>after W13</v>
      </c>
      <c r="T253" s="11" t="s">
        <v>864</v>
      </c>
      <c r="U253" s="11" t="s">
        <v>275</v>
      </c>
      <c r="V253" s="11" t="s">
        <v>283</v>
      </c>
    </row>
    <row r="254" customFormat="false" ht="15" hidden="false" customHeight="false" outlineLevel="0" collapsed="false">
      <c r="A254" s="11" t="s">
        <v>875</v>
      </c>
      <c r="B254" s="11" t="s">
        <v>55</v>
      </c>
      <c r="C254" s="11" t="s">
        <v>876</v>
      </c>
      <c r="D254" s="11" t="s">
        <v>271</v>
      </c>
      <c r="E254" s="11" t="s">
        <v>291</v>
      </c>
      <c r="F254" s="11" t="s">
        <v>292</v>
      </c>
      <c r="G254" s="11"/>
      <c r="H254" s="37" t="n">
        <v>-4700</v>
      </c>
      <c r="I254" s="26" t="n">
        <v>1</v>
      </c>
      <c r="J254" s="37" t="n">
        <f aca="false">H254*I254</f>
        <v>-4700</v>
      </c>
      <c r="K254" s="38" t="n">
        <v>46393</v>
      </c>
      <c r="L254" s="11"/>
      <c r="M254" s="11"/>
      <c r="N254" s="38" t="n">
        <v>46393</v>
      </c>
      <c r="O254" s="11" t="n">
        <f aca="false">IF(INT((N254-Assumptions!$C$2)/7)+1&gt;Assumptions!$C$3,"after W13",INT((N254-Assumptions!$C$2)/7)+1)</f>
        <v>13</v>
      </c>
      <c r="P254" s="38" t="n">
        <f aca="false">IF(AND(D254="Receipt",G254="C01"),WORKDAY(N254+Assumptions!$C$14-1,1),N254)</f>
        <v>46393</v>
      </c>
      <c r="Q254" s="11" t="n">
        <f aca="false">IF(INT((P254-Assumptions!$C$2)/7)+1&gt;Assumptions!$C$3,"after W13",INT((P254-Assumptions!$C$2)/7)+1)</f>
        <v>13</v>
      </c>
      <c r="R254" s="38" t="n">
        <f aca="false">IF(AND(D254="Receipt",OR(G254="C01",G254="C02",G254="C03",G254="C04",G254="C07")),WORKDAY(N254+IF(G254="C01",Assumptions!$C$14,Assumptions!$C$15)-1,1),N254)</f>
        <v>46393</v>
      </c>
      <c r="S254" s="11" t="n">
        <f aca="false">IF(INT((R254-Assumptions!$C$2)/7)+1&gt;Assumptions!$C$3,"after W13",INT((R254-Assumptions!$C$2)/7)+1)</f>
        <v>13</v>
      </c>
      <c r="T254" s="11" t="s">
        <v>293</v>
      </c>
      <c r="U254" s="11" t="s">
        <v>275</v>
      </c>
      <c r="V254" s="11" t="s">
        <v>294</v>
      </c>
    </row>
    <row r="255" customFormat="false" ht="15" hidden="false" customHeight="false" outlineLevel="0" collapsed="false">
      <c r="A255" s="11" t="s">
        <v>877</v>
      </c>
      <c r="B255" s="11" t="s">
        <v>49</v>
      </c>
      <c r="C255" s="11" t="s">
        <v>878</v>
      </c>
      <c r="D255" s="11" t="s">
        <v>278</v>
      </c>
      <c r="E255" s="11" t="s">
        <v>286</v>
      </c>
      <c r="F255" s="11" t="s">
        <v>287</v>
      </c>
      <c r="G255" s="11" t="s">
        <v>288</v>
      </c>
      <c r="H255" s="37" t="n">
        <v>4848</v>
      </c>
      <c r="I255" s="39" t="n">
        <f aca="false">Assumptions!$C$9</f>
        <v>0.8</v>
      </c>
      <c r="J255" s="37" t="n">
        <f aca="false">H255*I255</f>
        <v>3878.4</v>
      </c>
      <c r="K255" s="38" t="n">
        <v>46390</v>
      </c>
      <c r="L255" s="11" t="n">
        <v>0</v>
      </c>
      <c r="M255" s="11" t="n">
        <v>3</v>
      </c>
      <c r="N255" s="38" t="n">
        <v>46393</v>
      </c>
      <c r="O255" s="11" t="n">
        <f aca="false">IF(INT((N255-Assumptions!$C$2)/7)+1&gt;Assumptions!$C$3,"after W13",INT((N255-Assumptions!$C$2)/7)+1)</f>
        <v>13</v>
      </c>
      <c r="P255" s="38" t="n">
        <f aca="false">IF(AND(D255="Receipt",G255="C01"),WORKDAY(N255+Assumptions!$C$14-1,1),N255)</f>
        <v>46393</v>
      </c>
      <c r="Q255" s="11" t="n">
        <f aca="false">IF(INT((P255-Assumptions!$C$2)/7)+1&gt;Assumptions!$C$3,"after W13",INT((P255-Assumptions!$C$2)/7)+1)</f>
        <v>13</v>
      </c>
      <c r="R255" s="38" t="n">
        <f aca="false">IF(AND(D255="Receipt",OR(G255="C01",G255="C02",G255="C03",G255="C04",G255="C07")),WORKDAY(N255+IF(G255="C01",Assumptions!$C$14,Assumptions!$C$15)-1,1),N255)</f>
        <v>46408</v>
      </c>
      <c r="S255" s="11" t="str">
        <f aca="false">IF(INT((R255-Assumptions!$C$2)/7)+1&gt;Assumptions!$C$3,"after W13",INT((R255-Assumptions!$C$2)/7)+1)</f>
        <v>after W13</v>
      </c>
      <c r="T255" s="11" t="s">
        <v>864</v>
      </c>
      <c r="U255" s="11" t="s">
        <v>275</v>
      </c>
      <c r="V255" s="11" t="s">
        <v>283</v>
      </c>
    </row>
    <row r="256" customFormat="false" ht="15" hidden="false" customHeight="false" outlineLevel="0" collapsed="false">
      <c r="A256" s="11" t="s">
        <v>879</v>
      </c>
      <c r="B256" s="11" t="s">
        <v>53</v>
      </c>
      <c r="C256" s="11" t="s">
        <v>880</v>
      </c>
      <c r="D256" s="11" t="s">
        <v>271</v>
      </c>
      <c r="E256" s="11" t="s">
        <v>307</v>
      </c>
      <c r="F256" s="11" t="s">
        <v>458</v>
      </c>
      <c r="G256" s="11"/>
      <c r="H256" s="37" t="n">
        <v>-34305.96</v>
      </c>
      <c r="I256" s="26" t="n">
        <v>1</v>
      </c>
      <c r="J256" s="37" t="n">
        <f aca="false">H256*I256</f>
        <v>-34305.96</v>
      </c>
      <c r="K256" s="38" t="n">
        <v>46396</v>
      </c>
      <c r="L256" s="11"/>
      <c r="M256" s="11"/>
      <c r="N256" s="38" t="n">
        <v>46394</v>
      </c>
      <c r="O256" s="11" t="n">
        <f aca="false">IF(INT((N256-Assumptions!$C$2)/7)+1&gt;Assumptions!$C$3,"after W13",INT((N256-Assumptions!$C$2)/7)+1)</f>
        <v>13</v>
      </c>
      <c r="P256" s="38" t="n">
        <f aca="false">IF(AND(D256="Receipt",G256="C01"),WORKDAY(N256+Assumptions!$C$14-1,1),N256)</f>
        <v>46394</v>
      </c>
      <c r="Q256" s="11" t="n">
        <f aca="false">IF(INT((P256-Assumptions!$C$2)/7)+1&gt;Assumptions!$C$3,"after W13",INT((P256-Assumptions!$C$2)/7)+1)</f>
        <v>13</v>
      </c>
      <c r="R256" s="38" t="n">
        <f aca="false">IF(AND(D256="Receipt",OR(G256="C01",G256="C02",G256="C03",G256="C04",G256="C07")),WORKDAY(N256+IF(G256="C01",Assumptions!$C$14,Assumptions!$C$15)-1,1),N256)</f>
        <v>46394</v>
      </c>
      <c r="S256" s="11" t="n">
        <f aca="false">IF(INT((R256-Assumptions!$C$2)/7)+1&gt;Assumptions!$C$3,"after W13",INT((R256-Assumptions!$C$2)/7)+1)</f>
        <v>13</v>
      </c>
      <c r="T256" s="11" t="s">
        <v>465</v>
      </c>
      <c r="U256" s="11" t="s">
        <v>275</v>
      </c>
      <c r="V256" s="11" t="s">
        <v>459</v>
      </c>
    </row>
    <row r="257" customFormat="false" ht="15" hidden="false" customHeight="false" outlineLevel="0" collapsed="false">
      <c r="A257" s="11" t="s">
        <v>881</v>
      </c>
      <c r="B257" s="11" t="s">
        <v>53</v>
      </c>
      <c r="C257" s="11" t="s">
        <v>882</v>
      </c>
      <c r="D257" s="11" t="s">
        <v>271</v>
      </c>
      <c r="E257" s="11" t="s">
        <v>307</v>
      </c>
      <c r="F257" s="11" t="s">
        <v>313</v>
      </c>
      <c r="G257" s="11"/>
      <c r="H257" s="37" t="n">
        <v>-4431.72</v>
      </c>
      <c r="I257" s="26" t="n">
        <v>1</v>
      </c>
      <c r="J257" s="37" t="n">
        <f aca="false">H257*I257</f>
        <v>-4431.72</v>
      </c>
      <c r="K257" s="38" t="n">
        <v>46395</v>
      </c>
      <c r="L257" s="11"/>
      <c r="M257" s="11"/>
      <c r="N257" s="38" t="n">
        <v>46394</v>
      </c>
      <c r="O257" s="11" t="n">
        <f aca="false">IF(INT((N257-Assumptions!$C$2)/7)+1&gt;Assumptions!$C$3,"after W13",INT((N257-Assumptions!$C$2)/7)+1)</f>
        <v>13</v>
      </c>
      <c r="P257" s="38" t="n">
        <f aca="false">IF(AND(D257="Receipt",G257="C01"),WORKDAY(N257+Assumptions!$C$14-1,1),N257)</f>
        <v>46394</v>
      </c>
      <c r="Q257" s="11" t="n">
        <f aca="false">IF(INT((P257-Assumptions!$C$2)/7)+1&gt;Assumptions!$C$3,"after W13",INT((P257-Assumptions!$C$2)/7)+1)</f>
        <v>13</v>
      </c>
      <c r="R257" s="38" t="n">
        <f aca="false">IF(AND(D257="Receipt",OR(G257="C01",G257="C02",G257="C03",G257="C04",G257="C07")),WORKDAY(N257+IF(G257="C01",Assumptions!$C$14,Assumptions!$C$15)-1,1),N257)</f>
        <v>46394</v>
      </c>
      <c r="S257" s="11" t="n">
        <f aca="false">IF(INT((R257-Assumptions!$C$2)/7)+1&gt;Assumptions!$C$3,"after W13",INT((R257-Assumptions!$C$2)/7)+1)</f>
        <v>13</v>
      </c>
      <c r="T257" s="11" t="s">
        <v>783</v>
      </c>
      <c r="U257" s="11" t="s">
        <v>275</v>
      </c>
      <c r="V257" s="11" t="s">
        <v>314</v>
      </c>
    </row>
    <row r="258" customFormat="false" ht="15" hidden="false" customHeight="false" outlineLevel="0" collapsed="false">
      <c r="A258" s="11" t="s">
        <v>883</v>
      </c>
      <c r="B258" s="11" t="s">
        <v>53</v>
      </c>
      <c r="C258" s="11" t="s">
        <v>884</v>
      </c>
      <c r="D258" s="11" t="s">
        <v>271</v>
      </c>
      <c r="E258" s="11" t="s">
        <v>307</v>
      </c>
      <c r="F258" s="11" t="s">
        <v>464</v>
      </c>
      <c r="G258" s="11"/>
      <c r="H258" s="37" t="n">
        <v>-11650.08</v>
      </c>
      <c r="I258" s="26" t="n">
        <v>1</v>
      </c>
      <c r="J258" s="37" t="n">
        <f aca="false">H258*I258</f>
        <v>-11650.08</v>
      </c>
      <c r="K258" s="38" t="n">
        <v>46400</v>
      </c>
      <c r="L258" s="11"/>
      <c r="M258" s="11"/>
      <c r="N258" s="38" t="n">
        <v>46394</v>
      </c>
      <c r="O258" s="11" t="n">
        <f aca="false">IF(INT((N258-Assumptions!$C$2)/7)+1&gt;Assumptions!$C$3,"after W13",INT((N258-Assumptions!$C$2)/7)+1)</f>
        <v>13</v>
      </c>
      <c r="P258" s="38" t="n">
        <f aca="false">IF(AND(D258="Receipt",G258="C01"),WORKDAY(N258+Assumptions!$C$14-1,1),N258)</f>
        <v>46394</v>
      </c>
      <c r="Q258" s="11" t="n">
        <f aca="false">IF(INT((P258-Assumptions!$C$2)/7)+1&gt;Assumptions!$C$3,"after W13",INT((P258-Assumptions!$C$2)/7)+1)</f>
        <v>13</v>
      </c>
      <c r="R258" s="38" t="n">
        <f aca="false">IF(AND(D258="Receipt",OR(G258="C01",G258="C02",G258="C03",G258="C04",G258="C07")),WORKDAY(N258+IF(G258="C01",Assumptions!$C$14,Assumptions!$C$15)-1,1),N258)</f>
        <v>46394</v>
      </c>
      <c r="S258" s="11" t="n">
        <f aca="false">IF(INT((R258-Assumptions!$C$2)/7)+1&gt;Assumptions!$C$3,"after W13",INT((R258-Assumptions!$C$2)/7)+1)</f>
        <v>13</v>
      </c>
      <c r="T258" s="11" t="s">
        <v>783</v>
      </c>
      <c r="U258" s="11" t="s">
        <v>275</v>
      </c>
      <c r="V258" s="11" t="s">
        <v>466</v>
      </c>
    </row>
    <row r="259" customFormat="false" ht="15" hidden="false" customHeight="false" outlineLevel="0" collapsed="false">
      <c r="A259" s="11" t="s">
        <v>885</v>
      </c>
      <c r="B259" s="11" t="s">
        <v>49</v>
      </c>
      <c r="C259" s="11" t="s">
        <v>886</v>
      </c>
      <c r="D259" s="11" t="s">
        <v>278</v>
      </c>
      <c r="E259" s="11" t="s">
        <v>286</v>
      </c>
      <c r="F259" s="11" t="s">
        <v>349</v>
      </c>
      <c r="G259" s="11" t="s">
        <v>350</v>
      </c>
      <c r="H259" s="37" t="n">
        <v>19116</v>
      </c>
      <c r="I259" s="26" t="n">
        <v>1</v>
      </c>
      <c r="J259" s="37" t="n">
        <f aca="false">H259*I259</f>
        <v>19116</v>
      </c>
      <c r="K259" s="38" t="n">
        <v>46384</v>
      </c>
      <c r="L259" s="11" t="n">
        <v>0</v>
      </c>
      <c r="M259" s="11" t="n">
        <v>10</v>
      </c>
      <c r="N259" s="38" t="n">
        <v>46394</v>
      </c>
      <c r="O259" s="11" t="n">
        <f aca="false">IF(INT((N259-Assumptions!$C$2)/7)+1&gt;Assumptions!$C$3,"after W13",INT((N259-Assumptions!$C$2)/7)+1)</f>
        <v>13</v>
      </c>
      <c r="P259" s="38" t="n">
        <f aca="false">IF(AND(D259="Receipt",G259="C01"),WORKDAY(N259+Assumptions!$C$14-1,1),N259)</f>
        <v>46394</v>
      </c>
      <c r="Q259" s="11" t="n">
        <f aca="false">IF(INT((P259-Assumptions!$C$2)/7)+1&gt;Assumptions!$C$3,"after W13",INT((P259-Assumptions!$C$2)/7)+1)</f>
        <v>13</v>
      </c>
      <c r="R259" s="38" t="n">
        <f aca="false">IF(AND(D259="Receipt",OR(G259="C01",G259="C02",G259="C03",G259="C04",G259="C07")),WORKDAY(N259+IF(G259="C01",Assumptions!$C$14,Assumptions!$C$15)-1,1),N259)</f>
        <v>46409</v>
      </c>
      <c r="S259" s="11" t="str">
        <f aca="false">IF(INT((R259-Assumptions!$C$2)/7)+1&gt;Assumptions!$C$3,"after W13",INT((R259-Assumptions!$C$2)/7)+1)</f>
        <v>after W13</v>
      </c>
      <c r="T259" s="11" t="s">
        <v>538</v>
      </c>
      <c r="U259" s="11" t="s">
        <v>275</v>
      </c>
      <c r="V259" s="11" t="s">
        <v>283</v>
      </c>
    </row>
    <row r="260" customFormat="false" ht="15" hidden="false" customHeight="false" outlineLevel="0" collapsed="false">
      <c r="A260" s="11" t="s">
        <v>887</v>
      </c>
      <c r="B260" s="11" t="s">
        <v>49</v>
      </c>
      <c r="C260" s="11" t="s">
        <v>888</v>
      </c>
      <c r="D260" s="11" t="s">
        <v>278</v>
      </c>
      <c r="E260" s="11" t="s">
        <v>297</v>
      </c>
      <c r="F260" s="11" t="s">
        <v>298</v>
      </c>
      <c r="G260" s="11" t="s">
        <v>299</v>
      </c>
      <c r="H260" s="37" t="n">
        <v>15980</v>
      </c>
      <c r="I260" s="26" t="n">
        <v>1</v>
      </c>
      <c r="J260" s="37" t="n">
        <f aca="false">H260*I260</f>
        <v>15980</v>
      </c>
      <c r="K260" s="38" t="n">
        <v>46388</v>
      </c>
      <c r="L260" s="11" t="n">
        <v>0</v>
      </c>
      <c r="M260" s="11" t="n">
        <v>6</v>
      </c>
      <c r="N260" s="38" t="n">
        <v>46394</v>
      </c>
      <c r="O260" s="11" t="n">
        <f aca="false">IF(INT((N260-Assumptions!$C$2)/7)+1&gt;Assumptions!$C$3,"after W13",INT((N260-Assumptions!$C$2)/7)+1)</f>
        <v>13</v>
      </c>
      <c r="P260" s="38" t="n">
        <f aca="false">IF(AND(D260="Receipt",G260="C01"),WORKDAY(N260+Assumptions!$C$14-1,1),N260)</f>
        <v>46394</v>
      </c>
      <c r="Q260" s="11" t="n">
        <f aca="false">IF(INT((P260-Assumptions!$C$2)/7)+1&gt;Assumptions!$C$3,"after W13",INT((P260-Assumptions!$C$2)/7)+1)</f>
        <v>13</v>
      </c>
      <c r="R260" s="38" t="n">
        <f aca="false">IF(AND(D260="Receipt",OR(G260="C01",G260="C02",G260="C03",G260="C04",G260="C07")),WORKDAY(N260+IF(G260="C01",Assumptions!$C$14,Assumptions!$C$15)-1,1),N260)</f>
        <v>46394</v>
      </c>
      <c r="S260" s="11" t="n">
        <f aca="false">IF(INT((R260-Assumptions!$C$2)/7)+1&gt;Assumptions!$C$3,"after W13",INT((R260-Assumptions!$C$2)/7)+1)</f>
        <v>13</v>
      </c>
      <c r="T260" s="11" t="s">
        <v>538</v>
      </c>
      <c r="U260" s="11" t="s">
        <v>275</v>
      </c>
      <c r="V260" s="11" t="s">
        <v>283</v>
      </c>
    </row>
    <row r="261" customFormat="false" ht="15" hidden="false" customHeight="false" outlineLevel="0" collapsed="false">
      <c r="A261" s="11" t="s">
        <v>889</v>
      </c>
      <c r="B261" s="11" t="s">
        <v>49</v>
      </c>
      <c r="C261" s="11" t="s">
        <v>890</v>
      </c>
      <c r="D261" s="11" t="s">
        <v>278</v>
      </c>
      <c r="E261" s="11" t="s">
        <v>279</v>
      </c>
      <c r="F261" s="11" t="s">
        <v>335</v>
      </c>
      <c r="G261" s="11" t="s">
        <v>336</v>
      </c>
      <c r="H261" s="37" t="n">
        <v>13236</v>
      </c>
      <c r="I261" s="26" t="n">
        <v>1</v>
      </c>
      <c r="J261" s="37" t="n">
        <f aca="false">H261*I261</f>
        <v>13236</v>
      </c>
      <c r="K261" s="38" t="n">
        <v>46387</v>
      </c>
      <c r="L261" s="11" t="n">
        <v>0</v>
      </c>
      <c r="M261" s="11" t="n">
        <v>7</v>
      </c>
      <c r="N261" s="38" t="n">
        <v>46394</v>
      </c>
      <c r="O261" s="11" t="n">
        <f aca="false">IF(INT((N261-Assumptions!$C$2)/7)+1&gt;Assumptions!$C$3,"after W13",INT((N261-Assumptions!$C$2)/7)+1)</f>
        <v>13</v>
      </c>
      <c r="P261" s="38" t="n">
        <f aca="false">IF(AND(D261="Receipt",G261="C01"),WORKDAY(N261+Assumptions!$C$14-1,1),N261)</f>
        <v>46394</v>
      </c>
      <c r="Q261" s="11" t="n">
        <f aca="false">IF(INT((P261-Assumptions!$C$2)/7)+1&gt;Assumptions!$C$3,"after W13",INT((P261-Assumptions!$C$2)/7)+1)</f>
        <v>13</v>
      </c>
      <c r="R261" s="38" t="n">
        <f aca="false">IF(AND(D261="Receipt",OR(G261="C01",G261="C02",G261="C03",G261="C04",G261="C07")),WORKDAY(N261+IF(G261="C01",Assumptions!$C$14,Assumptions!$C$15)-1,1),N261)</f>
        <v>46394</v>
      </c>
      <c r="S261" s="11" t="n">
        <f aca="false">IF(INT((R261-Assumptions!$C$2)/7)+1&gt;Assumptions!$C$3,"after W13",INT((R261-Assumptions!$C$2)/7)+1)</f>
        <v>13</v>
      </c>
      <c r="T261" s="11" t="s">
        <v>538</v>
      </c>
      <c r="U261" s="11" t="s">
        <v>275</v>
      </c>
      <c r="V261" s="11" t="s">
        <v>283</v>
      </c>
    </row>
    <row r="262" customFormat="false" ht="15" hidden="false" customHeight="false" outlineLevel="0" collapsed="false">
      <c r="A262" s="11" t="s">
        <v>891</v>
      </c>
      <c r="B262" s="11" t="s">
        <v>49</v>
      </c>
      <c r="C262" s="11" t="s">
        <v>892</v>
      </c>
      <c r="D262" s="11" t="s">
        <v>278</v>
      </c>
      <c r="E262" s="11" t="s">
        <v>279</v>
      </c>
      <c r="F262" s="11" t="s">
        <v>280</v>
      </c>
      <c r="G262" s="11" t="s">
        <v>281</v>
      </c>
      <c r="H262" s="37" t="n">
        <v>4992</v>
      </c>
      <c r="I262" s="26" t="n">
        <v>1</v>
      </c>
      <c r="J262" s="37" t="n">
        <f aca="false">H262*I262</f>
        <v>4992</v>
      </c>
      <c r="K262" s="38" t="n">
        <v>46394</v>
      </c>
      <c r="L262" s="11" t="n">
        <v>0</v>
      </c>
      <c r="M262" s="11" t="n">
        <v>0</v>
      </c>
      <c r="N262" s="38" t="n">
        <v>46394</v>
      </c>
      <c r="O262" s="11" t="n">
        <f aca="false">IF(INT((N262-Assumptions!$C$2)/7)+1&gt;Assumptions!$C$3,"after W13",INT((N262-Assumptions!$C$2)/7)+1)</f>
        <v>13</v>
      </c>
      <c r="P262" s="38" t="n">
        <f aca="false">IF(AND(D262="Receipt",G262="C01"),WORKDAY(N262+Assumptions!$C$14-1,1),N262)</f>
        <v>46394</v>
      </c>
      <c r="Q262" s="11" t="n">
        <f aca="false">IF(INT((P262-Assumptions!$C$2)/7)+1&gt;Assumptions!$C$3,"after W13",INT((P262-Assumptions!$C$2)/7)+1)</f>
        <v>13</v>
      </c>
      <c r="R262" s="38" t="n">
        <f aca="false">IF(AND(D262="Receipt",OR(G262="C01",G262="C02",G262="C03",G262="C04",G262="C07")),WORKDAY(N262+IF(G262="C01",Assumptions!$C$14,Assumptions!$C$15)-1,1),N262)</f>
        <v>46394</v>
      </c>
      <c r="S262" s="11" t="n">
        <f aca="false">IF(INT((R262-Assumptions!$C$2)/7)+1&gt;Assumptions!$C$3,"after W13",INT((R262-Assumptions!$C$2)/7)+1)</f>
        <v>13</v>
      </c>
      <c r="T262" s="11" t="s">
        <v>538</v>
      </c>
      <c r="U262" s="11" t="s">
        <v>275</v>
      </c>
      <c r="V262" s="11" t="s">
        <v>283</v>
      </c>
    </row>
    <row r="263" customFormat="false" ht="15" hidden="false" customHeight="false" outlineLevel="0" collapsed="false">
      <c r="A263" s="11" t="s">
        <v>893</v>
      </c>
      <c r="B263" s="11" t="s">
        <v>49</v>
      </c>
      <c r="C263" s="11" t="s">
        <v>894</v>
      </c>
      <c r="D263" s="11" t="s">
        <v>278</v>
      </c>
      <c r="E263" s="11" t="s">
        <v>322</v>
      </c>
      <c r="F263" s="11" t="s">
        <v>323</v>
      </c>
      <c r="G263" s="11" t="s">
        <v>324</v>
      </c>
      <c r="H263" s="37" t="n">
        <v>4692</v>
      </c>
      <c r="I263" s="39" t="n">
        <f aca="false">Assumptions!$C$9</f>
        <v>0.8</v>
      </c>
      <c r="J263" s="37" t="n">
        <f aca="false">H263*I263</f>
        <v>3753.6</v>
      </c>
      <c r="K263" s="38" t="n">
        <v>46382</v>
      </c>
      <c r="L263" s="11" t="n">
        <v>0</v>
      </c>
      <c r="M263" s="11" t="n">
        <v>12</v>
      </c>
      <c r="N263" s="38" t="n">
        <v>46394</v>
      </c>
      <c r="O263" s="11" t="n">
        <f aca="false">IF(INT((N263-Assumptions!$C$2)/7)+1&gt;Assumptions!$C$3,"after W13",INT((N263-Assumptions!$C$2)/7)+1)</f>
        <v>13</v>
      </c>
      <c r="P263" s="38" t="n">
        <f aca="false">IF(AND(D263="Receipt",G263="C01"),WORKDAY(N263+Assumptions!$C$14-1,1),N263)</f>
        <v>46394</v>
      </c>
      <c r="Q263" s="11" t="n">
        <f aca="false">IF(INT((P263-Assumptions!$C$2)/7)+1&gt;Assumptions!$C$3,"after W13",INT((P263-Assumptions!$C$2)/7)+1)</f>
        <v>13</v>
      </c>
      <c r="R263" s="38" t="n">
        <f aca="false">IF(AND(D263="Receipt",OR(G263="C01",G263="C02",G263="C03",G263="C04",G263="C07")),WORKDAY(N263+IF(G263="C01",Assumptions!$C$14,Assumptions!$C$15)-1,1),N263)</f>
        <v>46394</v>
      </c>
      <c r="S263" s="11" t="n">
        <f aca="false">IF(INT((R263-Assumptions!$C$2)/7)+1&gt;Assumptions!$C$3,"after W13",INT((R263-Assumptions!$C$2)/7)+1)</f>
        <v>13</v>
      </c>
      <c r="T263" s="11" t="s">
        <v>864</v>
      </c>
      <c r="U263" s="11" t="s">
        <v>275</v>
      </c>
      <c r="V263" s="11" t="s">
        <v>283</v>
      </c>
    </row>
    <row r="264" customFormat="false" ht="15" hidden="false" customHeight="false" outlineLevel="0" collapsed="false">
      <c r="A264" s="11" t="s">
        <v>895</v>
      </c>
      <c r="B264" s="11" t="s">
        <v>55</v>
      </c>
      <c r="C264" s="11" t="s">
        <v>896</v>
      </c>
      <c r="D264" s="11" t="s">
        <v>271</v>
      </c>
      <c r="E264" s="11" t="s">
        <v>480</v>
      </c>
      <c r="F264" s="11" t="s">
        <v>481</v>
      </c>
      <c r="G264" s="11"/>
      <c r="H264" s="37" t="n">
        <v>-14160</v>
      </c>
      <c r="I264" s="26" t="n">
        <v>1</v>
      </c>
      <c r="J264" s="37" t="n">
        <f aca="false">H264*I264</f>
        <v>-14160</v>
      </c>
      <c r="K264" s="38" t="n">
        <v>46395</v>
      </c>
      <c r="L264" s="11"/>
      <c r="M264" s="11"/>
      <c r="N264" s="38" t="n">
        <v>46395</v>
      </c>
      <c r="O264" s="11" t="n">
        <f aca="false">IF(INT((N264-Assumptions!$C$2)/7)+1&gt;Assumptions!$C$3,"after W13",INT((N264-Assumptions!$C$2)/7)+1)</f>
        <v>13</v>
      </c>
      <c r="P264" s="38" t="n">
        <f aca="false">IF(AND(D264="Receipt",G264="C01"),WORKDAY(N264+Assumptions!$C$14-1,1),N264)</f>
        <v>46395</v>
      </c>
      <c r="Q264" s="11" t="n">
        <f aca="false">IF(INT((P264-Assumptions!$C$2)/7)+1&gt;Assumptions!$C$3,"after W13",INT((P264-Assumptions!$C$2)/7)+1)</f>
        <v>13</v>
      </c>
      <c r="R264" s="38" t="n">
        <f aca="false">IF(AND(D264="Receipt",OR(G264="C01",G264="C02",G264="C03",G264="C04",G264="C07")),WORKDAY(N264+IF(G264="C01",Assumptions!$C$14,Assumptions!$C$15)-1,1),N264)</f>
        <v>46395</v>
      </c>
      <c r="S264" s="11" t="n">
        <f aca="false">IF(INT((R264-Assumptions!$C$2)/7)+1&gt;Assumptions!$C$3,"after W13",INT((R264-Assumptions!$C$2)/7)+1)</f>
        <v>13</v>
      </c>
      <c r="T264" s="11" t="s">
        <v>274</v>
      </c>
      <c r="U264" s="11" t="s">
        <v>275</v>
      </c>
      <c r="V264" s="11"/>
    </row>
    <row r="265" customFormat="false" ht="15" hidden="false" customHeight="false" outlineLevel="0" collapsed="false">
      <c r="A265" s="11" t="s">
        <v>897</v>
      </c>
      <c r="B265" s="11" t="s">
        <v>49</v>
      </c>
      <c r="C265" s="11" t="s">
        <v>898</v>
      </c>
      <c r="D265" s="11" t="s">
        <v>278</v>
      </c>
      <c r="E265" s="11" t="s">
        <v>391</v>
      </c>
      <c r="F265" s="11" t="s">
        <v>392</v>
      </c>
      <c r="G265" s="11" t="s">
        <v>393</v>
      </c>
      <c r="H265" s="37" t="n">
        <v>23280</v>
      </c>
      <c r="I265" s="26" t="n">
        <v>1</v>
      </c>
      <c r="J265" s="37" t="n">
        <f aca="false">H265*I265</f>
        <v>23280</v>
      </c>
      <c r="K265" s="38" t="n">
        <v>46371</v>
      </c>
      <c r="L265" s="11" t="n">
        <v>0</v>
      </c>
      <c r="M265" s="11" t="n">
        <v>23.5</v>
      </c>
      <c r="N265" s="38" t="n">
        <v>46395</v>
      </c>
      <c r="O265" s="11" t="n">
        <f aca="false">IF(INT((N265-Assumptions!$C$2)/7)+1&gt;Assumptions!$C$3,"after W13",INT((N265-Assumptions!$C$2)/7)+1)</f>
        <v>13</v>
      </c>
      <c r="P265" s="38" t="n">
        <f aca="false">IF(AND(D265="Receipt",G265="C01"),WORKDAY(N265+Assumptions!$C$14-1,1),N265)</f>
        <v>46395</v>
      </c>
      <c r="Q265" s="11" t="n">
        <f aca="false">IF(INT((P265-Assumptions!$C$2)/7)+1&gt;Assumptions!$C$3,"after W13",INT((P265-Assumptions!$C$2)/7)+1)</f>
        <v>13</v>
      </c>
      <c r="R265" s="38" t="n">
        <f aca="false">IF(AND(D265="Receipt",OR(G265="C01",G265="C02",G265="C03",G265="C04",G265="C07")),WORKDAY(N265+IF(G265="C01",Assumptions!$C$14,Assumptions!$C$15)-1,1),N265)</f>
        <v>46395</v>
      </c>
      <c r="S265" s="11" t="n">
        <f aca="false">IF(INT((R265-Assumptions!$C$2)/7)+1&gt;Assumptions!$C$3,"after W13",INT((R265-Assumptions!$C$2)/7)+1)</f>
        <v>13</v>
      </c>
      <c r="T265" s="11" t="s">
        <v>538</v>
      </c>
      <c r="U265" s="11" t="s">
        <v>275</v>
      </c>
      <c r="V265" s="11" t="s">
        <v>283</v>
      </c>
    </row>
    <row r="266" customFormat="false" ht="15" hidden="false" customHeight="false" outlineLevel="0" collapsed="false">
      <c r="A266" s="11" t="s">
        <v>899</v>
      </c>
      <c r="B266" s="11" t="s">
        <v>49</v>
      </c>
      <c r="C266" s="11" t="s">
        <v>900</v>
      </c>
      <c r="D266" s="11" t="s">
        <v>278</v>
      </c>
      <c r="E266" s="11" t="s">
        <v>286</v>
      </c>
      <c r="F266" s="11" t="s">
        <v>349</v>
      </c>
      <c r="G266" s="11" t="s">
        <v>350</v>
      </c>
      <c r="H266" s="37" t="n">
        <v>30024</v>
      </c>
      <c r="I266" s="26" t="n">
        <v>1</v>
      </c>
      <c r="J266" s="37" t="n">
        <f aca="false">H266*I266</f>
        <v>30024</v>
      </c>
      <c r="K266" s="38" t="n">
        <v>46385</v>
      </c>
      <c r="L266" s="11" t="n">
        <v>0</v>
      </c>
      <c r="M266" s="11" t="n">
        <v>10</v>
      </c>
      <c r="N266" s="38" t="n">
        <v>46395</v>
      </c>
      <c r="O266" s="11" t="n">
        <f aca="false">IF(INT((N266-Assumptions!$C$2)/7)+1&gt;Assumptions!$C$3,"after W13",INT((N266-Assumptions!$C$2)/7)+1)</f>
        <v>13</v>
      </c>
      <c r="P266" s="38" t="n">
        <f aca="false">IF(AND(D266="Receipt",G266="C01"),WORKDAY(N266+Assumptions!$C$14-1,1),N266)</f>
        <v>46395</v>
      </c>
      <c r="Q266" s="11" t="n">
        <f aca="false">IF(INT((P266-Assumptions!$C$2)/7)+1&gt;Assumptions!$C$3,"after W13",INT((P266-Assumptions!$C$2)/7)+1)</f>
        <v>13</v>
      </c>
      <c r="R266" s="38" t="n">
        <f aca="false">IF(AND(D266="Receipt",OR(G266="C01",G266="C02",G266="C03",G266="C04",G266="C07")),WORKDAY(N266+IF(G266="C01",Assumptions!$C$14,Assumptions!$C$15)-1,1),N266)</f>
        <v>46412</v>
      </c>
      <c r="S266" s="11" t="str">
        <f aca="false">IF(INT((R266-Assumptions!$C$2)/7)+1&gt;Assumptions!$C$3,"after W13",INT((R266-Assumptions!$C$2)/7)+1)</f>
        <v>after W13</v>
      </c>
      <c r="T266" s="11" t="s">
        <v>538</v>
      </c>
      <c r="U266" s="11" t="s">
        <v>275</v>
      </c>
      <c r="V266" s="11" t="s">
        <v>283</v>
      </c>
    </row>
    <row r="267" customFormat="false" ht="15" hidden="false" customHeight="false" outlineLevel="0" collapsed="false">
      <c r="A267" s="11" t="s">
        <v>901</v>
      </c>
      <c r="B267" s="11" t="s">
        <v>49</v>
      </c>
      <c r="C267" s="11" t="s">
        <v>902</v>
      </c>
      <c r="D267" s="11" t="s">
        <v>278</v>
      </c>
      <c r="E267" s="11" t="s">
        <v>286</v>
      </c>
      <c r="F267" s="11" t="s">
        <v>327</v>
      </c>
      <c r="G267" s="11" t="s">
        <v>328</v>
      </c>
      <c r="H267" s="37" t="n">
        <v>13308</v>
      </c>
      <c r="I267" s="26" t="n">
        <v>1</v>
      </c>
      <c r="J267" s="37" t="n">
        <f aca="false">H267*I267</f>
        <v>13308</v>
      </c>
      <c r="K267" s="38" t="n">
        <v>46377</v>
      </c>
      <c r="L267" s="11" t="n">
        <v>0</v>
      </c>
      <c r="M267" s="11" t="n">
        <v>21</v>
      </c>
      <c r="N267" s="38" t="n">
        <v>46398</v>
      </c>
      <c r="O267" s="11" t="str">
        <f aca="false">IF(INT((N267-Assumptions!$C$2)/7)+1&gt;Assumptions!$C$3,"after W13",INT((N267-Assumptions!$C$2)/7)+1)</f>
        <v>after W13</v>
      </c>
      <c r="P267" s="38" t="n">
        <f aca="false">IF(AND(D267="Receipt",G267="C01"),WORKDAY(N267+Assumptions!$C$14-1,1),N267)</f>
        <v>46398</v>
      </c>
      <c r="Q267" s="11" t="str">
        <f aca="false">IF(INT((P267-Assumptions!$C$2)/7)+1&gt;Assumptions!$C$3,"after W13",INT((P267-Assumptions!$C$2)/7)+1)</f>
        <v>after W13</v>
      </c>
      <c r="R267" s="38" t="n">
        <f aca="false">IF(AND(D267="Receipt",OR(G267="C01",G267="C02",G267="C03",G267="C04",G267="C07")),WORKDAY(N267+IF(G267="C01",Assumptions!$C$14,Assumptions!$C$15)-1,1),N267)</f>
        <v>46413</v>
      </c>
      <c r="S267" s="11" t="str">
        <f aca="false">IF(INT((R267-Assumptions!$C$2)/7)+1&gt;Assumptions!$C$3,"after W13",INT((R267-Assumptions!$C$2)/7)+1)</f>
        <v>after W13</v>
      </c>
      <c r="T267" s="11" t="s">
        <v>538</v>
      </c>
      <c r="U267" s="11" t="s">
        <v>275</v>
      </c>
      <c r="V267" s="11" t="s">
        <v>283</v>
      </c>
    </row>
    <row r="268" customFormat="false" ht="15" hidden="false" customHeight="false" outlineLevel="0" collapsed="false">
      <c r="A268" s="11" t="s">
        <v>903</v>
      </c>
      <c r="B268" s="11" t="s">
        <v>49</v>
      </c>
      <c r="C268" s="11" t="s">
        <v>904</v>
      </c>
      <c r="D268" s="11" t="s">
        <v>278</v>
      </c>
      <c r="E268" s="11" t="s">
        <v>286</v>
      </c>
      <c r="F268" s="11" t="s">
        <v>327</v>
      </c>
      <c r="G268" s="11" t="s">
        <v>328</v>
      </c>
      <c r="H268" s="37" t="n">
        <v>20904</v>
      </c>
      <c r="I268" s="26" t="n">
        <v>1</v>
      </c>
      <c r="J268" s="37" t="n">
        <f aca="false">H268*I268</f>
        <v>20904</v>
      </c>
      <c r="K268" s="38" t="n">
        <v>46377</v>
      </c>
      <c r="L268" s="11" t="n">
        <v>0</v>
      </c>
      <c r="M268" s="11" t="n">
        <v>21</v>
      </c>
      <c r="N268" s="38" t="n">
        <v>46398</v>
      </c>
      <c r="O268" s="11" t="str">
        <f aca="false">IF(INT((N268-Assumptions!$C$2)/7)+1&gt;Assumptions!$C$3,"after W13",INT((N268-Assumptions!$C$2)/7)+1)</f>
        <v>after W13</v>
      </c>
      <c r="P268" s="38" t="n">
        <f aca="false">IF(AND(D268="Receipt",G268="C01"),WORKDAY(N268+Assumptions!$C$14-1,1),N268)</f>
        <v>46398</v>
      </c>
      <c r="Q268" s="11" t="str">
        <f aca="false">IF(INT((P268-Assumptions!$C$2)/7)+1&gt;Assumptions!$C$3,"after W13",INT((P268-Assumptions!$C$2)/7)+1)</f>
        <v>after W13</v>
      </c>
      <c r="R268" s="38" t="n">
        <f aca="false">IF(AND(D268="Receipt",OR(G268="C01",G268="C02",G268="C03",G268="C04",G268="C07")),WORKDAY(N268+IF(G268="C01",Assumptions!$C$14,Assumptions!$C$15)-1,1),N268)</f>
        <v>46413</v>
      </c>
      <c r="S268" s="11" t="str">
        <f aca="false">IF(INT((R268-Assumptions!$C$2)/7)+1&gt;Assumptions!$C$3,"after W13",INT((R268-Assumptions!$C$2)/7)+1)</f>
        <v>after W13</v>
      </c>
      <c r="T268" s="11" t="s">
        <v>538</v>
      </c>
      <c r="U268" s="11" t="s">
        <v>275</v>
      </c>
      <c r="V268" s="11" t="s">
        <v>283</v>
      </c>
    </row>
    <row r="269" customFormat="false" ht="15" hidden="false" customHeight="false" outlineLevel="0" collapsed="false">
      <c r="A269" s="11" t="s">
        <v>905</v>
      </c>
      <c r="B269" s="11" t="s">
        <v>49</v>
      </c>
      <c r="C269" s="11" t="s">
        <v>906</v>
      </c>
      <c r="D269" s="11" t="s">
        <v>278</v>
      </c>
      <c r="E269" s="11" t="s">
        <v>596</v>
      </c>
      <c r="F269" s="11" t="s">
        <v>597</v>
      </c>
      <c r="G269" s="11" t="s">
        <v>598</v>
      </c>
      <c r="H269" s="37" t="n">
        <v>172800</v>
      </c>
      <c r="I269" s="26" t="n">
        <v>1</v>
      </c>
      <c r="J269" s="37" t="n">
        <f aca="false">H269*I269</f>
        <v>172800</v>
      </c>
      <c r="K269" s="38" t="n">
        <v>46385</v>
      </c>
      <c r="L269" s="11" t="n">
        <v>0</v>
      </c>
      <c r="M269" s="11" t="n">
        <v>13</v>
      </c>
      <c r="N269" s="38" t="n">
        <v>46398</v>
      </c>
      <c r="O269" s="11" t="str">
        <f aca="false">IF(INT((N269-Assumptions!$C$2)/7)+1&gt;Assumptions!$C$3,"after W13",INT((N269-Assumptions!$C$2)/7)+1)</f>
        <v>after W13</v>
      </c>
      <c r="P269" s="38" t="n">
        <f aca="false">IF(AND(D269="Receipt",G269="C01"),WORKDAY(N269+Assumptions!$C$14-1,1),N269)</f>
        <v>46443</v>
      </c>
      <c r="Q269" s="11" t="str">
        <f aca="false">IF(INT((P269-Assumptions!$C$2)/7)+1&gt;Assumptions!$C$3,"after W13",INT((P269-Assumptions!$C$2)/7)+1)</f>
        <v>after W13</v>
      </c>
      <c r="R269" s="38" t="n">
        <f aca="false">IF(AND(D269="Receipt",OR(G269="C01",G269="C02",G269="C03",G269="C04",G269="C07")),WORKDAY(N269+IF(G269="C01",Assumptions!$C$14,Assumptions!$C$15)-1,1),N269)</f>
        <v>46443</v>
      </c>
      <c r="S269" s="11" t="str">
        <f aca="false">IF(INT((R269-Assumptions!$C$2)/7)+1&gt;Assumptions!$C$3,"after W13",INT((R269-Assumptions!$C$2)/7)+1)</f>
        <v>after W13</v>
      </c>
      <c r="T269" s="11" t="s">
        <v>812</v>
      </c>
      <c r="U269" s="11" t="s">
        <v>275</v>
      </c>
      <c r="V269" s="11" t="s">
        <v>907</v>
      </c>
    </row>
    <row r="270" customFormat="false" ht="15" hidden="false" customHeight="false" outlineLevel="0" collapsed="false">
      <c r="A270" s="11" t="s">
        <v>908</v>
      </c>
      <c r="B270" s="11" t="s">
        <v>49</v>
      </c>
      <c r="C270" s="11" t="s">
        <v>909</v>
      </c>
      <c r="D270" s="11" t="s">
        <v>278</v>
      </c>
      <c r="E270" s="11" t="s">
        <v>286</v>
      </c>
      <c r="F270" s="11" t="s">
        <v>349</v>
      </c>
      <c r="G270" s="11" t="s">
        <v>350</v>
      </c>
      <c r="H270" s="37" t="n">
        <v>29316</v>
      </c>
      <c r="I270" s="26" t="n">
        <v>1</v>
      </c>
      <c r="J270" s="37" t="n">
        <f aca="false">H270*I270</f>
        <v>29316</v>
      </c>
      <c r="K270" s="38" t="n">
        <v>46388</v>
      </c>
      <c r="L270" s="11" t="n">
        <v>0</v>
      </c>
      <c r="M270" s="11" t="n">
        <v>10</v>
      </c>
      <c r="N270" s="38" t="n">
        <v>46398</v>
      </c>
      <c r="O270" s="11" t="str">
        <f aca="false">IF(INT((N270-Assumptions!$C$2)/7)+1&gt;Assumptions!$C$3,"after W13",INT((N270-Assumptions!$C$2)/7)+1)</f>
        <v>after W13</v>
      </c>
      <c r="P270" s="38" t="n">
        <f aca="false">IF(AND(D270="Receipt",G270="C01"),WORKDAY(N270+Assumptions!$C$14-1,1),N270)</f>
        <v>46398</v>
      </c>
      <c r="Q270" s="11" t="str">
        <f aca="false">IF(INT((P270-Assumptions!$C$2)/7)+1&gt;Assumptions!$C$3,"after W13",INT((P270-Assumptions!$C$2)/7)+1)</f>
        <v>after W13</v>
      </c>
      <c r="R270" s="38" t="n">
        <f aca="false">IF(AND(D270="Receipt",OR(G270="C01",G270="C02",G270="C03",G270="C04",G270="C07")),WORKDAY(N270+IF(G270="C01",Assumptions!$C$14,Assumptions!$C$15)-1,1),N270)</f>
        <v>46413</v>
      </c>
      <c r="S270" s="11" t="str">
        <f aca="false">IF(INT((R270-Assumptions!$C$2)/7)+1&gt;Assumptions!$C$3,"after W13",INT((R270-Assumptions!$C$2)/7)+1)</f>
        <v>after W13</v>
      </c>
      <c r="T270" s="11" t="s">
        <v>538</v>
      </c>
      <c r="U270" s="11" t="s">
        <v>275</v>
      </c>
      <c r="V270" s="11" t="s">
        <v>283</v>
      </c>
    </row>
    <row r="271" customFormat="false" ht="15" hidden="false" customHeight="false" outlineLevel="0" collapsed="false">
      <c r="A271" s="11" t="s">
        <v>910</v>
      </c>
      <c r="B271" s="11" t="s">
        <v>49</v>
      </c>
      <c r="C271" s="11" t="s">
        <v>911</v>
      </c>
      <c r="D271" s="11" t="s">
        <v>278</v>
      </c>
      <c r="E271" s="11" t="s">
        <v>279</v>
      </c>
      <c r="F271" s="11" t="s">
        <v>335</v>
      </c>
      <c r="G271" s="11" t="s">
        <v>336</v>
      </c>
      <c r="H271" s="37" t="n">
        <v>7188</v>
      </c>
      <c r="I271" s="26" t="n">
        <v>1</v>
      </c>
      <c r="J271" s="37" t="n">
        <f aca="false">H271*I271</f>
        <v>7188</v>
      </c>
      <c r="K271" s="38" t="n">
        <v>46391</v>
      </c>
      <c r="L271" s="11" t="n">
        <v>0</v>
      </c>
      <c r="M271" s="11" t="n">
        <v>7</v>
      </c>
      <c r="N271" s="38" t="n">
        <v>46398</v>
      </c>
      <c r="O271" s="11" t="str">
        <f aca="false">IF(INT((N271-Assumptions!$C$2)/7)+1&gt;Assumptions!$C$3,"after W13",INT((N271-Assumptions!$C$2)/7)+1)</f>
        <v>after W13</v>
      </c>
      <c r="P271" s="38" t="n">
        <f aca="false">IF(AND(D271="Receipt",G271="C01"),WORKDAY(N271+Assumptions!$C$14-1,1),N271)</f>
        <v>46398</v>
      </c>
      <c r="Q271" s="11" t="str">
        <f aca="false">IF(INT((P271-Assumptions!$C$2)/7)+1&gt;Assumptions!$C$3,"after W13",INT((P271-Assumptions!$C$2)/7)+1)</f>
        <v>after W13</v>
      </c>
      <c r="R271" s="38" t="n">
        <f aca="false">IF(AND(D271="Receipt",OR(G271="C01",G271="C02",G271="C03",G271="C04",G271="C07")),WORKDAY(N271+IF(G271="C01",Assumptions!$C$14,Assumptions!$C$15)-1,1),N271)</f>
        <v>46398</v>
      </c>
      <c r="S271" s="11" t="str">
        <f aca="false">IF(INT((R271-Assumptions!$C$2)/7)+1&gt;Assumptions!$C$3,"after W13",INT((R271-Assumptions!$C$2)/7)+1)</f>
        <v>after W13</v>
      </c>
      <c r="T271" s="11" t="s">
        <v>538</v>
      </c>
      <c r="U271" s="11" t="s">
        <v>275</v>
      </c>
      <c r="V271" s="11" t="s">
        <v>283</v>
      </c>
    </row>
    <row r="272" customFormat="false" ht="15" hidden="false" customHeight="false" outlineLevel="0" collapsed="false">
      <c r="A272" s="11" t="s">
        <v>912</v>
      </c>
      <c r="B272" s="11" t="s">
        <v>49</v>
      </c>
      <c r="C272" s="11" t="s">
        <v>913</v>
      </c>
      <c r="D272" s="11" t="s">
        <v>278</v>
      </c>
      <c r="E272" s="11" t="s">
        <v>279</v>
      </c>
      <c r="F272" s="11" t="s">
        <v>335</v>
      </c>
      <c r="G272" s="11" t="s">
        <v>336</v>
      </c>
      <c r="H272" s="37" t="n">
        <v>7824</v>
      </c>
      <c r="I272" s="26" t="n">
        <v>1</v>
      </c>
      <c r="J272" s="37" t="n">
        <f aca="false">H272*I272</f>
        <v>7824</v>
      </c>
      <c r="K272" s="38" t="n">
        <v>46391</v>
      </c>
      <c r="L272" s="11" t="n">
        <v>0</v>
      </c>
      <c r="M272" s="11" t="n">
        <v>7</v>
      </c>
      <c r="N272" s="38" t="n">
        <v>46398</v>
      </c>
      <c r="O272" s="11" t="str">
        <f aca="false">IF(INT((N272-Assumptions!$C$2)/7)+1&gt;Assumptions!$C$3,"after W13",INT((N272-Assumptions!$C$2)/7)+1)</f>
        <v>after W13</v>
      </c>
      <c r="P272" s="38" t="n">
        <f aca="false">IF(AND(D272="Receipt",G272="C01"),WORKDAY(N272+Assumptions!$C$14-1,1),N272)</f>
        <v>46398</v>
      </c>
      <c r="Q272" s="11" t="str">
        <f aca="false">IF(INT((P272-Assumptions!$C$2)/7)+1&gt;Assumptions!$C$3,"after W13",INT((P272-Assumptions!$C$2)/7)+1)</f>
        <v>after W13</v>
      </c>
      <c r="R272" s="38" t="n">
        <f aca="false">IF(AND(D272="Receipt",OR(G272="C01",G272="C02",G272="C03",G272="C04",G272="C07")),WORKDAY(N272+IF(G272="C01",Assumptions!$C$14,Assumptions!$C$15)-1,1),N272)</f>
        <v>46398</v>
      </c>
      <c r="S272" s="11" t="str">
        <f aca="false">IF(INT((R272-Assumptions!$C$2)/7)+1&gt;Assumptions!$C$3,"after W13",INT((R272-Assumptions!$C$2)/7)+1)</f>
        <v>after W13</v>
      </c>
      <c r="T272" s="11" t="s">
        <v>538</v>
      </c>
      <c r="U272" s="11" t="s">
        <v>275</v>
      </c>
      <c r="V272" s="11" t="s">
        <v>283</v>
      </c>
    </row>
    <row r="273" customFormat="false" ht="15" hidden="false" customHeight="false" outlineLevel="0" collapsed="false">
      <c r="A273" s="11" t="s">
        <v>914</v>
      </c>
      <c r="B273" s="11" t="s">
        <v>49</v>
      </c>
      <c r="C273" s="11" t="s">
        <v>915</v>
      </c>
      <c r="D273" s="11" t="s">
        <v>278</v>
      </c>
      <c r="E273" s="11" t="s">
        <v>279</v>
      </c>
      <c r="F273" s="11" t="s">
        <v>335</v>
      </c>
      <c r="G273" s="11" t="s">
        <v>336</v>
      </c>
      <c r="H273" s="37" t="n">
        <v>3012</v>
      </c>
      <c r="I273" s="26" t="n">
        <v>1</v>
      </c>
      <c r="J273" s="37" t="n">
        <f aca="false">H273*I273</f>
        <v>3012</v>
      </c>
      <c r="K273" s="38" t="n">
        <v>46391</v>
      </c>
      <c r="L273" s="11" t="n">
        <v>0</v>
      </c>
      <c r="M273" s="11" t="n">
        <v>7</v>
      </c>
      <c r="N273" s="38" t="n">
        <v>46398</v>
      </c>
      <c r="O273" s="11" t="str">
        <f aca="false">IF(INT((N273-Assumptions!$C$2)/7)+1&gt;Assumptions!$C$3,"after W13",INT((N273-Assumptions!$C$2)/7)+1)</f>
        <v>after W13</v>
      </c>
      <c r="P273" s="38" t="n">
        <f aca="false">IF(AND(D273="Receipt",G273="C01"),WORKDAY(N273+Assumptions!$C$14-1,1),N273)</f>
        <v>46398</v>
      </c>
      <c r="Q273" s="11" t="str">
        <f aca="false">IF(INT((P273-Assumptions!$C$2)/7)+1&gt;Assumptions!$C$3,"after W13",INT((P273-Assumptions!$C$2)/7)+1)</f>
        <v>after W13</v>
      </c>
      <c r="R273" s="38" t="n">
        <f aca="false">IF(AND(D273="Receipt",OR(G273="C01",G273="C02",G273="C03",G273="C04",G273="C07")),WORKDAY(N273+IF(G273="C01",Assumptions!$C$14,Assumptions!$C$15)-1,1),N273)</f>
        <v>46398</v>
      </c>
      <c r="S273" s="11" t="str">
        <f aca="false">IF(INT((R273-Assumptions!$C$2)/7)+1&gt;Assumptions!$C$3,"after W13",INT((R273-Assumptions!$C$2)/7)+1)</f>
        <v>after W13</v>
      </c>
      <c r="T273" s="11" t="s">
        <v>538</v>
      </c>
      <c r="U273" s="11" t="s">
        <v>275</v>
      </c>
      <c r="V273" s="11" t="s">
        <v>283</v>
      </c>
    </row>
    <row r="274" customFormat="false" ht="15" hidden="false" customHeight="false" outlineLevel="0" collapsed="false">
      <c r="A274" s="11" t="s">
        <v>916</v>
      </c>
      <c r="B274" s="11" t="s">
        <v>49</v>
      </c>
      <c r="C274" s="11" t="s">
        <v>917</v>
      </c>
      <c r="D274" s="11" t="s">
        <v>278</v>
      </c>
      <c r="E274" s="11" t="s">
        <v>279</v>
      </c>
      <c r="F274" s="11" t="s">
        <v>280</v>
      </c>
      <c r="G274" s="11" t="s">
        <v>281</v>
      </c>
      <c r="H274" s="37" t="n">
        <v>9696</v>
      </c>
      <c r="I274" s="39" t="n">
        <f aca="false">Assumptions!$C$9</f>
        <v>0.8</v>
      </c>
      <c r="J274" s="37" t="n">
        <f aca="false">H274*I274</f>
        <v>7756.8</v>
      </c>
      <c r="K274" s="38" t="n">
        <v>46398</v>
      </c>
      <c r="L274" s="11" t="n">
        <v>0</v>
      </c>
      <c r="M274" s="11" t="n">
        <v>0</v>
      </c>
      <c r="N274" s="38" t="n">
        <v>46398</v>
      </c>
      <c r="O274" s="11" t="str">
        <f aca="false">IF(INT((N274-Assumptions!$C$2)/7)+1&gt;Assumptions!$C$3,"after W13",INT((N274-Assumptions!$C$2)/7)+1)</f>
        <v>after W13</v>
      </c>
      <c r="P274" s="38" t="n">
        <f aca="false">IF(AND(D274="Receipt",G274="C01"),WORKDAY(N274+Assumptions!$C$14-1,1),N274)</f>
        <v>46398</v>
      </c>
      <c r="Q274" s="11" t="str">
        <f aca="false">IF(INT((P274-Assumptions!$C$2)/7)+1&gt;Assumptions!$C$3,"after W13",INT((P274-Assumptions!$C$2)/7)+1)</f>
        <v>after W13</v>
      </c>
      <c r="R274" s="38" t="n">
        <f aca="false">IF(AND(D274="Receipt",OR(G274="C01",G274="C02",G274="C03",G274="C04",G274="C07")),WORKDAY(N274+IF(G274="C01",Assumptions!$C$14,Assumptions!$C$15)-1,1),N274)</f>
        <v>46398</v>
      </c>
      <c r="S274" s="11" t="str">
        <f aca="false">IF(INT((R274-Assumptions!$C$2)/7)+1&gt;Assumptions!$C$3,"after W13",INT((R274-Assumptions!$C$2)/7)+1)</f>
        <v>after W13</v>
      </c>
      <c r="T274" s="11" t="s">
        <v>864</v>
      </c>
      <c r="U274" s="11" t="s">
        <v>275</v>
      </c>
      <c r="V274" s="11" t="s">
        <v>283</v>
      </c>
    </row>
    <row r="275" customFormat="false" ht="15" hidden="false" customHeight="false" outlineLevel="0" collapsed="false">
      <c r="A275" s="11" t="s">
        <v>918</v>
      </c>
      <c r="B275" s="11" t="s">
        <v>49</v>
      </c>
      <c r="C275" s="11" t="s">
        <v>919</v>
      </c>
      <c r="D275" s="11" t="s">
        <v>278</v>
      </c>
      <c r="E275" s="11" t="s">
        <v>279</v>
      </c>
      <c r="F275" s="11" t="s">
        <v>280</v>
      </c>
      <c r="G275" s="11" t="s">
        <v>281</v>
      </c>
      <c r="H275" s="37" t="n">
        <v>15600</v>
      </c>
      <c r="I275" s="39" t="n">
        <f aca="false">Assumptions!$C$9</f>
        <v>0.8</v>
      </c>
      <c r="J275" s="37" t="n">
        <f aca="false">H275*I275</f>
        <v>12480</v>
      </c>
      <c r="K275" s="38" t="n">
        <v>46398</v>
      </c>
      <c r="L275" s="11" t="n">
        <v>0</v>
      </c>
      <c r="M275" s="11" t="n">
        <v>0</v>
      </c>
      <c r="N275" s="38" t="n">
        <v>46398</v>
      </c>
      <c r="O275" s="11" t="str">
        <f aca="false">IF(INT((N275-Assumptions!$C$2)/7)+1&gt;Assumptions!$C$3,"after W13",INT((N275-Assumptions!$C$2)/7)+1)</f>
        <v>after W13</v>
      </c>
      <c r="P275" s="38" t="n">
        <f aca="false">IF(AND(D275="Receipt",G275="C01"),WORKDAY(N275+Assumptions!$C$14-1,1),N275)</f>
        <v>46398</v>
      </c>
      <c r="Q275" s="11" t="str">
        <f aca="false">IF(INT((P275-Assumptions!$C$2)/7)+1&gt;Assumptions!$C$3,"after W13",INT((P275-Assumptions!$C$2)/7)+1)</f>
        <v>after W13</v>
      </c>
      <c r="R275" s="38" t="n">
        <f aca="false">IF(AND(D275="Receipt",OR(G275="C01",G275="C02",G275="C03",G275="C04",G275="C07")),WORKDAY(N275+IF(G275="C01",Assumptions!$C$14,Assumptions!$C$15)-1,1),N275)</f>
        <v>46398</v>
      </c>
      <c r="S275" s="11" t="str">
        <f aca="false">IF(INT((R275-Assumptions!$C$2)/7)+1&gt;Assumptions!$C$3,"after W13",INT((R275-Assumptions!$C$2)/7)+1)</f>
        <v>after W13</v>
      </c>
      <c r="T275" s="11" t="s">
        <v>864</v>
      </c>
      <c r="U275" s="11" t="s">
        <v>275</v>
      </c>
      <c r="V275" s="11" t="s">
        <v>283</v>
      </c>
    </row>
    <row r="276" customFormat="false" ht="15" hidden="false" customHeight="false" outlineLevel="0" collapsed="false">
      <c r="A276" s="11" t="s">
        <v>920</v>
      </c>
      <c r="B276" s="11" t="s">
        <v>49</v>
      </c>
      <c r="C276" s="11" t="s">
        <v>921</v>
      </c>
      <c r="D276" s="11" t="s">
        <v>278</v>
      </c>
      <c r="E276" s="11" t="s">
        <v>279</v>
      </c>
      <c r="F276" s="11" t="s">
        <v>280</v>
      </c>
      <c r="G276" s="11" t="s">
        <v>281</v>
      </c>
      <c r="H276" s="37" t="n">
        <v>11400</v>
      </c>
      <c r="I276" s="39" t="n">
        <f aca="false">Assumptions!$C$9</f>
        <v>0.8</v>
      </c>
      <c r="J276" s="37" t="n">
        <f aca="false">H276*I276</f>
        <v>9120</v>
      </c>
      <c r="K276" s="38" t="n">
        <v>46398</v>
      </c>
      <c r="L276" s="11" t="n">
        <v>0</v>
      </c>
      <c r="M276" s="11" t="n">
        <v>0</v>
      </c>
      <c r="N276" s="38" t="n">
        <v>46398</v>
      </c>
      <c r="O276" s="11" t="str">
        <f aca="false">IF(INT((N276-Assumptions!$C$2)/7)+1&gt;Assumptions!$C$3,"after W13",INT((N276-Assumptions!$C$2)/7)+1)</f>
        <v>after W13</v>
      </c>
      <c r="P276" s="38" t="n">
        <f aca="false">IF(AND(D276="Receipt",G276="C01"),WORKDAY(N276+Assumptions!$C$14-1,1),N276)</f>
        <v>46398</v>
      </c>
      <c r="Q276" s="11" t="str">
        <f aca="false">IF(INT((P276-Assumptions!$C$2)/7)+1&gt;Assumptions!$C$3,"after W13",INT((P276-Assumptions!$C$2)/7)+1)</f>
        <v>after W13</v>
      </c>
      <c r="R276" s="38" t="n">
        <f aca="false">IF(AND(D276="Receipt",OR(G276="C01",G276="C02",G276="C03",G276="C04",G276="C07")),WORKDAY(N276+IF(G276="C01",Assumptions!$C$14,Assumptions!$C$15)-1,1),N276)</f>
        <v>46398</v>
      </c>
      <c r="S276" s="11" t="str">
        <f aca="false">IF(INT((R276-Assumptions!$C$2)/7)+1&gt;Assumptions!$C$3,"after W13",INT((R276-Assumptions!$C$2)/7)+1)</f>
        <v>after W13</v>
      </c>
      <c r="T276" s="11" t="s">
        <v>864</v>
      </c>
      <c r="U276" s="11" t="s">
        <v>275</v>
      </c>
      <c r="V276" s="11" t="s">
        <v>283</v>
      </c>
    </row>
    <row r="277" customFormat="false" ht="15" hidden="false" customHeight="false" outlineLevel="0" collapsed="false">
      <c r="A277" s="11" t="s">
        <v>922</v>
      </c>
      <c r="B277" s="11" t="s">
        <v>49</v>
      </c>
      <c r="C277" s="11" t="s">
        <v>923</v>
      </c>
      <c r="D277" s="11" t="s">
        <v>278</v>
      </c>
      <c r="E277" s="11" t="s">
        <v>286</v>
      </c>
      <c r="F277" s="11" t="s">
        <v>287</v>
      </c>
      <c r="G277" s="11" t="s">
        <v>288</v>
      </c>
      <c r="H277" s="37" t="n">
        <v>2664</v>
      </c>
      <c r="I277" s="39" t="n">
        <f aca="false">Assumptions!$C$9</f>
        <v>0.8</v>
      </c>
      <c r="J277" s="37" t="n">
        <f aca="false">H277*I277</f>
        <v>2131.2</v>
      </c>
      <c r="K277" s="38" t="n">
        <v>46394</v>
      </c>
      <c r="L277" s="11" t="n">
        <v>0</v>
      </c>
      <c r="M277" s="11" t="n">
        <v>3</v>
      </c>
      <c r="N277" s="38" t="n">
        <v>46398</v>
      </c>
      <c r="O277" s="11" t="str">
        <f aca="false">IF(INT((N277-Assumptions!$C$2)/7)+1&gt;Assumptions!$C$3,"after W13",INT((N277-Assumptions!$C$2)/7)+1)</f>
        <v>after W13</v>
      </c>
      <c r="P277" s="38" t="n">
        <f aca="false">IF(AND(D277="Receipt",G277="C01"),WORKDAY(N277+Assumptions!$C$14-1,1),N277)</f>
        <v>46398</v>
      </c>
      <c r="Q277" s="11" t="str">
        <f aca="false">IF(INT((P277-Assumptions!$C$2)/7)+1&gt;Assumptions!$C$3,"after W13",INT((P277-Assumptions!$C$2)/7)+1)</f>
        <v>after W13</v>
      </c>
      <c r="R277" s="38" t="n">
        <f aca="false">IF(AND(D277="Receipt",OR(G277="C01",G277="C02",G277="C03",G277="C04",G277="C07")),WORKDAY(N277+IF(G277="C01",Assumptions!$C$14,Assumptions!$C$15)-1,1),N277)</f>
        <v>46413</v>
      </c>
      <c r="S277" s="11" t="str">
        <f aca="false">IF(INT((R277-Assumptions!$C$2)/7)+1&gt;Assumptions!$C$3,"after W13",INT((R277-Assumptions!$C$2)/7)+1)</f>
        <v>after W13</v>
      </c>
      <c r="T277" s="11" t="s">
        <v>864</v>
      </c>
      <c r="U277" s="11" t="s">
        <v>275</v>
      </c>
      <c r="V277" s="11" t="s">
        <v>283</v>
      </c>
    </row>
    <row r="278" customFormat="false" ht="15" hidden="false" customHeight="false" outlineLevel="0" collapsed="false">
      <c r="A278" s="11" t="s">
        <v>924</v>
      </c>
      <c r="B278" s="11" t="s">
        <v>49</v>
      </c>
      <c r="C278" s="11" t="s">
        <v>925</v>
      </c>
      <c r="D278" s="11" t="s">
        <v>278</v>
      </c>
      <c r="E278" s="11" t="s">
        <v>286</v>
      </c>
      <c r="F278" s="11" t="s">
        <v>327</v>
      </c>
      <c r="G278" s="11" t="s">
        <v>328</v>
      </c>
      <c r="H278" s="37" t="n">
        <v>20352</v>
      </c>
      <c r="I278" s="26" t="n">
        <v>1</v>
      </c>
      <c r="J278" s="37" t="n">
        <f aca="false">H278*I278</f>
        <v>20352</v>
      </c>
      <c r="K278" s="38" t="n">
        <v>46378</v>
      </c>
      <c r="L278" s="11" t="n">
        <v>0</v>
      </c>
      <c r="M278" s="11" t="n">
        <v>21</v>
      </c>
      <c r="N278" s="38" t="n">
        <v>46399</v>
      </c>
      <c r="O278" s="11" t="str">
        <f aca="false">IF(INT((N278-Assumptions!$C$2)/7)+1&gt;Assumptions!$C$3,"after W13",INT((N278-Assumptions!$C$2)/7)+1)</f>
        <v>after W13</v>
      </c>
      <c r="P278" s="38" t="n">
        <f aca="false">IF(AND(D278="Receipt",G278="C01"),WORKDAY(N278+Assumptions!$C$14-1,1),N278)</f>
        <v>46399</v>
      </c>
      <c r="Q278" s="11" t="str">
        <f aca="false">IF(INT((P278-Assumptions!$C$2)/7)+1&gt;Assumptions!$C$3,"after W13",INT((P278-Assumptions!$C$2)/7)+1)</f>
        <v>after W13</v>
      </c>
      <c r="R278" s="38" t="n">
        <f aca="false">IF(AND(D278="Receipt",OR(G278="C01",G278="C02",G278="C03",G278="C04",G278="C07")),WORKDAY(N278+IF(G278="C01",Assumptions!$C$14,Assumptions!$C$15)-1,1),N278)</f>
        <v>46414</v>
      </c>
      <c r="S278" s="11" t="str">
        <f aca="false">IF(INT((R278-Assumptions!$C$2)/7)+1&gt;Assumptions!$C$3,"after W13",INT((R278-Assumptions!$C$2)/7)+1)</f>
        <v>after W13</v>
      </c>
      <c r="T278" s="11" t="s">
        <v>538</v>
      </c>
      <c r="U278" s="11" t="s">
        <v>275</v>
      </c>
      <c r="V278" s="11" t="s">
        <v>283</v>
      </c>
    </row>
    <row r="279" customFormat="false" ht="15" hidden="false" customHeight="false" outlineLevel="0" collapsed="false">
      <c r="A279" s="11" t="s">
        <v>926</v>
      </c>
      <c r="B279" s="11" t="s">
        <v>49</v>
      </c>
      <c r="C279" s="11" t="s">
        <v>927</v>
      </c>
      <c r="D279" s="11" t="s">
        <v>278</v>
      </c>
      <c r="E279" s="11" t="s">
        <v>286</v>
      </c>
      <c r="F279" s="11" t="s">
        <v>331</v>
      </c>
      <c r="G279" s="11" t="s">
        <v>332</v>
      </c>
      <c r="H279" s="37" t="n">
        <v>15168</v>
      </c>
      <c r="I279" s="26" t="n">
        <v>1</v>
      </c>
      <c r="J279" s="37" t="n">
        <f aca="false">H279*I279</f>
        <v>15168</v>
      </c>
      <c r="K279" s="38" t="n">
        <v>46374</v>
      </c>
      <c r="L279" s="11" t="n">
        <v>0</v>
      </c>
      <c r="M279" s="11" t="n">
        <v>25</v>
      </c>
      <c r="N279" s="38" t="n">
        <v>46399</v>
      </c>
      <c r="O279" s="11" t="str">
        <f aca="false">IF(INT((N279-Assumptions!$C$2)/7)+1&gt;Assumptions!$C$3,"after W13",INT((N279-Assumptions!$C$2)/7)+1)</f>
        <v>after W13</v>
      </c>
      <c r="P279" s="38" t="n">
        <f aca="false">IF(AND(D279="Receipt",G279="C01"),WORKDAY(N279+Assumptions!$C$14-1,1),N279)</f>
        <v>46399</v>
      </c>
      <c r="Q279" s="11" t="str">
        <f aca="false">IF(INT((P279-Assumptions!$C$2)/7)+1&gt;Assumptions!$C$3,"after W13",INT((P279-Assumptions!$C$2)/7)+1)</f>
        <v>after W13</v>
      </c>
      <c r="R279" s="38" t="n">
        <f aca="false">IF(AND(D279="Receipt",OR(G279="C01",G279="C02",G279="C03",G279="C04",G279="C07")),WORKDAY(N279+IF(G279="C01",Assumptions!$C$14,Assumptions!$C$15)-1,1),N279)</f>
        <v>46414</v>
      </c>
      <c r="S279" s="11" t="str">
        <f aca="false">IF(INT((R279-Assumptions!$C$2)/7)+1&gt;Assumptions!$C$3,"after W13",INT((R279-Assumptions!$C$2)/7)+1)</f>
        <v>after W13</v>
      </c>
      <c r="T279" s="11" t="s">
        <v>538</v>
      </c>
      <c r="U279" s="11" t="s">
        <v>275</v>
      </c>
      <c r="V279" s="11" t="s">
        <v>283</v>
      </c>
    </row>
    <row r="280" customFormat="false" ht="15" hidden="false" customHeight="false" outlineLevel="0" collapsed="false">
      <c r="A280" s="11" t="s">
        <v>928</v>
      </c>
      <c r="B280" s="11" t="s">
        <v>49</v>
      </c>
      <c r="C280" s="11" t="s">
        <v>929</v>
      </c>
      <c r="D280" s="11" t="s">
        <v>278</v>
      </c>
      <c r="E280" s="11" t="s">
        <v>322</v>
      </c>
      <c r="F280" s="11" t="s">
        <v>323</v>
      </c>
      <c r="G280" s="11" t="s">
        <v>324</v>
      </c>
      <c r="H280" s="37" t="n">
        <v>7104</v>
      </c>
      <c r="I280" s="39" t="n">
        <f aca="false">Assumptions!$C$9</f>
        <v>0.8</v>
      </c>
      <c r="J280" s="37" t="n">
        <f aca="false">H280*I280</f>
        <v>5683.2</v>
      </c>
      <c r="K280" s="38" t="n">
        <v>46387</v>
      </c>
      <c r="L280" s="11" t="n">
        <v>0</v>
      </c>
      <c r="M280" s="11" t="n">
        <v>12</v>
      </c>
      <c r="N280" s="38" t="n">
        <v>46399</v>
      </c>
      <c r="O280" s="11" t="str">
        <f aca="false">IF(INT((N280-Assumptions!$C$2)/7)+1&gt;Assumptions!$C$3,"after W13",INT((N280-Assumptions!$C$2)/7)+1)</f>
        <v>after W13</v>
      </c>
      <c r="P280" s="38" t="n">
        <f aca="false">IF(AND(D280="Receipt",G280="C01"),WORKDAY(N280+Assumptions!$C$14-1,1),N280)</f>
        <v>46399</v>
      </c>
      <c r="Q280" s="11" t="str">
        <f aca="false">IF(INT((P280-Assumptions!$C$2)/7)+1&gt;Assumptions!$C$3,"after W13",INT((P280-Assumptions!$C$2)/7)+1)</f>
        <v>after W13</v>
      </c>
      <c r="R280" s="38" t="n">
        <f aca="false">IF(AND(D280="Receipt",OR(G280="C01",G280="C02",G280="C03",G280="C04",G280="C07")),WORKDAY(N280+IF(G280="C01",Assumptions!$C$14,Assumptions!$C$15)-1,1),N280)</f>
        <v>46399</v>
      </c>
      <c r="S280" s="11" t="str">
        <f aca="false">IF(INT((R280-Assumptions!$C$2)/7)+1&gt;Assumptions!$C$3,"after W13",INT((R280-Assumptions!$C$2)/7)+1)</f>
        <v>after W13</v>
      </c>
      <c r="T280" s="11" t="s">
        <v>864</v>
      </c>
      <c r="U280" s="11" t="s">
        <v>275</v>
      </c>
      <c r="V280" s="11" t="s">
        <v>283</v>
      </c>
    </row>
    <row r="281" customFormat="false" ht="15" hidden="false" customHeight="false" outlineLevel="0" collapsed="false">
      <c r="A281" s="11" t="s">
        <v>930</v>
      </c>
      <c r="B281" s="11" t="s">
        <v>49</v>
      </c>
      <c r="C281" s="11" t="s">
        <v>931</v>
      </c>
      <c r="D281" s="11" t="s">
        <v>278</v>
      </c>
      <c r="E281" s="11" t="s">
        <v>286</v>
      </c>
      <c r="F281" s="11" t="s">
        <v>287</v>
      </c>
      <c r="G281" s="11" t="s">
        <v>288</v>
      </c>
      <c r="H281" s="37" t="n">
        <v>4068</v>
      </c>
      <c r="I281" s="39" t="n">
        <f aca="false">Assumptions!$C$9</f>
        <v>0.8</v>
      </c>
      <c r="J281" s="37" t="n">
        <f aca="false">H281*I281</f>
        <v>3254.4</v>
      </c>
      <c r="K281" s="38" t="n">
        <v>46397</v>
      </c>
      <c r="L281" s="11" t="n">
        <v>0</v>
      </c>
      <c r="M281" s="11" t="n">
        <v>3</v>
      </c>
      <c r="N281" s="38" t="n">
        <v>46400</v>
      </c>
      <c r="O281" s="11" t="str">
        <f aca="false">IF(INT((N281-Assumptions!$C$2)/7)+1&gt;Assumptions!$C$3,"after W13",INT((N281-Assumptions!$C$2)/7)+1)</f>
        <v>after W13</v>
      </c>
      <c r="P281" s="38" t="n">
        <f aca="false">IF(AND(D281="Receipt",G281="C01"),WORKDAY(N281+Assumptions!$C$14-1,1),N281)</f>
        <v>46400</v>
      </c>
      <c r="Q281" s="11" t="str">
        <f aca="false">IF(INT((P281-Assumptions!$C$2)/7)+1&gt;Assumptions!$C$3,"after W13",INT((P281-Assumptions!$C$2)/7)+1)</f>
        <v>after W13</v>
      </c>
      <c r="R281" s="38" t="n">
        <f aca="false">IF(AND(D281="Receipt",OR(G281="C01",G281="C02",G281="C03",G281="C04",G281="C07")),WORKDAY(N281+IF(G281="C01",Assumptions!$C$14,Assumptions!$C$15)-1,1),N281)</f>
        <v>46415</v>
      </c>
      <c r="S281" s="11" t="str">
        <f aca="false">IF(INT((R281-Assumptions!$C$2)/7)+1&gt;Assumptions!$C$3,"after W13",INT((R281-Assumptions!$C$2)/7)+1)</f>
        <v>after W13</v>
      </c>
      <c r="T281" s="11" t="s">
        <v>864</v>
      </c>
      <c r="U281" s="11" t="s">
        <v>275</v>
      </c>
      <c r="V281" s="11" t="s">
        <v>283</v>
      </c>
    </row>
    <row r="282" customFormat="false" ht="15" hidden="false" customHeight="false" outlineLevel="0" collapsed="false">
      <c r="A282" s="11" t="s">
        <v>932</v>
      </c>
      <c r="B282" s="11" t="s">
        <v>49</v>
      </c>
      <c r="C282" s="11" t="s">
        <v>933</v>
      </c>
      <c r="D282" s="11" t="s">
        <v>278</v>
      </c>
      <c r="E282" s="11" t="s">
        <v>286</v>
      </c>
      <c r="F282" s="11" t="s">
        <v>287</v>
      </c>
      <c r="G282" s="11" t="s">
        <v>288</v>
      </c>
      <c r="H282" s="37" t="n">
        <v>2436</v>
      </c>
      <c r="I282" s="39" t="n">
        <f aca="false">Assumptions!$C$9</f>
        <v>0.8</v>
      </c>
      <c r="J282" s="37" t="n">
        <f aca="false">H282*I282</f>
        <v>1948.8</v>
      </c>
      <c r="K282" s="38" t="n">
        <v>46397</v>
      </c>
      <c r="L282" s="11" t="n">
        <v>0</v>
      </c>
      <c r="M282" s="11" t="n">
        <v>3</v>
      </c>
      <c r="N282" s="38" t="n">
        <v>46400</v>
      </c>
      <c r="O282" s="11" t="str">
        <f aca="false">IF(INT((N282-Assumptions!$C$2)/7)+1&gt;Assumptions!$C$3,"after W13",INT((N282-Assumptions!$C$2)/7)+1)</f>
        <v>after W13</v>
      </c>
      <c r="P282" s="38" t="n">
        <f aca="false">IF(AND(D282="Receipt",G282="C01"),WORKDAY(N282+Assumptions!$C$14-1,1),N282)</f>
        <v>46400</v>
      </c>
      <c r="Q282" s="11" t="str">
        <f aca="false">IF(INT((P282-Assumptions!$C$2)/7)+1&gt;Assumptions!$C$3,"after W13",INT((P282-Assumptions!$C$2)/7)+1)</f>
        <v>after W13</v>
      </c>
      <c r="R282" s="38" t="n">
        <f aca="false">IF(AND(D282="Receipt",OR(G282="C01",G282="C02",G282="C03",G282="C04",G282="C07")),WORKDAY(N282+IF(G282="C01",Assumptions!$C$14,Assumptions!$C$15)-1,1),N282)</f>
        <v>46415</v>
      </c>
      <c r="S282" s="11" t="str">
        <f aca="false">IF(INT((R282-Assumptions!$C$2)/7)+1&gt;Assumptions!$C$3,"after W13",INT((R282-Assumptions!$C$2)/7)+1)</f>
        <v>after W13</v>
      </c>
      <c r="T282" s="11" t="s">
        <v>864</v>
      </c>
      <c r="U282" s="11" t="s">
        <v>275</v>
      </c>
      <c r="V282" s="11" t="s">
        <v>283</v>
      </c>
    </row>
    <row r="283" customFormat="false" ht="15" hidden="false" customHeight="false" outlineLevel="0" collapsed="false">
      <c r="A283" s="11" t="s">
        <v>934</v>
      </c>
      <c r="B283" s="11" t="s">
        <v>49</v>
      </c>
      <c r="C283" s="11" t="s">
        <v>935</v>
      </c>
      <c r="D283" s="11" t="s">
        <v>278</v>
      </c>
      <c r="E283" s="11" t="s">
        <v>286</v>
      </c>
      <c r="F283" s="11" t="s">
        <v>331</v>
      </c>
      <c r="G283" s="11" t="s">
        <v>332</v>
      </c>
      <c r="H283" s="37" t="n">
        <v>6432</v>
      </c>
      <c r="I283" s="26" t="n">
        <v>1</v>
      </c>
      <c r="J283" s="37" t="n">
        <f aca="false">H283*I283</f>
        <v>6432</v>
      </c>
      <c r="K283" s="38" t="n">
        <v>46376</v>
      </c>
      <c r="L283" s="11" t="n">
        <v>0</v>
      </c>
      <c r="M283" s="11" t="n">
        <v>25</v>
      </c>
      <c r="N283" s="38" t="n">
        <v>46401</v>
      </c>
      <c r="O283" s="11" t="str">
        <f aca="false">IF(INT((N283-Assumptions!$C$2)/7)+1&gt;Assumptions!$C$3,"after W13",INT((N283-Assumptions!$C$2)/7)+1)</f>
        <v>after W13</v>
      </c>
      <c r="P283" s="38" t="n">
        <f aca="false">IF(AND(D283="Receipt",G283="C01"),WORKDAY(N283+Assumptions!$C$14-1,1),N283)</f>
        <v>46401</v>
      </c>
      <c r="Q283" s="11" t="str">
        <f aca="false">IF(INT((P283-Assumptions!$C$2)/7)+1&gt;Assumptions!$C$3,"after W13",INT((P283-Assumptions!$C$2)/7)+1)</f>
        <v>after W13</v>
      </c>
      <c r="R283" s="38" t="n">
        <f aca="false">IF(AND(D283="Receipt",OR(G283="C01",G283="C02",G283="C03",G283="C04",G283="C07")),WORKDAY(N283+IF(G283="C01",Assumptions!$C$14,Assumptions!$C$15)-1,1),N283)</f>
        <v>46416</v>
      </c>
      <c r="S283" s="11" t="str">
        <f aca="false">IF(INT((R283-Assumptions!$C$2)/7)+1&gt;Assumptions!$C$3,"after W13",INT((R283-Assumptions!$C$2)/7)+1)</f>
        <v>after W13</v>
      </c>
      <c r="T283" s="11" t="s">
        <v>538</v>
      </c>
      <c r="U283" s="11" t="s">
        <v>275</v>
      </c>
      <c r="V283" s="11" t="s">
        <v>283</v>
      </c>
    </row>
    <row r="284" customFormat="false" ht="15" hidden="false" customHeight="false" outlineLevel="0" collapsed="false">
      <c r="A284" s="11" t="s">
        <v>936</v>
      </c>
      <c r="B284" s="11" t="s">
        <v>49</v>
      </c>
      <c r="C284" s="11" t="s">
        <v>937</v>
      </c>
      <c r="D284" s="11" t="s">
        <v>278</v>
      </c>
      <c r="E284" s="11" t="s">
        <v>322</v>
      </c>
      <c r="F284" s="11" t="s">
        <v>323</v>
      </c>
      <c r="G284" s="11" t="s">
        <v>324</v>
      </c>
      <c r="H284" s="37" t="n">
        <v>5676</v>
      </c>
      <c r="I284" s="39" t="n">
        <f aca="false">Assumptions!$C$9</f>
        <v>0.8</v>
      </c>
      <c r="J284" s="37" t="n">
        <f aca="false">H284*I284</f>
        <v>4540.8</v>
      </c>
      <c r="K284" s="38" t="n">
        <v>46389</v>
      </c>
      <c r="L284" s="11" t="n">
        <v>0</v>
      </c>
      <c r="M284" s="11" t="n">
        <v>12</v>
      </c>
      <c r="N284" s="38" t="n">
        <v>46401</v>
      </c>
      <c r="O284" s="11" t="str">
        <f aca="false">IF(INT((N284-Assumptions!$C$2)/7)+1&gt;Assumptions!$C$3,"after W13",INT((N284-Assumptions!$C$2)/7)+1)</f>
        <v>after W13</v>
      </c>
      <c r="P284" s="38" t="n">
        <f aca="false">IF(AND(D284="Receipt",G284="C01"),WORKDAY(N284+Assumptions!$C$14-1,1),N284)</f>
        <v>46401</v>
      </c>
      <c r="Q284" s="11" t="str">
        <f aca="false">IF(INT((P284-Assumptions!$C$2)/7)+1&gt;Assumptions!$C$3,"after W13",INT((P284-Assumptions!$C$2)/7)+1)</f>
        <v>after W13</v>
      </c>
      <c r="R284" s="38" t="n">
        <f aca="false">IF(AND(D284="Receipt",OR(G284="C01",G284="C02",G284="C03",G284="C04",G284="C07")),WORKDAY(N284+IF(G284="C01",Assumptions!$C$14,Assumptions!$C$15)-1,1),N284)</f>
        <v>46401</v>
      </c>
      <c r="S284" s="11" t="str">
        <f aca="false">IF(INT((R284-Assumptions!$C$2)/7)+1&gt;Assumptions!$C$3,"after W13",INT((R284-Assumptions!$C$2)/7)+1)</f>
        <v>after W13</v>
      </c>
      <c r="T284" s="11" t="s">
        <v>864</v>
      </c>
      <c r="U284" s="11" t="s">
        <v>275</v>
      </c>
      <c r="V284" s="11" t="s">
        <v>283</v>
      </c>
    </row>
    <row r="285" customFormat="false" ht="15" hidden="false" customHeight="false" outlineLevel="0" collapsed="false">
      <c r="A285" s="11" t="s">
        <v>938</v>
      </c>
      <c r="B285" s="11" t="s">
        <v>49</v>
      </c>
      <c r="C285" s="11" t="s">
        <v>939</v>
      </c>
      <c r="D285" s="11" t="s">
        <v>278</v>
      </c>
      <c r="E285" s="11" t="s">
        <v>286</v>
      </c>
      <c r="F285" s="11" t="s">
        <v>331</v>
      </c>
      <c r="G285" s="11" t="s">
        <v>332</v>
      </c>
      <c r="H285" s="37" t="n">
        <v>12324</v>
      </c>
      <c r="I285" s="26" t="n">
        <v>1</v>
      </c>
      <c r="J285" s="37" t="n">
        <f aca="false">H285*I285</f>
        <v>12324</v>
      </c>
      <c r="K285" s="38" t="n">
        <v>46377</v>
      </c>
      <c r="L285" s="11" t="n">
        <v>0</v>
      </c>
      <c r="M285" s="11" t="n">
        <v>25</v>
      </c>
      <c r="N285" s="38" t="n">
        <v>46402</v>
      </c>
      <c r="O285" s="11" t="str">
        <f aca="false">IF(INT((N285-Assumptions!$C$2)/7)+1&gt;Assumptions!$C$3,"after W13",INT((N285-Assumptions!$C$2)/7)+1)</f>
        <v>after W13</v>
      </c>
      <c r="P285" s="38" t="n">
        <f aca="false">IF(AND(D285="Receipt",G285="C01"),WORKDAY(N285+Assumptions!$C$14-1,1),N285)</f>
        <v>46402</v>
      </c>
      <c r="Q285" s="11" t="str">
        <f aca="false">IF(INT((P285-Assumptions!$C$2)/7)+1&gt;Assumptions!$C$3,"after W13",INT((P285-Assumptions!$C$2)/7)+1)</f>
        <v>after W13</v>
      </c>
      <c r="R285" s="38" t="n">
        <f aca="false">IF(AND(D285="Receipt",OR(G285="C01",G285="C02",G285="C03",G285="C04",G285="C07")),WORKDAY(N285+IF(G285="C01",Assumptions!$C$14,Assumptions!$C$15)-1,1),N285)</f>
        <v>46419</v>
      </c>
      <c r="S285" s="11" t="str">
        <f aca="false">IF(INT((R285-Assumptions!$C$2)/7)+1&gt;Assumptions!$C$3,"after W13",INT((R285-Assumptions!$C$2)/7)+1)</f>
        <v>after W13</v>
      </c>
      <c r="T285" s="11" t="s">
        <v>538</v>
      </c>
      <c r="U285" s="11" t="s">
        <v>275</v>
      </c>
      <c r="V285" s="11" t="s">
        <v>283</v>
      </c>
    </row>
    <row r="286" customFormat="false" ht="15" hidden="false" customHeight="false" outlineLevel="0" collapsed="false">
      <c r="A286" s="11" t="s">
        <v>940</v>
      </c>
      <c r="B286" s="11" t="s">
        <v>49</v>
      </c>
      <c r="C286" s="11" t="s">
        <v>941</v>
      </c>
      <c r="D286" s="11" t="s">
        <v>278</v>
      </c>
      <c r="E286" s="11" t="s">
        <v>286</v>
      </c>
      <c r="F286" s="11" t="s">
        <v>349</v>
      </c>
      <c r="G286" s="11" t="s">
        <v>350</v>
      </c>
      <c r="H286" s="37" t="n">
        <v>15468</v>
      </c>
      <c r="I286" s="26" t="n">
        <v>1</v>
      </c>
      <c r="J286" s="37" t="n">
        <f aca="false">H286*I286</f>
        <v>15468</v>
      </c>
      <c r="K286" s="38" t="n">
        <v>46392</v>
      </c>
      <c r="L286" s="11" t="n">
        <v>0</v>
      </c>
      <c r="M286" s="11" t="n">
        <v>10</v>
      </c>
      <c r="N286" s="38" t="n">
        <v>46402</v>
      </c>
      <c r="O286" s="11" t="str">
        <f aca="false">IF(INT((N286-Assumptions!$C$2)/7)+1&gt;Assumptions!$C$3,"after W13",INT((N286-Assumptions!$C$2)/7)+1)</f>
        <v>after W13</v>
      </c>
      <c r="P286" s="38" t="n">
        <f aca="false">IF(AND(D286="Receipt",G286="C01"),WORKDAY(N286+Assumptions!$C$14-1,1),N286)</f>
        <v>46402</v>
      </c>
      <c r="Q286" s="11" t="str">
        <f aca="false">IF(INT((P286-Assumptions!$C$2)/7)+1&gt;Assumptions!$C$3,"after W13",INT((P286-Assumptions!$C$2)/7)+1)</f>
        <v>after W13</v>
      </c>
      <c r="R286" s="38" t="n">
        <f aca="false">IF(AND(D286="Receipt",OR(G286="C01",G286="C02",G286="C03",G286="C04",G286="C07")),WORKDAY(N286+IF(G286="C01",Assumptions!$C$14,Assumptions!$C$15)-1,1),N286)</f>
        <v>46419</v>
      </c>
      <c r="S286" s="11" t="str">
        <f aca="false">IF(INT((R286-Assumptions!$C$2)/7)+1&gt;Assumptions!$C$3,"after W13",INT((R286-Assumptions!$C$2)/7)+1)</f>
        <v>after W13</v>
      </c>
      <c r="T286" s="11" t="s">
        <v>538</v>
      </c>
      <c r="U286" s="11" t="s">
        <v>275</v>
      </c>
      <c r="V286" s="11" t="s">
        <v>283</v>
      </c>
    </row>
    <row r="287" customFormat="false" ht="15" hidden="false" customHeight="false" outlineLevel="0" collapsed="false">
      <c r="A287" s="11" t="s">
        <v>942</v>
      </c>
      <c r="B287" s="11" t="s">
        <v>49</v>
      </c>
      <c r="C287" s="11" t="s">
        <v>943</v>
      </c>
      <c r="D287" s="11" t="s">
        <v>278</v>
      </c>
      <c r="E287" s="11" t="s">
        <v>297</v>
      </c>
      <c r="F287" s="11" t="s">
        <v>298</v>
      </c>
      <c r="G287" s="11" t="s">
        <v>299</v>
      </c>
      <c r="H287" s="37" t="n">
        <v>15950</v>
      </c>
      <c r="I287" s="26" t="n">
        <v>1</v>
      </c>
      <c r="J287" s="37" t="n">
        <f aca="false">H287*I287</f>
        <v>15950</v>
      </c>
      <c r="K287" s="38" t="n">
        <v>46396</v>
      </c>
      <c r="L287" s="11" t="n">
        <v>0</v>
      </c>
      <c r="M287" s="11" t="n">
        <v>6</v>
      </c>
      <c r="N287" s="38" t="n">
        <v>46402</v>
      </c>
      <c r="O287" s="11" t="str">
        <f aca="false">IF(INT((N287-Assumptions!$C$2)/7)+1&gt;Assumptions!$C$3,"after W13",INT((N287-Assumptions!$C$2)/7)+1)</f>
        <v>after W13</v>
      </c>
      <c r="P287" s="38" t="n">
        <f aca="false">IF(AND(D287="Receipt",G287="C01"),WORKDAY(N287+Assumptions!$C$14-1,1),N287)</f>
        <v>46402</v>
      </c>
      <c r="Q287" s="11" t="str">
        <f aca="false">IF(INT((P287-Assumptions!$C$2)/7)+1&gt;Assumptions!$C$3,"after W13",INT((P287-Assumptions!$C$2)/7)+1)</f>
        <v>after W13</v>
      </c>
      <c r="R287" s="38" t="n">
        <f aca="false">IF(AND(D287="Receipt",OR(G287="C01",G287="C02",G287="C03",G287="C04",G287="C07")),WORKDAY(N287+IF(G287="C01",Assumptions!$C$14,Assumptions!$C$15)-1,1),N287)</f>
        <v>46402</v>
      </c>
      <c r="S287" s="11" t="str">
        <f aca="false">IF(INT((R287-Assumptions!$C$2)/7)+1&gt;Assumptions!$C$3,"after W13",INT((R287-Assumptions!$C$2)/7)+1)</f>
        <v>after W13</v>
      </c>
      <c r="T287" s="11" t="s">
        <v>538</v>
      </c>
      <c r="U287" s="11" t="s">
        <v>275</v>
      </c>
      <c r="V287" s="11" t="s">
        <v>283</v>
      </c>
    </row>
    <row r="288" customFormat="false" ht="15" hidden="false" customHeight="false" outlineLevel="0" collapsed="false">
      <c r="A288" s="11" t="s">
        <v>944</v>
      </c>
      <c r="B288" s="11" t="s">
        <v>49</v>
      </c>
      <c r="C288" s="11" t="s">
        <v>945</v>
      </c>
      <c r="D288" s="11" t="s">
        <v>278</v>
      </c>
      <c r="E288" s="11" t="s">
        <v>286</v>
      </c>
      <c r="F288" s="11" t="s">
        <v>327</v>
      </c>
      <c r="G288" s="11" t="s">
        <v>328</v>
      </c>
      <c r="H288" s="37" t="n">
        <v>12096</v>
      </c>
      <c r="I288" s="26" t="n">
        <v>1</v>
      </c>
      <c r="J288" s="37" t="n">
        <f aca="false">H288*I288</f>
        <v>12096</v>
      </c>
      <c r="K288" s="38" t="n">
        <v>46383</v>
      </c>
      <c r="L288" s="11" t="n">
        <v>0</v>
      </c>
      <c r="M288" s="11" t="n">
        <v>21</v>
      </c>
      <c r="N288" s="38" t="n">
        <v>46405</v>
      </c>
      <c r="O288" s="11" t="str">
        <f aca="false">IF(INT((N288-Assumptions!$C$2)/7)+1&gt;Assumptions!$C$3,"after W13",INT((N288-Assumptions!$C$2)/7)+1)</f>
        <v>after W13</v>
      </c>
      <c r="P288" s="38" t="n">
        <f aca="false">IF(AND(D288="Receipt",G288="C01"),WORKDAY(N288+Assumptions!$C$14-1,1),N288)</f>
        <v>46405</v>
      </c>
      <c r="Q288" s="11" t="str">
        <f aca="false">IF(INT((P288-Assumptions!$C$2)/7)+1&gt;Assumptions!$C$3,"after W13",INT((P288-Assumptions!$C$2)/7)+1)</f>
        <v>after W13</v>
      </c>
      <c r="R288" s="38" t="n">
        <f aca="false">IF(AND(D288="Receipt",OR(G288="C01",G288="C02",G288="C03",G288="C04",G288="C07")),WORKDAY(N288+IF(G288="C01",Assumptions!$C$14,Assumptions!$C$15)-1,1),N288)</f>
        <v>46420</v>
      </c>
      <c r="S288" s="11" t="str">
        <f aca="false">IF(INT((R288-Assumptions!$C$2)/7)+1&gt;Assumptions!$C$3,"after W13",INT((R288-Assumptions!$C$2)/7)+1)</f>
        <v>after W13</v>
      </c>
      <c r="T288" s="11" t="s">
        <v>538</v>
      </c>
      <c r="U288" s="11" t="s">
        <v>275</v>
      </c>
      <c r="V288" s="11" t="s">
        <v>283</v>
      </c>
    </row>
    <row r="289" customFormat="false" ht="15" hidden="false" customHeight="false" outlineLevel="0" collapsed="false">
      <c r="A289" s="11" t="s">
        <v>946</v>
      </c>
      <c r="B289" s="11" t="s">
        <v>49</v>
      </c>
      <c r="C289" s="11" t="s">
        <v>947</v>
      </c>
      <c r="D289" s="11" t="s">
        <v>278</v>
      </c>
      <c r="E289" s="11" t="s">
        <v>297</v>
      </c>
      <c r="F289" s="11" t="s">
        <v>298</v>
      </c>
      <c r="G289" s="11" t="s">
        <v>299</v>
      </c>
      <c r="H289" s="37" t="n">
        <v>5130</v>
      </c>
      <c r="I289" s="26" t="n">
        <v>1</v>
      </c>
      <c r="J289" s="37" t="n">
        <f aca="false">H289*I289</f>
        <v>5130</v>
      </c>
      <c r="K289" s="38" t="n">
        <v>46399</v>
      </c>
      <c r="L289" s="11" t="n">
        <v>0</v>
      </c>
      <c r="M289" s="11" t="n">
        <v>6</v>
      </c>
      <c r="N289" s="38" t="n">
        <v>46405</v>
      </c>
      <c r="O289" s="11" t="str">
        <f aca="false">IF(INT((N289-Assumptions!$C$2)/7)+1&gt;Assumptions!$C$3,"after W13",INT((N289-Assumptions!$C$2)/7)+1)</f>
        <v>after W13</v>
      </c>
      <c r="P289" s="38" t="n">
        <f aca="false">IF(AND(D289="Receipt",G289="C01"),WORKDAY(N289+Assumptions!$C$14-1,1),N289)</f>
        <v>46405</v>
      </c>
      <c r="Q289" s="11" t="str">
        <f aca="false">IF(INT((P289-Assumptions!$C$2)/7)+1&gt;Assumptions!$C$3,"after W13",INT((P289-Assumptions!$C$2)/7)+1)</f>
        <v>after W13</v>
      </c>
      <c r="R289" s="38" t="n">
        <f aca="false">IF(AND(D289="Receipt",OR(G289="C01",G289="C02",G289="C03",G289="C04",G289="C07")),WORKDAY(N289+IF(G289="C01",Assumptions!$C$14,Assumptions!$C$15)-1,1),N289)</f>
        <v>46405</v>
      </c>
      <c r="S289" s="11" t="str">
        <f aca="false">IF(INT((R289-Assumptions!$C$2)/7)+1&gt;Assumptions!$C$3,"after W13",INT((R289-Assumptions!$C$2)/7)+1)</f>
        <v>after W13</v>
      </c>
      <c r="T289" s="11" t="s">
        <v>538</v>
      </c>
      <c r="U289" s="11" t="s">
        <v>275</v>
      </c>
      <c r="V289" s="11" t="s">
        <v>283</v>
      </c>
    </row>
    <row r="290" customFormat="false" ht="15" hidden="false" customHeight="false" outlineLevel="0" collapsed="false">
      <c r="A290" s="11" t="s">
        <v>948</v>
      </c>
      <c r="B290" s="11" t="s">
        <v>49</v>
      </c>
      <c r="C290" s="11" t="s">
        <v>949</v>
      </c>
      <c r="D290" s="11" t="s">
        <v>278</v>
      </c>
      <c r="E290" s="11" t="s">
        <v>279</v>
      </c>
      <c r="F290" s="11" t="s">
        <v>335</v>
      </c>
      <c r="G290" s="11" t="s">
        <v>336</v>
      </c>
      <c r="H290" s="37" t="n">
        <v>3912</v>
      </c>
      <c r="I290" s="39" t="n">
        <f aca="false">Assumptions!$C$9</f>
        <v>0.8</v>
      </c>
      <c r="J290" s="37" t="n">
        <f aca="false">H290*I290</f>
        <v>3129.6</v>
      </c>
      <c r="K290" s="38" t="n">
        <v>46398</v>
      </c>
      <c r="L290" s="11" t="n">
        <v>0</v>
      </c>
      <c r="M290" s="11" t="n">
        <v>7</v>
      </c>
      <c r="N290" s="38" t="n">
        <v>46405</v>
      </c>
      <c r="O290" s="11" t="str">
        <f aca="false">IF(INT((N290-Assumptions!$C$2)/7)+1&gt;Assumptions!$C$3,"after W13",INT((N290-Assumptions!$C$2)/7)+1)</f>
        <v>after W13</v>
      </c>
      <c r="P290" s="38" t="n">
        <f aca="false">IF(AND(D290="Receipt",G290="C01"),WORKDAY(N290+Assumptions!$C$14-1,1),N290)</f>
        <v>46405</v>
      </c>
      <c r="Q290" s="11" t="str">
        <f aca="false">IF(INT((P290-Assumptions!$C$2)/7)+1&gt;Assumptions!$C$3,"after W13",INT((P290-Assumptions!$C$2)/7)+1)</f>
        <v>after W13</v>
      </c>
      <c r="R290" s="38" t="n">
        <f aca="false">IF(AND(D290="Receipt",OR(G290="C01",G290="C02",G290="C03",G290="C04",G290="C07")),WORKDAY(N290+IF(G290="C01",Assumptions!$C$14,Assumptions!$C$15)-1,1),N290)</f>
        <v>46405</v>
      </c>
      <c r="S290" s="11" t="str">
        <f aca="false">IF(INT((R290-Assumptions!$C$2)/7)+1&gt;Assumptions!$C$3,"after W13",INT((R290-Assumptions!$C$2)/7)+1)</f>
        <v>after W13</v>
      </c>
      <c r="T290" s="11" t="s">
        <v>864</v>
      </c>
      <c r="U290" s="11" t="s">
        <v>275</v>
      </c>
      <c r="V290" s="11" t="s">
        <v>283</v>
      </c>
    </row>
    <row r="291" customFormat="false" ht="15" hidden="false" customHeight="false" outlineLevel="0" collapsed="false">
      <c r="A291" s="11" t="s">
        <v>950</v>
      </c>
      <c r="B291" s="11" t="s">
        <v>49</v>
      </c>
      <c r="C291" s="11" t="s">
        <v>951</v>
      </c>
      <c r="D291" s="11" t="s">
        <v>278</v>
      </c>
      <c r="E291" s="11" t="s">
        <v>279</v>
      </c>
      <c r="F291" s="11" t="s">
        <v>335</v>
      </c>
      <c r="G291" s="11" t="s">
        <v>336</v>
      </c>
      <c r="H291" s="37" t="n">
        <v>7932</v>
      </c>
      <c r="I291" s="39" t="n">
        <f aca="false">Assumptions!$C$9</f>
        <v>0.8</v>
      </c>
      <c r="J291" s="37" t="n">
        <f aca="false">H291*I291</f>
        <v>6345.6</v>
      </c>
      <c r="K291" s="38" t="n">
        <v>46398</v>
      </c>
      <c r="L291" s="11" t="n">
        <v>0</v>
      </c>
      <c r="M291" s="11" t="n">
        <v>7</v>
      </c>
      <c r="N291" s="38" t="n">
        <v>46405</v>
      </c>
      <c r="O291" s="11" t="str">
        <f aca="false">IF(INT((N291-Assumptions!$C$2)/7)+1&gt;Assumptions!$C$3,"after W13",INT((N291-Assumptions!$C$2)/7)+1)</f>
        <v>after W13</v>
      </c>
      <c r="P291" s="38" t="n">
        <f aca="false">IF(AND(D291="Receipt",G291="C01"),WORKDAY(N291+Assumptions!$C$14-1,1),N291)</f>
        <v>46405</v>
      </c>
      <c r="Q291" s="11" t="str">
        <f aca="false">IF(INT((P291-Assumptions!$C$2)/7)+1&gt;Assumptions!$C$3,"after W13",INT((P291-Assumptions!$C$2)/7)+1)</f>
        <v>after W13</v>
      </c>
      <c r="R291" s="38" t="n">
        <f aca="false">IF(AND(D291="Receipt",OR(G291="C01",G291="C02",G291="C03",G291="C04",G291="C07")),WORKDAY(N291+IF(G291="C01",Assumptions!$C$14,Assumptions!$C$15)-1,1),N291)</f>
        <v>46405</v>
      </c>
      <c r="S291" s="11" t="str">
        <f aca="false">IF(INT((R291-Assumptions!$C$2)/7)+1&gt;Assumptions!$C$3,"after W13",INT((R291-Assumptions!$C$2)/7)+1)</f>
        <v>after W13</v>
      </c>
      <c r="T291" s="11" t="s">
        <v>864</v>
      </c>
      <c r="U291" s="11" t="s">
        <v>275</v>
      </c>
      <c r="V291" s="11" t="s">
        <v>283</v>
      </c>
    </row>
    <row r="292" customFormat="false" ht="15" hidden="false" customHeight="false" outlineLevel="0" collapsed="false">
      <c r="A292" s="11" t="s">
        <v>952</v>
      </c>
      <c r="B292" s="11" t="s">
        <v>49</v>
      </c>
      <c r="C292" s="11" t="s">
        <v>953</v>
      </c>
      <c r="D292" s="11" t="s">
        <v>278</v>
      </c>
      <c r="E292" s="11" t="s">
        <v>279</v>
      </c>
      <c r="F292" s="11" t="s">
        <v>335</v>
      </c>
      <c r="G292" s="11" t="s">
        <v>336</v>
      </c>
      <c r="H292" s="37" t="n">
        <v>7848</v>
      </c>
      <c r="I292" s="39" t="n">
        <f aca="false">Assumptions!$C$9</f>
        <v>0.8</v>
      </c>
      <c r="J292" s="37" t="n">
        <f aca="false">H292*I292</f>
        <v>6278.4</v>
      </c>
      <c r="K292" s="38" t="n">
        <v>46398</v>
      </c>
      <c r="L292" s="11" t="n">
        <v>0</v>
      </c>
      <c r="M292" s="11" t="n">
        <v>7</v>
      </c>
      <c r="N292" s="38" t="n">
        <v>46405</v>
      </c>
      <c r="O292" s="11" t="str">
        <f aca="false">IF(INT((N292-Assumptions!$C$2)/7)+1&gt;Assumptions!$C$3,"after W13",INT((N292-Assumptions!$C$2)/7)+1)</f>
        <v>after W13</v>
      </c>
      <c r="P292" s="38" t="n">
        <f aca="false">IF(AND(D292="Receipt",G292="C01"),WORKDAY(N292+Assumptions!$C$14-1,1),N292)</f>
        <v>46405</v>
      </c>
      <c r="Q292" s="11" t="str">
        <f aca="false">IF(INT((P292-Assumptions!$C$2)/7)+1&gt;Assumptions!$C$3,"after W13",INT((P292-Assumptions!$C$2)/7)+1)</f>
        <v>after W13</v>
      </c>
      <c r="R292" s="38" t="n">
        <f aca="false">IF(AND(D292="Receipt",OR(G292="C01",G292="C02",G292="C03",G292="C04",G292="C07")),WORKDAY(N292+IF(G292="C01",Assumptions!$C$14,Assumptions!$C$15)-1,1),N292)</f>
        <v>46405</v>
      </c>
      <c r="S292" s="11" t="str">
        <f aca="false">IF(INT((R292-Assumptions!$C$2)/7)+1&gt;Assumptions!$C$3,"after W13",INT((R292-Assumptions!$C$2)/7)+1)</f>
        <v>after W13</v>
      </c>
      <c r="T292" s="11" t="s">
        <v>864</v>
      </c>
      <c r="U292" s="11" t="s">
        <v>275</v>
      </c>
      <c r="V292" s="11" t="s">
        <v>283</v>
      </c>
    </row>
    <row r="293" customFormat="false" ht="15" hidden="false" customHeight="false" outlineLevel="0" collapsed="false">
      <c r="A293" s="11" t="s">
        <v>954</v>
      </c>
      <c r="B293" s="11" t="s">
        <v>49</v>
      </c>
      <c r="C293" s="11" t="s">
        <v>955</v>
      </c>
      <c r="D293" s="11" t="s">
        <v>278</v>
      </c>
      <c r="E293" s="11" t="s">
        <v>279</v>
      </c>
      <c r="F293" s="11" t="s">
        <v>280</v>
      </c>
      <c r="G293" s="11" t="s">
        <v>281</v>
      </c>
      <c r="H293" s="37" t="n">
        <v>6732</v>
      </c>
      <c r="I293" s="39" t="n">
        <f aca="false">Assumptions!$C$9</f>
        <v>0.8</v>
      </c>
      <c r="J293" s="37" t="n">
        <f aca="false">H293*I293</f>
        <v>5385.6</v>
      </c>
      <c r="K293" s="38" t="n">
        <v>46405</v>
      </c>
      <c r="L293" s="11" t="n">
        <v>0</v>
      </c>
      <c r="M293" s="11" t="n">
        <v>0</v>
      </c>
      <c r="N293" s="38" t="n">
        <v>46405</v>
      </c>
      <c r="O293" s="11" t="str">
        <f aca="false">IF(INT((N293-Assumptions!$C$2)/7)+1&gt;Assumptions!$C$3,"after W13",INT((N293-Assumptions!$C$2)/7)+1)</f>
        <v>after W13</v>
      </c>
      <c r="P293" s="38" t="n">
        <f aca="false">IF(AND(D293="Receipt",G293="C01"),WORKDAY(N293+Assumptions!$C$14-1,1),N293)</f>
        <v>46405</v>
      </c>
      <c r="Q293" s="11" t="str">
        <f aca="false">IF(INT((P293-Assumptions!$C$2)/7)+1&gt;Assumptions!$C$3,"after W13",INT((P293-Assumptions!$C$2)/7)+1)</f>
        <v>after W13</v>
      </c>
      <c r="R293" s="38" t="n">
        <f aca="false">IF(AND(D293="Receipt",OR(G293="C01",G293="C02",G293="C03",G293="C04",G293="C07")),WORKDAY(N293+IF(G293="C01",Assumptions!$C$14,Assumptions!$C$15)-1,1),N293)</f>
        <v>46405</v>
      </c>
      <c r="S293" s="11" t="str">
        <f aca="false">IF(INT((R293-Assumptions!$C$2)/7)+1&gt;Assumptions!$C$3,"after W13",INT((R293-Assumptions!$C$2)/7)+1)</f>
        <v>after W13</v>
      </c>
      <c r="T293" s="11" t="s">
        <v>864</v>
      </c>
      <c r="U293" s="11" t="s">
        <v>275</v>
      </c>
      <c r="V293" s="11" t="s">
        <v>283</v>
      </c>
    </row>
    <row r="294" customFormat="false" ht="15" hidden="false" customHeight="false" outlineLevel="0" collapsed="false">
      <c r="A294" s="11" t="s">
        <v>956</v>
      </c>
      <c r="B294" s="11" t="s">
        <v>49</v>
      </c>
      <c r="C294" s="11" t="s">
        <v>957</v>
      </c>
      <c r="D294" s="11" t="s">
        <v>278</v>
      </c>
      <c r="E294" s="11" t="s">
        <v>398</v>
      </c>
      <c r="F294" s="11" t="s">
        <v>399</v>
      </c>
      <c r="G294" s="11" t="s">
        <v>400</v>
      </c>
      <c r="H294" s="37" t="n">
        <v>20088</v>
      </c>
      <c r="I294" s="39" t="n">
        <f aca="false">Assumptions!$C$9</f>
        <v>0.8</v>
      </c>
      <c r="J294" s="37" t="n">
        <f aca="false">H294*I294</f>
        <v>16070.4</v>
      </c>
      <c r="K294" s="38" t="n">
        <v>46397</v>
      </c>
      <c r="L294" s="11" t="n">
        <v>0</v>
      </c>
      <c r="M294" s="11" t="n">
        <v>8.5</v>
      </c>
      <c r="N294" s="38" t="n">
        <v>46405</v>
      </c>
      <c r="O294" s="11" t="str">
        <f aca="false">IF(INT((N294-Assumptions!$C$2)/7)+1&gt;Assumptions!$C$3,"after W13",INT((N294-Assumptions!$C$2)/7)+1)</f>
        <v>after W13</v>
      </c>
      <c r="P294" s="38" t="n">
        <f aca="false">IF(AND(D294="Receipt",G294="C01"),WORKDAY(N294+Assumptions!$C$14-1,1),N294)</f>
        <v>46405</v>
      </c>
      <c r="Q294" s="11" t="str">
        <f aca="false">IF(INT((P294-Assumptions!$C$2)/7)+1&gt;Assumptions!$C$3,"after W13",INT((P294-Assumptions!$C$2)/7)+1)</f>
        <v>after W13</v>
      </c>
      <c r="R294" s="38" t="n">
        <f aca="false">IF(AND(D294="Receipt",OR(G294="C01",G294="C02",G294="C03",G294="C04",G294="C07")),WORKDAY(N294+IF(G294="C01",Assumptions!$C$14,Assumptions!$C$15)-1,1),N294)</f>
        <v>46405</v>
      </c>
      <c r="S294" s="11" t="str">
        <f aca="false">IF(INT((R294-Assumptions!$C$2)/7)+1&gt;Assumptions!$C$3,"after W13",INT((R294-Assumptions!$C$2)/7)+1)</f>
        <v>after W13</v>
      </c>
      <c r="T294" s="11" t="s">
        <v>864</v>
      </c>
      <c r="U294" s="11" t="s">
        <v>275</v>
      </c>
      <c r="V294" s="11" t="s">
        <v>283</v>
      </c>
    </row>
    <row r="295" customFormat="false" ht="15" hidden="false" customHeight="false" outlineLevel="0" collapsed="false">
      <c r="A295" s="11" t="s">
        <v>958</v>
      </c>
      <c r="B295" s="11" t="s">
        <v>49</v>
      </c>
      <c r="C295" s="11" t="s">
        <v>959</v>
      </c>
      <c r="D295" s="11" t="s">
        <v>278</v>
      </c>
      <c r="E295" s="11" t="s">
        <v>286</v>
      </c>
      <c r="F295" s="11" t="s">
        <v>287</v>
      </c>
      <c r="G295" s="11" t="s">
        <v>288</v>
      </c>
      <c r="H295" s="37" t="n">
        <v>3732</v>
      </c>
      <c r="I295" s="39" t="n">
        <f aca="false">Assumptions!$C$9</f>
        <v>0.8</v>
      </c>
      <c r="J295" s="37" t="n">
        <f aca="false">H295*I295</f>
        <v>2985.6</v>
      </c>
      <c r="K295" s="38" t="n">
        <v>46404</v>
      </c>
      <c r="L295" s="11" t="n">
        <v>0</v>
      </c>
      <c r="M295" s="11" t="n">
        <v>3</v>
      </c>
      <c r="N295" s="38" t="n">
        <v>46407</v>
      </c>
      <c r="O295" s="11" t="str">
        <f aca="false">IF(INT((N295-Assumptions!$C$2)/7)+1&gt;Assumptions!$C$3,"after W13",INT((N295-Assumptions!$C$2)/7)+1)</f>
        <v>after W13</v>
      </c>
      <c r="P295" s="38" t="n">
        <f aca="false">IF(AND(D295="Receipt",G295="C01"),WORKDAY(N295+Assumptions!$C$14-1,1),N295)</f>
        <v>46407</v>
      </c>
      <c r="Q295" s="11" t="str">
        <f aca="false">IF(INT((P295-Assumptions!$C$2)/7)+1&gt;Assumptions!$C$3,"after W13",INT((P295-Assumptions!$C$2)/7)+1)</f>
        <v>after W13</v>
      </c>
      <c r="R295" s="38" t="n">
        <f aca="false">IF(AND(D295="Receipt",OR(G295="C01",G295="C02",G295="C03",G295="C04",G295="C07")),WORKDAY(N295+IF(G295="C01",Assumptions!$C$14,Assumptions!$C$15)-1,1),N295)</f>
        <v>46422</v>
      </c>
      <c r="S295" s="11" t="str">
        <f aca="false">IF(INT((R295-Assumptions!$C$2)/7)+1&gt;Assumptions!$C$3,"after W13",INT((R295-Assumptions!$C$2)/7)+1)</f>
        <v>after W13</v>
      </c>
      <c r="T295" s="11" t="s">
        <v>864</v>
      </c>
      <c r="U295" s="11" t="s">
        <v>275</v>
      </c>
      <c r="V295" s="11" t="s">
        <v>283</v>
      </c>
    </row>
    <row r="296" customFormat="false" ht="15" hidden="false" customHeight="false" outlineLevel="0" collapsed="false">
      <c r="A296" s="11" t="s">
        <v>960</v>
      </c>
      <c r="B296" s="11" t="s">
        <v>49</v>
      </c>
      <c r="C296" s="11" t="s">
        <v>961</v>
      </c>
      <c r="D296" s="11" t="s">
        <v>278</v>
      </c>
      <c r="E296" s="11" t="s">
        <v>286</v>
      </c>
      <c r="F296" s="11" t="s">
        <v>287</v>
      </c>
      <c r="G296" s="11" t="s">
        <v>288</v>
      </c>
      <c r="H296" s="37" t="n">
        <v>2928</v>
      </c>
      <c r="I296" s="39" t="n">
        <f aca="false">Assumptions!$C$9</f>
        <v>0.8</v>
      </c>
      <c r="J296" s="37" t="n">
        <f aca="false">H296*I296</f>
        <v>2342.4</v>
      </c>
      <c r="K296" s="38" t="n">
        <v>46404</v>
      </c>
      <c r="L296" s="11" t="n">
        <v>0</v>
      </c>
      <c r="M296" s="11" t="n">
        <v>3</v>
      </c>
      <c r="N296" s="38" t="n">
        <v>46407</v>
      </c>
      <c r="O296" s="11" t="str">
        <f aca="false">IF(INT((N296-Assumptions!$C$2)/7)+1&gt;Assumptions!$C$3,"after W13",INT((N296-Assumptions!$C$2)/7)+1)</f>
        <v>after W13</v>
      </c>
      <c r="P296" s="38" t="n">
        <f aca="false">IF(AND(D296="Receipt",G296="C01"),WORKDAY(N296+Assumptions!$C$14-1,1),N296)</f>
        <v>46407</v>
      </c>
      <c r="Q296" s="11" t="str">
        <f aca="false">IF(INT((P296-Assumptions!$C$2)/7)+1&gt;Assumptions!$C$3,"after W13",INT((P296-Assumptions!$C$2)/7)+1)</f>
        <v>after W13</v>
      </c>
      <c r="R296" s="38" t="n">
        <f aca="false">IF(AND(D296="Receipt",OR(G296="C01",G296="C02",G296="C03",G296="C04",G296="C07")),WORKDAY(N296+IF(G296="C01",Assumptions!$C$14,Assumptions!$C$15)-1,1),N296)</f>
        <v>46422</v>
      </c>
      <c r="S296" s="11" t="str">
        <f aca="false">IF(INT((R296-Assumptions!$C$2)/7)+1&gt;Assumptions!$C$3,"after W13",INT((R296-Assumptions!$C$2)/7)+1)</f>
        <v>after W13</v>
      </c>
      <c r="T296" s="11" t="s">
        <v>864</v>
      </c>
      <c r="U296" s="11" t="s">
        <v>275</v>
      </c>
      <c r="V296" s="11" t="s">
        <v>283</v>
      </c>
    </row>
    <row r="297" customFormat="false" ht="15" hidden="false" customHeight="false" outlineLevel="0" collapsed="false">
      <c r="A297" s="11" t="s">
        <v>962</v>
      </c>
      <c r="B297" s="11" t="s">
        <v>49</v>
      </c>
      <c r="C297" s="11" t="s">
        <v>963</v>
      </c>
      <c r="D297" s="11" t="s">
        <v>278</v>
      </c>
      <c r="E297" s="11" t="s">
        <v>286</v>
      </c>
      <c r="F297" s="11" t="s">
        <v>331</v>
      </c>
      <c r="G297" s="11" t="s">
        <v>332</v>
      </c>
      <c r="H297" s="37" t="n">
        <v>17988</v>
      </c>
      <c r="I297" s="26" t="n">
        <v>1</v>
      </c>
      <c r="J297" s="37" t="n">
        <f aca="false">H297*I297</f>
        <v>17988</v>
      </c>
      <c r="K297" s="38" t="n">
        <v>46383</v>
      </c>
      <c r="L297" s="11" t="n">
        <v>0</v>
      </c>
      <c r="M297" s="11" t="n">
        <v>25</v>
      </c>
      <c r="N297" s="38" t="n">
        <v>46408</v>
      </c>
      <c r="O297" s="11" t="str">
        <f aca="false">IF(INT((N297-Assumptions!$C$2)/7)+1&gt;Assumptions!$C$3,"after W13",INT((N297-Assumptions!$C$2)/7)+1)</f>
        <v>after W13</v>
      </c>
      <c r="P297" s="38" t="n">
        <f aca="false">IF(AND(D297="Receipt",G297="C01"),WORKDAY(N297+Assumptions!$C$14-1,1),N297)</f>
        <v>46408</v>
      </c>
      <c r="Q297" s="11" t="str">
        <f aca="false">IF(INT((P297-Assumptions!$C$2)/7)+1&gt;Assumptions!$C$3,"after W13",INT((P297-Assumptions!$C$2)/7)+1)</f>
        <v>after W13</v>
      </c>
      <c r="R297" s="38" t="n">
        <f aca="false">IF(AND(D297="Receipt",OR(G297="C01",G297="C02",G297="C03",G297="C04",G297="C07")),WORKDAY(N297+IF(G297="C01",Assumptions!$C$14,Assumptions!$C$15)-1,1),N297)</f>
        <v>46423</v>
      </c>
      <c r="S297" s="11" t="str">
        <f aca="false">IF(INT((R297-Assumptions!$C$2)/7)+1&gt;Assumptions!$C$3,"after W13",INT((R297-Assumptions!$C$2)/7)+1)</f>
        <v>after W13</v>
      </c>
      <c r="T297" s="11" t="s">
        <v>538</v>
      </c>
      <c r="U297" s="11" t="s">
        <v>275</v>
      </c>
      <c r="V297" s="11" t="s">
        <v>283</v>
      </c>
    </row>
    <row r="298" customFormat="false" ht="15" hidden="false" customHeight="false" outlineLevel="0" collapsed="false">
      <c r="A298" s="11" t="s">
        <v>964</v>
      </c>
      <c r="B298" s="11" t="s">
        <v>49</v>
      </c>
      <c r="C298" s="11" t="s">
        <v>965</v>
      </c>
      <c r="D298" s="11" t="s">
        <v>278</v>
      </c>
      <c r="E298" s="11" t="s">
        <v>398</v>
      </c>
      <c r="F298" s="11" t="s">
        <v>399</v>
      </c>
      <c r="G298" s="11" t="s">
        <v>400</v>
      </c>
      <c r="H298" s="37" t="n">
        <v>18144</v>
      </c>
      <c r="I298" s="39" t="n">
        <f aca="false">Assumptions!$C$9</f>
        <v>0.8</v>
      </c>
      <c r="J298" s="37" t="n">
        <f aca="false">H298*I298</f>
        <v>14515.2</v>
      </c>
      <c r="K298" s="38" t="n">
        <v>46400</v>
      </c>
      <c r="L298" s="11" t="n">
        <v>0</v>
      </c>
      <c r="M298" s="11" t="n">
        <v>8.5</v>
      </c>
      <c r="N298" s="38" t="n">
        <v>46408</v>
      </c>
      <c r="O298" s="11" t="str">
        <f aca="false">IF(INT((N298-Assumptions!$C$2)/7)+1&gt;Assumptions!$C$3,"after W13",INT((N298-Assumptions!$C$2)/7)+1)</f>
        <v>after W13</v>
      </c>
      <c r="P298" s="38" t="n">
        <f aca="false">IF(AND(D298="Receipt",G298="C01"),WORKDAY(N298+Assumptions!$C$14-1,1),N298)</f>
        <v>46408</v>
      </c>
      <c r="Q298" s="11" t="str">
        <f aca="false">IF(INT((P298-Assumptions!$C$2)/7)+1&gt;Assumptions!$C$3,"after W13",INT((P298-Assumptions!$C$2)/7)+1)</f>
        <v>after W13</v>
      </c>
      <c r="R298" s="38" t="n">
        <f aca="false">IF(AND(D298="Receipt",OR(G298="C01",G298="C02",G298="C03",G298="C04",G298="C07")),WORKDAY(N298+IF(G298="C01",Assumptions!$C$14,Assumptions!$C$15)-1,1),N298)</f>
        <v>46408</v>
      </c>
      <c r="S298" s="11" t="str">
        <f aca="false">IF(INT((R298-Assumptions!$C$2)/7)+1&gt;Assumptions!$C$3,"after W13",INT((R298-Assumptions!$C$2)/7)+1)</f>
        <v>after W13</v>
      </c>
      <c r="T298" s="11" t="s">
        <v>864</v>
      </c>
      <c r="U298" s="11" t="s">
        <v>275</v>
      </c>
      <c r="V298" s="11" t="s">
        <v>283</v>
      </c>
    </row>
    <row r="299" customFormat="false" ht="15" hidden="false" customHeight="false" outlineLevel="0" collapsed="false">
      <c r="A299" s="11" t="s">
        <v>966</v>
      </c>
      <c r="B299" s="11" t="s">
        <v>49</v>
      </c>
      <c r="C299" s="11" t="s">
        <v>967</v>
      </c>
      <c r="D299" s="11" t="s">
        <v>278</v>
      </c>
      <c r="E299" s="11" t="s">
        <v>286</v>
      </c>
      <c r="F299" s="11" t="s">
        <v>349</v>
      </c>
      <c r="G299" s="11" t="s">
        <v>350</v>
      </c>
      <c r="H299" s="37" t="n">
        <v>10116</v>
      </c>
      <c r="I299" s="26" t="n">
        <v>1</v>
      </c>
      <c r="J299" s="37" t="n">
        <f aca="false">H299*I299</f>
        <v>10116</v>
      </c>
      <c r="K299" s="38" t="n">
        <v>46399</v>
      </c>
      <c r="L299" s="11" t="n">
        <v>0</v>
      </c>
      <c r="M299" s="11" t="n">
        <v>10</v>
      </c>
      <c r="N299" s="38" t="n">
        <v>46409</v>
      </c>
      <c r="O299" s="11" t="str">
        <f aca="false">IF(INT((N299-Assumptions!$C$2)/7)+1&gt;Assumptions!$C$3,"after W13",INT((N299-Assumptions!$C$2)/7)+1)</f>
        <v>after W13</v>
      </c>
      <c r="P299" s="38" t="n">
        <f aca="false">IF(AND(D299="Receipt",G299="C01"),WORKDAY(N299+Assumptions!$C$14-1,1),N299)</f>
        <v>46409</v>
      </c>
      <c r="Q299" s="11" t="str">
        <f aca="false">IF(INT((P299-Assumptions!$C$2)/7)+1&gt;Assumptions!$C$3,"after W13",INT((P299-Assumptions!$C$2)/7)+1)</f>
        <v>after W13</v>
      </c>
      <c r="R299" s="38" t="n">
        <f aca="false">IF(AND(D299="Receipt",OR(G299="C01",G299="C02",G299="C03",G299="C04",G299="C07")),WORKDAY(N299+IF(G299="C01",Assumptions!$C$14,Assumptions!$C$15)-1,1),N299)</f>
        <v>46426</v>
      </c>
      <c r="S299" s="11" t="str">
        <f aca="false">IF(INT((R299-Assumptions!$C$2)/7)+1&gt;Assumptions!$C$3,"after W13",INT((R299-Assumptions!$C$2)/7)+1)</f>
        <v>after W13</v>
      </c>
      <c r="T299" s="11" t="s">
        <v>538</v>
      </c>
      <c r="U299" s="11" t="s">
        <v>275</v>
      </c>
      <c r="V299" s="11" t="s">
        <v>283</v>
      </c>
    </row>
    <row r="300" customFormat="false" ht="15" hidden="false" customHeight="false" outlineLevel="0" collapsed="false">
      <c r="A300" s="11" t="s">
        <v>968</v>
      </c>
      <c r="B300" s="11" t="s">
        <v>49</v>
      </c>
      <c r="C300" s="11" t="s">
        <v>969</v>
      </c>
      <c r="D300" s="11" t="s">
        <v>278</v>
      </c>
      <c r="E300" s="11" t="s">
        <v>279</v>
      </c>
      <c r="F300" s="11" t="s">
        <v>335</v>
      </c>
      <c r="G300" s="11" t="s">
        <v>336</v>
      </c>
      <c r="H300" s="37" t="n">
        <v>3444</v>
      </c>
      <c r="I300" s="39" t="n">
        <f aca="false">Assumptions!$C$9</f>
        <v>0.8</v>
      </c>
      <c r="J300" s="37" t="n">
        <f aca="false">H300*I300</f>
        <v>2755.2</v>
      </c>
      <c r="K300" s="38" t="n">
        <v>46402</v>
      </c>
      <c r="L300" s="11" t="n">
        <v>0</v>
      </c>
      <c r="M300" s="11" t="n">
        <v>7</v>
      </c>
      <c r="N300" s="38" t="n">
        <v>46409</v>
      </c>
      <c r="O300" s="11" t="str">
        <f aca="false">IF(INT((N300-Assumptions!$C$2)/7)+1&gt;Assumptions!$C$3,"after W13",INT((N300-Assumptions!$C$2)/7)+1)</f>
        <v>after W13</v>
      </c>
      <c r="P300" s="38" t="n">
        <f aca="false">IF(AND(D300="Receipt",G300="C01"),WORKDAY(N300+Assumptions!$C$14-1,1),N300)</f>
        <v>46409</v>
      </c>
      <c r="Q300" s="11" t="str">
        <f aca="false">IF(INT((P300-Assumptions!$C$2)/7)+1&gt;Assumptions!$C$3,"after W13",INT((P300-Assumptions!$C$2)/7)+1)</f>
        <v>after W13</v>
      </c>
      <c r="R300" s="38" t="n">
        <f aca="false">IF(AND(D300="Receipt",OR(G300="C01",G300="C02",G300="C03",G300="C04",G300="C07")),WORKDAY(N300+IF(G300="C01",Assumptions!$C$14,Assumptions!$C$15)-1,1),N300)</f>
        <v>46409</v>
      </c>
      <c r="S300" s="11" t="str">
        <f aca="false">IF(INT((R300-Assumptions!$C$2)/7)+1&gt;Assumptions!$C$3,"after W13",INT((R300-Assumptions!$C$2)/7)+1)</f>
        <v>after W13</v>
      </c>
      <c r="T300" s="11" t="s">
        <v>864</v>
      </c>
      <c r="U300" s="11" t="s">
        <v>275</v>
      </c>
      <c r="V300" s="11" t="s">
        <v>283</v>
      </c>
    </row>
    <row r="301" customFormat="false" ht="15" hidden="false" customHeight="false" outlineLevel="0" collapsed="false">
      <c r="A301" s="11" t="s">
        <v>970</v>
      </c>
      <c r="B301" s="11" t="s">
        <v>49</v>
      </c>
      <c r="C301" s="11" t="s">
        <v>971</v>
      </c>
      <c r="D301" s="11" t="s">
        <v>278</v>
      </c>
      <c r="E301" s="11" t="s">
        <v>322</v>
      </c>
      <c r="F301" s="11" t="s">
        <v>323</v>
      </c>
      <c r="G301" s="11" t="s">
        <v>324</v>
      </c>
      <c r="H301" s="37" t="n">
        <v>6192</v>
      </c>
      <c r="I301" s="39" t="n">
        <f aca="false">Assumptions!$C$9</f>
        <v>0.8</v>
      </c>
      <c r="J301" s="37" t="n">
        <f aca="false">H301*I301</f>
        <v>4953.6</v>
      </c>
      <c r="K301" s="38" t="n">
        <v>46397</v>
      </c>
      <c r="L301" s="11" t="n">
        <v>0</v>
      </c>
      <c r="M301" s="11" t="n">
        <v>12</v>
      </c>
      <c r="N301" s="38" t="n">
        <v>46409</v>
      </c>
      <c r="O301" s="11" t="str">
        <f aca="false">IF(INT((N301-Assumptions!$C$2)/7)+1&gt;Assumptions!$C$3,"after W13",INT((N301-Assumptions!$C$2)/7)+1)</f>
        <v>after W13</v>
      </c>
      <c r="P301" s="38" t="n">
        <f aca="false">IF(AND(D301="Receipt",G301="C01"),WORKDAY(N301+Assumptions!$C$14-1,1),N301)</f>
        <v>46409</v>
      </c>
      <c r="Q301" s="11" t="str">
        <f aca="false">IF(INT((P301-Assumptions!$C$2)/7)+1&gt;Assumptions!$C$3,"after W13",INT((P301-Assumptions!$C$2)/7)+1)</f>
        <v>after W13</v>
      </c>
      <c r="R301" s="38" t="n">
        <f aca="false">IF(AND(D301="Receipt",OR(G301="C01",G301="C02",G301="C03",G301="C04",G301="C07")),WORKDAY(N301+IF(G301="C01",Assumptions!$C$14,Assumptions!$C$15)-1,1),N301)</f>
        <v>46409</v>
      </c>
      <c r="S301" s="11" t="str">
        <f aca="false">IF(INT((R301-Assumptions!$C$2)/7)+1&gt;Assumptions!$C$3,"after W13",INT((R301-Assumptions!$C$2)/7)+1)</f>
        <v>after W13</v>
      </c>
      <c r="T301" s="11" t="s">
        <v>864</v>
      </c>
      <c r="U301" s="11" t="s">
        <v>275</v>
      </c>
      <c r="V301" s="11" t="s">
        <v>283</v>
      </c>
    </row>
    <row r="302" customFormat="false" ht="15" hidden="false" customHeight="false" outlineLevel="0" collapsed="false">
      <c r="A302" s="11" t="s">
        <v>972</v>
      </c>
      <c r="B302" s="11" t="s">
        <v>49</v>
      </c>
      <c r="C302" s="11" t="s">
        <v>973</v>
      </c>
      <c r="D302" s="11" t="s">
        <v>278</v>
      </c>
      <c r="E302" s="11" t="s">
        <v>286</v>
      </c>
      <c r="F302" s="11" t="s">
        <v>327</v>
      </c>
      <c r="G302" s="11" t="s">
        <v>328</v>
      </c>
      <c r="H302" s="37" t="n">
        <v>23136</v>
      </c>
      <c r="I302" s="26" t="n">
        <v>1</v>
      </c>
      <c r="J302" s="37" t="n">
        <f aca="false">H302*I302</f>
        <v>23136</v>
      </c>
      <c r="K302" s="38" t="n">
        <v>46389</v>
      </c>
      <c r="L302" s="11" t="n">
        <v>0</v>
      </c>
      <c r="M302" s="11" t="n">
        <v>21</v>
      </c>
      <c r="N302" s="38" t="n">
        <v>46412</v>
      </c>
      <c r="O302" s="11" t="str">
        <f aca="false">IF(INT((N302-Assumptions!$C$2)/7)+1&gt;Assumptions!$C$3,"after W13",INT((N302-Assumptions!$C$2)/7)+1)</f>
        <v>after W13</v>
      </c>
      <c r="P302" s="38" t="n">
        <f aca="false">IF(AND(D302="Receipt",G302="C01"),WORKDAY(N302+Assumptions!$C$14-1,1),N302)</f>
        <v>46412</v>
      </c>
      <c r="Q302" s="11" t="str">
        <f aca="false">IF(INT((P302-Assumptions!$C$2)/7)+1&gt;Assumptions!$C$3,"after W13",INT((P302-Assumptions!$C$2)/7)+1)</f>
        <v>after W13</v>
      </c>
      <c r="R302" s="38" t="n">
        <f aca="false">IF(AND(D302="Receipt",OR(G302="C01",G302="C02",G302="C03",G302="C04",G302="C07")),WORKDAY(N302+IF(G302="C01",Assumptions!$C$14,Assumptions!$C$15)-1,1),N302)</f>
        <v>46427</v>
      </c>
      <c r="S302" s="11" t="str">
        <f aca="false">IF(INT((R302-Assumptions!$C$2)/7)+1&gt;Assumptions!$C$3,"after W13",INT((R302-Assumptions!$C$2)/7)+1)</f>
        <v>after W13</v>
      </c>
      <c r="T302" s="11" t="s">
        <v>538</v>
      </c>
      <c r="U302" s="11" t="s">
        <v>275</v>
      </c>
      <c r="V302" s="11" t="s">
        <v>283</v>
      </c>
    </row>
    <row r="303" customFormat="false" ht="15" hidden="false" customHeight="false" outlineLevel="0" collapsed="false">
      <c r="A303" s="11" t="s">
        <v>974</v>
      </c>
      <c r="B303" s="11" t="s">
        <v>49</v>
      </c>
      <c r="C303" s="11" t="s">
        <v>975</v>
      </c>
      <c r="D303" s="11" t="s">
        <v>278</v>
      </c>
      <c r="E303" s="11" t="s">
        <v>286</v>
      </c>
      <c r="F303" s="11" t="s">
        <v>327</v>
      </c>
      <c r="G303" s="11" t="s">
        <v>328</v>
      </c>
      <c r="H303" s="37" t="n">
        <v>26724</v>
      </c>
      <c r="I303" s="26" t="n">
        <v>1</v>
      </c>
      <c r="J303" s="37" t="n">
        <f aca="false">H303*I303</f>
        <v>26724</v>
      </c>
      <c r="K303" s="38" t="n">
        <v>46390</v>
      </c>
      <c r="L303" s="11" t="n">
        <v>0</v>
      </c>
      <c r="M303" s="11" t="n">
        <v>21</v>
      </c>
      <c r="N303" s="38" t="n">
        <v>46412</v>
      </c>
      <c r="O303" s="11" t="str">
        <f aca="false">IF(INT((N303-Assumptions!$C$2)/7)+1&gt;Assumptions!$C$3,"after W13",INT((N303-Assumptions!$C$2)/7)+1)</f>
        <v>after W13</v>
      </c>
      <c r="P303" s="38" t="n">
        <f aca="false">IF(AND(D303="Receipt",G303="C01"),WORKDAY(N303+Assumptions!$C$14-1,1),N303)</f>
        <v>46412</v>
      </c>
      <c r="Q303" s="11" t="str">
        <f aca="false">IF(INT((P303-Assumptions!$C$2)/7)+1&gt;Assumptions!$C$3,"after W13",INT((P303-Assumptions!$C$2)/7)+1)</f>
        <v>after W13</v>
      </c>
      <c r="R303" s="38" t="n">
        <f aca="false">IF(AND(D303="Receipt",OR(G303="C01",G303="C02",G303="C03",G303="C04",G303="C07")),WORKDAY(N303+IF(G303="C01",Assumptions!$C$14,Assumptions!$C$15)-1,1),N303)</f>
        <v>46427</v>
      </c>
      <c r="S303" s="11" t="str">
        <f aca="false">IF(INT((R303-Assumptions!$C$2)/7)+1&gt;Assumptions!$C$3,"after W13",INT((R303-Assumptions!$C$2)/7)+1)</f>
        <v>after W13</v>
      </c>
      <c r="T303" s="11" t="s">
        <v>538</v>
      </c>
      <c r="U303" s="11" t="s">
        <v>275</v>
      </c>
      <c r="V303" s="11" t="s">
        <v>283</v>
      </c>
    </row>
    <row r="304" customFormat="false" ht="15" hidden="false" customHeight="false" outlineLevel="0" collapsed="false">
      <c r="A304" s="11" t="s">
        <v>976</v>
      </c>
      <c r="B304" s="11" t="s">
        <v>49</v>
      </c>
      <c r="C304" s="11" t="s">
        <v>977</v>
      </c>
      <c r="D304" s="11" t="s">
        <v>278</v>
      </c>
      <c r="E304" s="11" t="s">
        <v>279</v>
      </c>
      <c r="F304" s="11" t="s">
        <v>335</v>
      </c>
      <c r="G304" s="11" t="s">
        <v>336</v>
      </c>
      <c r="H304" s="37" t="n">
        <v>5196</v>
      </c>
      <c r="I304" s="39" t="n">
        <f aca="false">Assumptions!$C$9</f>
        <v>0.8</v>
      </c>
      <c r="J304" s="37" t="n">
        <f aca="false">H304*I304</f>
        <v>4156.8</v>
      </c>
      <c r="K304" s="38" t="n">
        <v>46403</v>
      </c>
      <c r="L304" s="11" t="n">
        <v>0</v>
      </c>
      <c r="M304" s="11" t="n">
        <v>7</v>
      </c>
      <c r="N304" s="38" t="n">
        <v>46412</v>
      </c>
      <c r="O304" s="11" t="str">
        <f aca="false">IF(INT((N304-Assumptions!$C$2)/7)+1&gt;Assumptions!$C$3,"after W13",INT((N304-Assumptions!$C$2)/7)+1)</f>
        <v>after W13</v>
      </c>
      <c r="P304" s="38" t="n">
        <f aca="false">IF(AND(D304="Receipt",G304="C01"),WORKDAY(N304+Assumptions!$C$14-1,1),N304)</f>
        <v>46412</v>
      </c>
      <c r="Q304" s="11" t="str">
        <f aca="false">IF(INT((P304-Assumptions!$C$2)/7)+1&gt;Assumptions!$C$3,"after W13",INT((P304-Assumptions!$C$2)/7)+1)</f>
        <v>after W13</v>
      </c>
      <c r="R304" s="38" t="n">
        <f aca="false">IF(AND(D304="Receipt",OR(G304="C01",G304="C02",G304="C03",G304="C04",G304="C07")),WORKDAY(N304+IF(G304="C01",Assumptions!$C$14,Assumptions!$C$15)-1,1),N304)</f>
        <v>46412</v>
      </c>
      <c r="S304" s="11" t="str">
        <f aca="false">IF(INT((R304-Assumptions!$C$2)/7)+1&gt;Assumptions!$C$3,"after W13",INT((R304-Assumptions!$C$2)/7)+1)</f>
        <v>after W13</v>
      </c>
      <c r="T304" s="11" t="s">
        <v>864</v>
      </c>
      <c r="U304" s="11" t="s">
        <v>275</v>
      </c>
      <c r="V304" s="11" t="s">
        <v>283</v>
      </c>
    </row>
    <row r="305" customFormat="false" ht="15" hidden="false" customHeight="false" outlineLevel="0" collapsed="false">
      <c r="A305" s="11" t="s">
        <v>978</v>
      </c>
      <c r="B305" s="11" t="s">
        <v>49</v>
      </c>
      <c r="C305" s="11" t="s">
        <v>979</v>
      </c>
      <c r="D305" s="11" t="s">
        <v>278</v>
      </c>
      <c r="E305" s="11" t="s">
        <v>279</v>
      </c>
      <c r="F305" s="11" t="s">
        <v>335</v>
      </c>
      <c r="G305" s="11" t="s">
        <v>336</v>
      </c>
      <c r="H305" s="37" t="n">
        <v>8220</v>
      </c>
      <c r="I305" s="39" t="n">
        <f aca="false">Assumptions!$C$9</f>
        <v>0.8</v>
      </c>
      <c r="J305" s="37" t="n">
        <f aca="false">H305*I305</f>
        <v>6576</v>
      </c>
      <c r="K305" s="38" t="n">
        <v>46405</v>
      </c>
      <c r="L305" s="11" t="n">
        <v>0</v>
      </c>
      <c r="M305" s="11" t="n">
        <v>7</v>
      </c>
      <c r="N305" s="38" t="n">
        <v>46412</v>
      </c>
      <c r="O305" s="11" t="str">
        <f aca="false">IF(INT((N305-Assumptions!$C$2)/7)+1&gt;Assumptions!$C$3,"after W13",INT((N305-Assumptions!$C$2)/7)+1)</f>
        <v>after W13</v>
      </c>
      <c r="P305" s="38" t="n">
        <f aca="false">IF(AND(D305="Receipt",G305="C01"),WORKDAY(N305+Assumptions!$C$14-1,1),N305)</f>
        <v>46412</v>
      </c>
      <c r="Q305" s="11" t="str">
        <f aca="false">IF(INT((P305-Assumptions!$C$2)/7)+1&gt;Assumptions!$C$3,"after W13",INT((P305-Assumptions!$C$2)/7)+1)</f>
        <v>after W13</v>
      </c>
      <c r="R305" s="38" t="n">
        <f aca="false">IF(AND(D305="Receipt",OR(G305="C01",G305="C02",G305="C03",G305="C04",G305="C07")),WORKDAY(N305+IF(G305="C01",Assumptions!$C$14,Assumptions!$C$15)-1,1),N305)</f>
        <v>46412</v>
      </c>
      <c r="S305" s="11" t="str">
        <f aca="false">IF(INT((R305-Assumptions!$C$2)/7)+1&gt;Assumptions!$C$3,"after W13",INT((R305-Assumptions!$C$2)/7)+1)</f>
        <v>after W13</v>
      </c>
      <c r="T305" s="11" t="s">
        <v>864</v>
      </c>
      <c r="U305" s="11" t="s">
        <v>275</v>
      </c>
      <c r="V305" s="11" t="s">
        <v>283</v>
      </c>
    </row>
    <row r="306" customFormat="false" ht="15" hidden="false" customHeight="false" outlineLevel="0" collapsed="false">
      <c r="A306" s="11" t="s">
        <v>980</v>
      </c>
      <c r="B306" s="11" t="s">
        <v>49</v>
      </c>
      <c r="C306" s="11" t="s">
        <v>981</v>
      </c>
      <c r="D306" s="11" t="s">
        <v>278</v>
      </c>
      <c r="E306" s="11" t="s">
        <v>279</v>
      </c>
      <c r="F306" s="11" t="s">
        <v>280</v>
      </c>
      <c r="G306" s="11" t="s">
        <v>281</v>
      </c>
      <c r="H306" s="37" t="n">
        <v>5220</v>
      </c>
      <c r="I306" s="39" t="n">
        <f aca="false">Assumptions!$C$9</f>
        <v>0.8</v>
      </c>
      <c r="J306" s="37" t="n">
        <f aca="false">H306*I306</f>
        <v>4176</v>
      </c>
      <c r="K306" s="38" t="n">
        <v>46410</v>
      </c>
      <c r="L306" s="11" t="n">
        <v>0</v>
      </c>
      <c r="M306" s="11" t="n">
        <v>0</v>
      </c>
      <c r="N306" s="38" t="n">
        <v>46412</v>
      </c>
      <c r="O306" s="11" t="str">
        <f aca="false">IF(INT((N306-Assumptions!$C$2)/7)+1&gt;Assumptions!$C$3,"after W13",INT((N306-Assumptions!$C$2)/7)+1)</f>
        <v>after W13</v>
      </c>
      <c r="P306" s="38" t="n">
        <f aca="false">IF(AND(D306="Receipt",G306="C01"),WORKDAY(N306+Assumptions!$C$14-1,1),N306)</f>
        <v>46412</v>
      </c>
      <c r="Q306" s="11" t="str">
        <f aca="false">IF(INT((P306-Assumptions!$C$2)/7)+1&gt;Assumptions!$C$3,"after W13",INT((P306-Assumptions!$C$2)/7)+1)</f>
        <v>after W13</v>
      </c>
      <c r="R306" s="38" t="n">
        <f aca="false">IF(AND(D306="Receipt",OR(G306="C01",G306="C02",G306="C03",G306="C04",G306="C07")),WORKDAY(N306+IF(G306="C01",Assumptions!$C$14,Assumptions!$C$15)-1,1),N306)</f>
        <v>46412</v>
      </c>
      <c r="S306" s="11" t="str">
        <f aca="false">IF(INT((R306-Assumptions!$C$2)/7)+1&gt;Assumptions!$C$3,"after W13",INT((R306-Assumptions!$C$2)/7)+1)</f>
        <v>after W13</v>
      </c>
      <c r="T306" s="11" t="s">
        <v>864</v>
      </c>
      <c r="U306" s="11" t="s">
        <v>275</v>
      </c>
      <c r="V306" s="11" t="s">
        <v>283</v>
      </c>
    </row>
    <row r="307" customFormat="false" ht="15" hidden="false" customHeight="false" outlineLevel="0" collapsed="false">
      <c r="A307" s="11" t="s">
        <v>982</v>
      </c>
      <c r="B307" s="11" t="s">
        <v>49</v>
      </c>
      <c r="C307" s="11" t="s">
        <v>983</v>
      </c>
      <c r="D307" s="11" t="s">
        <v>278</v>
      </c>
      <c r="E307" s="11" t="s">
        <v>279</v>
      </c>
      <c r="F307" s="11" t="s">
        <v>280</v>
      </c>
      <c r="G307" s="11" t="s">
        <v>281</v>
      </c>
      <c r="H307" s="37" t="n">
        <v>2688</v>
      </c>
      <c r="I307" s="39" t="n">
        <f aca="false">Assumptions!$C$9</f>
        <v>0.8</v>
      </c>
      <c r="J307" s="37" t="n">
        <f aca="false">H307*I307</f>
        <v>2150.4</v>
      </c>
      <c r="K307" s="38" t="n">
        <v>46411</v>
      </c>
      <c r="L307" s="11" t="n">
        <v>0</v>
      </c>
      <c r="M307" s="11" t="n">
        <v>0</v>
      </c>
      <c r="N307" s="38" t="n">
        <v>46412</v>
      </c>
      <c r="O307" s="11" t="str">
        <f aca="false">IF(INT((N307-Assumptions!$C$2)/7)+1&gt;Assumptions!$C$3,"after W13",INT((N307-Assumptions!$C$2)/7)+1)</f>
        <v>after W13</v>
      </c>
      <c r="P307" s="38" t="n">
        <f aca="false">IF(AND(D307="Receipt",G307="C01"),WORKDAY(N307+Assumptions!$C$14-1,1),N307)</f>
        <v>46412</v>
      </c>
      <c r="Q307" s="11" t="str">
        <f aca="false">IF(INT((P307-Assumptions!$C$2)/7)+1&gt;Assumptions!$C$3,"after W13",INT((P307-Assumptions!$C$2)/7)+1)</f>
        <v>after W13</v>
      </c>
      <c r="R307" s="38" t="n">
        <f aca="false">IF(AND(D307="Receipt",OR(G307="C01",G307="C02",G307="C03",G307="C04",G307="C07")),WORKDAY(N307+IF(G307="C01",Assumptions!$C$14,Assumptions!$C$15)-1,1),N307)</f>
        <v>46412</v>
      </c>
      <c r="S307" s="11" t="str">
        <f aca="false">IF(INT((R307-Assumptions!$C$2)/7)+1&gt;Assumptions!$C$3,"after W13",INT((R307-Assumptions!$C$2)/7)+1)</f>
        <v>after W13</v>
      </c>
      <c r="T307" s="11" t="s">
        <v>864</v>
      </c>
      <c r="U307" s="11" t="s">
        <v>275</v>
      </c>
      <c r="V307" s="11" t="s">
        <v>283</v>
      </c>
    </row>
    <row r="308" customFormat="false" ht="15" hidden="false" customHeight="false" outlineLevel="0" collapsed="false">
      <c r="A308" s="11" t="s">
        <v>984</v>
      </c>
      <c r="B308" s="11" t="s">
        <v>49</v>
      </c>
      <c r="C308" s="11" t="s">
        <v>985</v>
      </c>
      <c r="D308" s="11" t="s">
        <v>278</v>
      </c>
      <c r="E308" s="11" t="s">
        <v>279</v>
      </c>
      <c r="F308" s="11" t="s">
        <v>280</v>
      </c>
      <c r="G308" s="11" t="s">
        <v>281</v>
      </c>
      <c r="H308" s="37" t="n">
        <v>3240</v>
      </c>
      <c r="I308" s="39" t="n">
        <f aca="false">Assumptions!$C$9</f>
        <v>0.8</v>
      </c>
      <c r="J308" s="37" t="n">
        <f aca="false">H308*I308</f>
        <v>2592</v>
      </c>
      <c r="K308" s="38" t="n">
        <v>46412</v>
      </c>
      <c r="L308" s="11" t="n">
        <v>0</v>
      </c>
      <c r="M308" s="11" t="n">
        <v>0</v>
      </c>
      <c r="N308" s="38" t="n">
        <v>46412</v>
      </c>
      <c r="O308" s="11" t="str">
        <f aca="false">IF(INT((N308-Assumptions!$C$2)/7)+1&gt;Assumptions!$C$3,"after W13",INT((N308-Assumptions!$C$2)/7)+1)</f>
        <v>after W13</v>
      </c>
      <c r="P308" s="38" t="n">
        <f aca="false">IF(AND(D308="Receipt",G308="C01"),WORKDAY(N308+Assumptions!$C$14-1,1),N308)</f>
        <v>46412</v>
      </c>
      <c r="Q308" s="11" t="str">
        <f aca="false">IF(INT((P308-Assumptions!$C$2)/7)+1&gt;Assumptions!$C$3,"after W13",INT((P308-Assumptions!$C$2)/7)+1)</f>
        <v>after W13</v>
      </c>
      <c r="R308" s="38" t="n">
        <f aca="false">IF(AND(D308="Receipt",OR(G308="C01",G308="C02",G308="C03",G308="C04",G308="C07")),WORKDAY(N308+IF(G308="C01",Assumptions!$C$14,Assumptions!$C$15)-1,1),N308)</f>
        <v>46412</v>
      </c>
      <c r="S308" s="11" t="str">
        <f aca="false">IF(INT((R308-Assumptions!$C$2)/7)+1&gt;Assumptions!$C$3,"after W13",INT((R308-Assumptions!$C$2)/7)+1)</f>
        <v>after W13</v>
      </c>
      <c r="T308" s="11" t="s">
        <v>864</v>
      </c>
      <c r="U308" s="11" t="s">
        <v>275</v>
      </c>
      <c r="V308" s="11" t="s">
        <v>283</v>
      </c>
    </row>
    <row r="309" customFormat="false" ht="15" hidden="false" customHeight="false" outlineLevel="0" collapsed="false">
      <c r="A309" s="11" t="s">
        <v>986</v>
      </c>
      <c r="B309" s="11" t="s">
        <v>49</v>
      </c>
      <c r="C309" s="11" t="s">
        <v>987</v>
      </c>
      <c r="D309" s="11" t="s">
        <v>278</v>
      </c>
      <c r="E309" s="11" t="s">
        <v>279</v>
      </c>
      <c r="F309" s="11" t="s">
        <v>280</v>
      </c>
      <c r="G309" s="11" t="s">
        <v>281</v>
      </c>
      <c r="H309" s="37" t="n">
        <v>7020</v>
      </c>
      <c r="I309" s="39" t="n">
        <f aca="false">Assumptions!$C$9</f>
        <v>0.8</v>
      </c>
      <c r="J309" s="37" t="n">
        <f aca="false">H309*I309</f>
        <v>5616</v>
      </c>
      <c r="K309" s="38" t="n">
        <v>46412</v>
      </c>
      <c r="L309" s="11" t="n">
        <v>0</v>
      </c>
      <c r="M309" s="11" t="n">
        <v>0</v>
      </c>
      <c r="N309" s="38" t="n">
        <v>46412</v>
      </c>
      <c r="O309" s="11" t="str">
        <f aca="false">IF(INT((N309-Assumptions!$C$2)/7)+1&gt;Assumptions!$C$3,"after W13",INT((N309-Assumptions!$C$2)/7)+1)</f>
        <v>after W13</v>
      </c>
      <c r="P309" s="38" t="n">
        <f aca="false">IF(AND(D309="Receipt",G309="C01"),WORKDAY(N309+Assumptions!$C$14-1,1),N309)</f>
        <v>46412</v>
      </c>
      <c r="Q309" s="11" t="str">
        <f aca="false">IF(INT((P309-Assumptions!$C$2)/7)+1&gt;Assumptions!$C$3,"after W13",INT((P309-Assumptions!$C$2)/7)+1)</f>
        <v>after W13</v>
      </c>
      <c r="R309" s="38" t="n">
        <f aca="false">IF(AND(D309="Receipt",OR(G309="C01",G309="C02",G309="C03",G309="C04",G309="C07")),WORKDAY(N309+IF(G309="C01",Assumptions!$C$14,Assumptions!$C$15)-1,1),N309)</f>
        <v>46412</v>
      </c>
      <c r="S309" s="11" t="str">
        <f aca="false">IF(INT((R309-Assumptions!$C$2)/7)+1&gt;Assumptions!$C$3,"after W13",INT((R309-Assumptions!$C$2)/7)+1)</f>
        <v>after W13</v>
      </c>
      <c r="T309" s="11" t="s">
        <v>864</v>
      </c>
      <c r="U309" s="11" t="s">
        <v>275</v>
      </c>
      <c r="V309" s="11" t="s">
        <v>283</v>
      </c>
    </row>
    <row r="310" customFormat="false" ht="15" hidden="false" customHeight="false" outlineLevel="0" collapsed="false">
      <c r="A310" s="11" t="s">
        <v>988</v>
      </c>
      <c r="B310" s="11" t="s">
        <v>49</v>
      </c>
      <c r="C310" s="11" t="s">
        <v>989</v>
      </c>
      <c r="D310" s="11" t="s">
        <v>278</v>
      </c>
      <c r="E310" s="11" t="s">
        <v>279</v>
      </c>
      <c r="F310" s="11" t="s">
        <v>280</v>
      </c>
      <c r="G310" s="11" t="s">
        <v>281</v>
      </c>
      <c r="H310" s="37" t="n">
        <v>6024</v>
      </c>
      <c r="I310" s="39" t="n">
        <f aca="false">Assumptions!$C$9</f>
        <v>0.8</v>
      </c>
      <c r="J310" s="37" t="n">
        <f aca="false">H310*I310</f>
        <v>4819.2</v>
      </c>
      <c r="K310" s="38" t="n">
        <v>46412</v>
      </c>
      <c r="L310" s="11" t="n">
        <v>0</v>
      </c>
      <c r="M310" s="11" t="n">
        <v>0</v>
      </c>
      <c r="N310" s="38" t="n">
        <v>46412</v>
      </c>
      <c r="O310" s="11" t="str">
        <f aca="false">IF(INT((N310-Assumptions!$C$2)/7)+1&gt;Assumptions!$C$3,"after W13",INT((N310-Assumptions!$C$2)/7)+1)</f>
        <v>after W13</v>
      </c>
      <c r="P310" s="38" t="n">
        <f aca="false">IF(AND(D310="Receipt",G310="C01"),WORKDAY(N310+Assumptions!$C$14-1,1),N310)</f>
        <v>46412</v>
      </c>
      <c r="Q310" s="11" t="str">
        <f aca="false">IF(INT((P310-Assumptions!$C$2)/7)+1&gt;Assumptions!$C$3,"after W13",INT((P310-Assumptions!$C$2)/7)+1)</f>
        <v>after W13</v>
      </c>
      <c r="R310" s="38" t="n">
        <f aca="false">IF(AND(D310="Receipt",OR(G310="C01",G310="C02",G310="C03",G310="C04",G310="C07")),WORKDAY(N310+IF(G310="C01",Assumptions!$C$14,Assumptions!$C$15)-1,1),N310)</f>
        <v>46412</v>
      </c>
      <c r="S310" s="11" t="str">
        <f aca="false">IF(INT((R310-Assumptions!$C$2)/7)+1&gt;Assumptions!$C$3,"after W13",INT((R310-Assumptions!$C$2)/7)+1)</f>
        <v>after W13</v>
      </c>
      <c r="T310" s="11" t="s">
        <v>864</v>
      </c>
      <c r="U310" s="11" t="s">
        <v>275</v>
      </c>
      <c r="V310" s="11" t="s">
        <v>283</v>
      </c>
    </row>
    <row r="311" customFormat="false" ht="15" hidden="false" customHeight="false" outlineLevel="0" collapsed="false">
      <c r="A311" s="11" t="s">
        <v>990</v>
      </c>
      <c r="B311" s="11" t="s">
        <v>49</v>
      </c>
      <c r="C311" s="11" t="s">
        <v>991</v>
      </c>
      <c r="D311" s="11" t="s">
        <v>278</v>
      </c>
      <c r="E311" s="11" t="s">
        <v>391</v>
      </c>
      <c r="F311" s="11" t="s">
        <v>392</v>
      </c>
      <c r="G311" s="11" t="s">
        <v>393</v>
      </c>
      <c r="H311" s="37" t="n">
        <v>9444</v>
      </c>
      <c r="I311" s="26" t="n">
        <v>1</v>
      </c>
      <c r="J311" s="37" t="n">
        <f aca="false">H311*I311</f>
        <v>9444</v>
      </c>
      <c r="K311" s="38" t="n">
        <v>46389</v>
      </c>
      <c r="L311" s="11" t="n">
        <v>0</v>
      </c>
      <c r="M311" s="11" t="n">
        <v>23.5</v>
      </c>
      <c r="N311" s="38" t="n">
        <v>46413</v>
      </c>
      <c r="O311" s="11" t="str">
        <f aca="false">IF(INT((N311-Assumptions!$C$2)/7)+1&gt;Assumptions!$C$3,"after W13",INT((N311-Assumptions!$C$2)/7)+1)</f>
        <v>after W13</v>
      </c>
      <c r="P311" s="38" t="n">
        <f aca="false">IF(AND(D311="Receipt",G311="C01"),WORKDAY(N311+Assumptions!$C$14-1,1),N311)</f>
        <v>46413</v>
      </c>
      <c r="Q311" s="11" t="str">
        <f aca="false">IF(INT((P311-Assumptions!$C$2)/7)+1&gt;Assumptions!$C$3,"after W13",INT((P311-Assumptions!$C$2)/7)+1)</f>
        <v>after W13</v>
      </c>
      <c r="R311" s="38" t="n">
        <f aca="false">IF(AND(D311="Receipt",OR(G311="C01",G311="C02",G311="C03",G311="C04",G311="C07")),WORKDAY(N311+IF(G311="C01",Assumptions!$C$14,Assumptions!$C$15)-1,1),N311)</f>
        <v>46413</v>
      </c>
      <c r="S311" s="11" t="str">
        <f aca="false">IF(INT((R311-Assumptions!$C$2)/7)+1&gt;Assumptions!$C$3,"after W13",INT((R311-Assumptions!$C$2)/7)+1)</f>
        <v>after W13</v>
      </c>
      <c r="T311" s="11" t="s">
        <v>538</v>
      </c>
      <c r="U311" s="11" t="s">
        <v>275</v>
      </c>
      <c r="V311" s="11" t="s">
        <v>283</v>
      </c>
    </row>
    <row r="312" customFormat="false" ht="15" hidden="false" customHeight="false" outlineLevel="0" collapsed="false">
      <c r="A312" s="11" t="s">
        <v>992</v>
      </c>
      <c r="B312" s="11" t="s">
        <v>49</v>
      </c>
      <c r="C312" s="11" t="s">
        <v>993</v>
      </c>
      <c r="D312" s="11" t="s">
        <v>278</v>
      </c>
      <c r="E312" s="11" t="s">
        <v>286</v>
      </c>
      <c r="F312" s="11" t="s">
        <v>349</v>
      </c>
      <c r="G312" s="11" t="s">
        <v>350</v>
      </c>
      <c r="H312" s="37" t="n">
        <v>19080</v>
      </c>
      <c r="I312" s="26" t="n">
        <v>1</v>
      </c>
      <c r="J312" s="37" t="n">
        <f aca="false">H312*I312</f>
        <v>19080</v>
      </c>
      <c r="K312" s="38" t="n">
        <v>46404</v>
      </c>
      <c r="L312" s="11" t="n">
        <v>0</v>
      </c>
      <c r="M312" s="11" t="n">
        <v>10</v>
      </c>
      <c r="N312" s="38" t="n">
        <v>46414</v>
      </c>
      <c r="O312" s="11" t="str">
        <f aca="false">IF(INT((N312-Assumptions!$C$2)/7)+1&gt;Assumptions!$C$3,"after W13",INT((N312-Assumptions!$C$2)/7)+1)</f>
        <v>after W13</v>
      </c>
      <c r="P312" s="38" t="n">
        <f aca="false">IF(AND(D312="Receipt",G312="C01"),WORKDAY(N312+Assumptions!$C$14-1,1),N312)</f>
        <v>46414</v>
      </c>
      <c r="Q312" s="11" t="str">
        <f aca="false">IF(INT((P312-Assumptions!$C$2)/7)+1&gt;Assumptions!$C$3,"after W13",INT((P312-Assumptions!$C$2)/7)+1)</f>
        <v>after W13</v>
      </c>
      <c r="R312" s="38" t="n">
        <f aca="false">IF(AND(D312="Receipt",OR(G312="C01",G312="C02",G312="C03",G312="C04",G312="C07")),WORKDAY(N312+IF(G312="C01",Assumptions!$C$14,Assumptions!$C$15)-1,1),N312)</f>
        <v>46429</v>
      </c>
      <c r="S312" s="11" t="str">
        <f aca="false">IF(INT((R312-Assumptions!$C$2)/7)+1&gt;Assumptions!$C$3,"after W13",INT((R312-Assumptions!$C$2)/7)+1)</f>
        <v>after W13</v>
      </c>
      <c r="T312" s="11" t="s">
        <v>538</v>
      </c>
      <c r="U312" s="11" t="s">
        <v>275</v>
      </c>
      <c r="V312" s="11" t="s">
        <v>283</v>
      </c>
    </row>
    <row r="313" customFormat="false" ht="15" hidden="false" customHeight="false" outlineLevel="0" collapsed="false">
      <c r="A313" s="11" t="s">
        <v>994</v>
      </c>
      <c r="B313" s="11" t="s">
        <v>49</v>
      </c>
      <c r="C313" s="11" t="s">
        <v>995</v>
      </c>
      <c r="D313" s="11" t="s">
        <v>278</v>
      </c>
      <c r="E313" s="11" t="s">
        <v>297</v>
      </c>
      <c r="F313" s="11" t="s">
        <v>298</v>
      </c>
      <c r="G313" s="11" t="s">
        <v>299</v>
      </c>
      <c r="H313" s="37" t="n">
        <v>5890</v>
      </c>
      <c r="I313" s="26" t="n">
        <v>1</v>
      </c>
      <c r="J313" s="37" t="n">
        <f aca="false">H313*I313</f>
        <v>5890</v>
      </c>
      <c r="K313" s="38" t="n">
        <v>46409</v>
      </c>
      <c r="L313" s="11" t="n">
        <v>0</v>
      </c>
      <c r="M313" s="11" t="n">
        <v>6</v>
      </c>
      <c r="N313" s="38" t="n">
        <v>46415</v>
      </c>
      <c r="O313" s="11" t="str">
        <f aca="false">IF(INT((N313-Assumptions!$C$2)/7)+1&gt;Assumptions!$C$3,"after W13",INT((N313-Assumptions!$C$2)/7)+1)</f>
        <v>after W13</v>
      </c>
      <c r="P313" s="38" t="n">
        <f aca="false">IF(AND(D313="Receipt",G313="C01"),WORKDAY(N313+Assumptions!$C$14-1,1),N313)</f>
        <v>46415</v>
      </c>
      <c r="Q313" s="11" t="str">
        <f aca="false">IF(INT((P313-Assumptions!$C$2)/7)+1&gt;Assumptions!$C$3,"after W13",INT((P313-Assumptions!$C$2)/7)+1)</f>
        <v>after W13</v>
      </c>
      <c r="R313" s="38" t="n">
        <f aca="false">IF(AND(D313="Receipt",OR(G313="C01",G313="C02",G313="C03",G313="C04",G313="C07")),WORKDAY(N313+IF(G313="C01",Assumptions!$C$14,Assumptions!$C$15)-1,1),N313)</f>
        <v>46415</v>
      </c>
      <c r="S313" s="11" t="str">
        <f aca="false">IF(INT((R313-Assumptions!$C$2)/7)+1&gt;Assumptions!$C$3,"after W13",INT((R313-Assumptions!$C$2)/7)+1)</f>
        <v>after W13</v>
      </c>
      <c r="T313" s="11" t="s">
        <v>538</v>
      </c>
      <c r="U313" s="11" t="s">
        <v>275</v>
      </c>
      <c r="V313" s="11" t="s">
        <v>283</v>
      </c>
    </row>
    <row r="314" customFormat="false" ht="15" hidden="false" customHeight="false" outlineLevel="0" collapsed="false">
      <c r="A314" s="11" t="s">
        <v>996</v>
      </c>
      <c r="B314" s="11" t="s">
        <v>49</v>
      </c>
      <c r="C314" s="11" t="s">
        <v>997</v>
      </c>
      <c r="D314" s="11" t="s">
        <v>278</v>
      </c>
      <c r="E314" s="11" t="s">
        <v>286</v>
      </c>
      <c r="F314" s="11" t="s">
        <v>327</v>
      </c>
      <c r="G314" s="11" t="s">
        <v>328</v>
      </c>
      <c r="H314" s="37" t="n">
        <v>18924</v>
      </c>
      <c r="I314" s="26" t="n">
        <v>1</v>
      </c>
      <c r="J314" s="37" t="n">
        <f aca="false">H314*I314</f>
        <v>18924</v>
      </c>
      <c r="K314" s="38" t="n">
        <v>46395</v>
      </c>
      <c r="L314" s="11" t="n">
        <v>0</v>
      </c>
      <c r="M314" s="11" t="n">
        <v>21</v>
      </c>
      <c r="N314" s="38" t="n">
        <v>46416</v>
      </c>
      <c r="O314" s="11" t="str">
        <f aca="false">IF(INT((N314-Assumptions!$C$2)/7)+1&gt;Assumptions!$C$3,"after W13",INT((N314-Assumptions!$C$2)/7)+1)</f>
        <v>after W13</v>
      </c>
      <c r="P314" s="38" t="n">
        <f aca="false">IF(AND(D314="Receipt",G314="C01"),WORKDAY(N314+Assumptions!$C$14-1,1),N314)</f>
        <v>46416</v>
      </c>
      <c r="Q314" s="11" t="str">
        <f aca="false">IF(INT((P314-Assumptions!$C$2)/7)+1&gt;Assumptions!$C$3,"after W13",INT((P314-Assumptions!$C$2)/7)+1)</f>
        <v>after W13</v>
      </c>
      <c r="R314" s="38" t="n">
        <f aca="false">IF(AND(D314="Receipt",OR(G314="C01",G314="C02",G314="C03",G314="C04",G314="C07")),WORKDAY(N314+IF(G314="C01",Assumptions!$C$14,Assumptions!$C$15)-1,1),N314)</f>
        <v>46433</v>
      </c>
      <c r="S314" s="11" t="str">
        <f aca="false">IF(INT((R314-Assumptions!$C$2)/7)+1&gt;Assumptions!$C$3,"after W13",INT((R314-Assumptions!$C$2)/7)+1)</f>
        <v>after W13</v>
      </c>
      <c r="T314" s="11" t="s">
        <v>538</v>
      </c>
      <c r="U314" s="11" t="s">
        <v>275</v>
      </c>
      <c r="V314" s="11" t="s">
        <v>283</v>
      </c>
    </row>
    <row r="315" customFormat="false" ht="15" hidden="false" customHeight="false" outlineLevel="0" collapsed="false">
      <c r="A315" s="11" t="s">
        <v>998</v>
      </c>
      <c r="B315" s="11" t="s">
        <v>49</v>
      </c>
      <c r="C315" s="11" t="s">
        <v>999</v>
      </c>
      <c r="D315" s="11" t="s">
        <v>278</v>
      </c>
      <c r="E315" s="11" t="s">
        <v>322</v>
      </c>
      <c r="F315" s="11" t="s">
        <v>323</v>
      </c>
      <c r="G315" s="11" t="s">
        <v>324</v>
      </c>
      <c r="H315" s="37" t="n">
        <v>11628</v>
      </c>
      <c r="I315" s="39" t="n">
        <f aca="false">Assumptions!$C$9</f>
        <v>0.8</v>
      </c>
      <c r="J315" s="37" t="n">
        <f aca="false">H315*I315</f>
        <v>9302.4</v>
      </c>
      <c r="K315" s="38" t="n">
        <v>46404</v>
      </c>
      <c r="L315" s="11" t="n">
        <v>0</v>
      </c>
      <c r="M315" s="11" t="n">
        <v>12</v>
      </c>
      <c r="N315" s="38" t="n">
        <v>46416</v>
      </c>
      <c r="O315" s="11" t="str">
        <f aca="false">IF(INT((N315-Assumptions!$C$2)/7)+1&gt;Assumptions!$C$3,"after W13",INT((N315-Assumptions!$C$2)/7)+1)</f>
        <v>after W13</v>
      </c>
      <c r="P315" s="38" t="n">
        <f aca="false">IF(AND(D315="Receipt",G315="C01"),WORKDAY(N315+Assumptions!$C$14-1,1),N315)</f>
        <v>46416</v>
      </c>
      <c r="Q315" s="11" t="str">
        <f aca="false">IF(INT((P315-Assumptions!$C$2)/7)+1&gt;Assumptions!$C$3,"after W13",INT((P315-Assumptions!$C$2)/7)+1)</f>
        <v>after W13</v>
      </c>
      <c r="R315" s="38" t="n">
        <f aca="false">IF(AND(D315="Receipt",OR(G315="C01",G315="C02",G315="C03",G315="C04",G315="C07")),WORKDAY(N315+IF(G315="C01",Assumptions!$C$14,Assumptions!$C$15)-1,1),N315)</f>
        <v>46416</v>
      </c>
      <c r="S315" s="11" t="str">
        <f aca="false">IF(INT((R315-Assumptions!$C$2)/7)+1&gt;Assumptions!$C$3,"after W13",INT((R315-Assumptions!$C$2)/7)+1)</f>
        <v>after W13</v>
      </c>
      <c r="T315" s="11" t="s">
        <v>864</v>
      </c>
      <c r="U315" s="11" t="s">
        <v>275</v>
      </c>
      <c r="V315" s="11" t="s">
        <v>283</v>
      </c>
    </row>
    <row r="316" customFormat="false" ht="15" hidden="false" customHeight="false" outlineLevel="0" collapsed="false">
      <c r="A316" s="11" t="s">
        <v>1000</v>
      </c>
      <c r="B316" s="11" t="s">
        <v>49</v>
      </c>
      <c r="C316" s="11" t="s">
        <v>1001</v>
      </c>
      <c r="D316" s="11" t="s">
        <v>278</v>
      </c>
      <c r="E316" s="11" t="s">
        <v>286</v>
      </c>
      <c r="F316" s="11" t="s">
        <v>349</v>
      </c>
      <c r="G316" s="11" t="s">
        <v>350</v>
      </c>
      <c r="H316" s="37" t="n">
        <v>7536</v>
      </c>
      <c r="I316" s="26" t="n">
        <v>1</v>
      </c>
      <c r="J316" s="37" t="n">
        <f aca="false">H316*I316</f>
        <v>7536</v>
      </c>
      <c r="K316" s="38" t="n">
        <v>46409</v>
      </c>
      <c r="L316" s="11" t="n">
        <v>0</v>
      </c>
      <c r="M316" s="11" t="n">
        <v>10</v>
      </c>
      <c r="N316" s="38" t="n">
        <v>46419</v>
      </c>
      <c r="O316" s="11" t="str">
        <f aca="false">IF(INT((N316-Assumptions!$C$2)/7)+1&gt;Assumptions!$C$3,"after W13",INT((N316-Assumptions!$C$2)/7)+1)</f>
        <v>after W13</v>
      </c>
      <c r="P316" s="38" t="n">
        <f aca="false">IF(AND(D316="Receipt",G316="C01"),WORKDAY(N316+Assumptions!$C$14-1,1),N316)</f>
        <v>46419</v>
      </c>
      <c r="Q316" s="11" t="str">
        <f aca="false">IF(INT((P316-Assumptions!$C$2)/7)+1&gt;Assumptions!$C$3,"after W13",INT((P316-Assumptions!$C$2)/7)+1)</f>
        <v>after W13</v>
      </c>
      <c r="R316" s="38" t="n">
        <f aca="false">IF(AND(D316="Receipt",OR(G316="C01",G316="C02",G316="C03",G316="C04",G316="C07")),WORKDAY(N316+IF(G316="C01",Assumptions!$C$14,Assumptions!$C$15)-1,1),N316)</f>
        <v>46434</v>
      </c>
      <c r="S316" s="11" t="str">
        <f aca="false">IF(INT((R316-Assumptions!$C$2)/7)+1&gt;Assumptions!$C$3,"after W13",INT((R316-Assumptions!$C$2)/7)+1)</f>
        <v>after W13</v>
      </c>
      <c r="T316" s="11" t="s">
        <v>538</v>
      </c>
      <c r="U316" s="11" t="s">
        <v>275</v>
      </c>
      <c r="V316" s="11" t="s">
        <v>283</v>
      </c>
    </row>
    <row r="317" customFormat="false" ht="15" hidden="false" customHeight="false" outlineLevel="0" collapsed="false">
      <c r="A317" s="11" t="s">
        <v>1002</v>
      </c>
      <c r="B317" s="11" t="s">
        <v>49</v>
      </c>
      <c r="C317" s="11" t="s">
        <v>1003</v>
      </c>
      <c r="D317" s="11" t="s">
        <v>278</v>
      </c>
      <c r="E317" s="11" t="s">
        <v>297</v>
      </c>
      <c r="F317" s="11" t="s">
        <v>298</v>
      </c>
      <c r="G317" s="11" t="s">
        <v>299</v>
      </c>
      <c r="H317" s="37" t="n">
        <v>2920</v>
      </c>
      <c r="I317" s="39" t="n">
        <f aca="false">Assumptions!$C$9</f>
        <v>0.8</v>
      </c>
      <c r="J317" s="37" t="n">
        <f aca="false">H317*I317</f>
        <v>2336</v>
      </c>
      <c r="K317" s="38" t="n">
        <v>46413</v>
      </c>
      <c r="L317" s="11" t="n">
        <v>0</v>
      </c>
      <c r="M317" s="11" t="n">
        <v>6</v>
      </c>
      <c r="N317" s="38" t="n">
        <v>46419</v>
      </c>
      <c r="O317" s="11" t="str">
        <f aca="false">IF(INT((N317-Assumptions!$C$2)/7)+1&gt;Assumptions!$C$3,"after W13",INT((N317-Assumptions!$C$2)/7)+1)</f>
        <v>after W13</v>
      </c>
      <c r="P317" s="38" t="n">
        <f aca="false">IF(AND(D317="Receipt",G317="C01"),WORKDAY(N317+Assumptions!$C$14-1,1),N317)</f>
        <v>46419</v>
      </c>
      <c r="Q317" s="11" t="str">
        <f aca="false">IF(INT((P317-Assumptions!$C$2)/7)+1&gt;Assumptions!$C$3,"after W13",INT((P317-Assumptions!$C$2)/7)+1)</f>
        <v>after W13</v>
      </c>
      <c r="R317" s="38" t="n">
        <f aca="false">IF(AND(D317="Receipt",OR(G317="C01",G317="C02",G317="C03",G317="C04",G317="C07")),WORKDAY(N317+IF(G317="C01",Assumptions!$C$14,Assumptions!$C$15)-1,1),N317)</f>
        <v>46419</v>
      </c>
      <c r="S317" s="11" t="str">
        <f aca="false">IF(INT((R317-Assumptions!$C$2)/7)+1&gt;Assumptions!$C$3,"after W13",INT((R317-Assumptions!$C$2)/7)+1)</f>
        <v>after W13</v>
      </c>
      <c r="T317" s="11" t="s">
        <v>864</v>
      </c>
      <c r="U317" s="11" t="s">
        <v>275</v>
      </c>
      <c r="V317" s="11" t="s">
        <v>283</v>
      </c>
    </row>
    <row r="318" customFormat="false" ht="15" hidden="false" customHeight="false" outlineLevel="0" collapsed="false">
      <c r="A318" s="11" t="s">
        <v>1004</v>
      </c>
      <c r="B318" s="11" t="s">
        <v>49</v>
      </c>
      <c r="C318" s="11" t="s">
        <v>1005</v>
      </c>
      <c r="D318" s="11" t="s">
        <v>278</v>
      </c>
      <c r="E318" s="11" t="s">
        <v>279</v>
      </c>
      <c r="F318" s="11" t="s">
        <v>335</v>
      </c>
      <c r="G318" s="11" t="s">
        <v>336</v>
      </c>
      <c r="H318" s="37" t="n">
        <v>2688</v>
      </c>
      <c r="I318" s="39" t="n">
        <f aca="false">Assumptions!$C$9</f>
        <v>0.8</v>
      </c>
      <c r="J318" s="37" t="n">
        <f aca="false">H318*I318</f>
        <v>2150.4</v>
      </c>
      <c r="K318" s="38" t="n">
        <v>46411</v>
      </c>
      <c r="L318" s="11" t="n">
        <v>0</v>
      </c>
      <c r="M318" s="11" t="n">
        <v>7</v>
      </c>
      <c r="N318" s="38" t="n">
        <v>46419</v>
      </c>
      <c r="O318" s="11" t="str">
        <f aca="false">IF(INT((N318-Assumptions!$C$2)/7)+1&gt;Assumptions!$C$3,"after W13",INT((N318-Assumptions!$C$2)/7)+1)</f>
        <v>after W13</v>
      </c>
      <c r="P318" s="38" t="n">
        <f aca="false">IF(AND(D318="Receipt",G318="C01"),WORKDAY(N318+Assumptions!$C$14-1,1),N318)</f>
        <v>46419</v>
      </c>
      <c r="Q318" s="11" t="str">
        <f aca="false">IF(INT((P318-Assumptions!$C$2)/7)+1&gt;Assumptions!$C$3,"after W13",INT((P318-Assumptions!$C$2)/7)+1)</f>
        <v>after W13</v>
      </c>
      <c r="R318" s="38" t="n">
        <f aca="false">IF(AND(D318="Receipt",OR(G318="C01",G318="C02",G318="C03",G318="C04",G318="C07")),WORKDAY(N318+IF(G318="C01",Assumptions!$C$14,Assumptions!$C$15)-1,1),N318)</f>
        <v>46419</v>
      </c>
      <c r="S318" s="11" t="str">
        <f aca="false">IF(INT((R318-Assumptions!$C$2)/7)+1&gt;Assumptions!$C$3,"after W13",INT((R318-Assumptions!$C$2)/7)+1)</f>
        <v>after W13</v>
      </c>
      <c r="T318" s="11" t="s">
        <v>864</v>
      </c>
      <c r="U318" s="11" t="s">
        <v>275</v>
      </c>
      <c r="V318" s="11" t="s">
        <v>283</v>
      </c>
    </row>
    <row r="319" customFormat="false" ht="15" hidden="false" customHeight="false" outlineLevel="0" collapsed="false">
      <c r="A319" s="11" t="s">
        <v>1006</v>
      </c>
      <c r="B319" s="11" t="s">
        <v>49</v>
      </c>
      <c r="C319" s="11" t="s">
        <v>1007</v>
      </c>
      <c r="D319" s="11" t="s">
        <v>278</v>
      </c>
      <c r="E319" s="11" t="s">
        <v>279</v>
      </c>
      <c r="F319" s="11" t="s">
        <v>335</v>
      </c>
      <c r="G319" s="11" t="s">
        <v>336</v>
      </c>
      <c r="H319" s="37" t="n">
        <v>6228</v>
      </c>
      <c r="I319" s="39" t="n">
        <f aca="false">Assumptions!$C$9</f>
        <v>0.8</v>
      </c>
      <c r="J319" s="37" t="n">
        <f aca="false">H319*I319</f>
        <v>4982.4</v>
      </c>
      <c r="K319" s="38" t="n">
        <v>46412</v>
      </c>
      <c r="L319" s="11" t="n">
        <v>0</v>
      </c>
      <c r="M319" s="11" t="n">
        <v>7</v>
      </c>
      <c r="N319" s="38" t="n">
        <v>46419</v>
      </c>
      <c r="O319" s="11" t="str">
        <f aca="false">IF(INT((N319-Assumptions!$C$2)/7)+1&gt;Assumptions!$C$3,"after W13",INT((N319-Assumptions!$C$2)/7)+1)</f>
        <v>after W13</v>
      </c>
      <c r="P319" s="38" t="n">
        <f aca="false">IF(AND(D319="Receipt",G319="C01"),WORKDAY(N319+Assumptions!$C$14-1,1),N319)</f>
        <v>46419</v>
      </c>
      <c r="Q319" s="11" t="str">
        <f aca="false">IF(INT((P319-Assumptions!$C$2)/7)+1&gt;Assumptions!$C$3,"after W13",INT((P319-Assumptions!$C$2)/7)+1)</f>
        <v>after W13</v>
      </c>
      <c r="R319" s="38" t="n">
        <f aca="false">IF(AND(D319="Receipt",OR(G319="C01",G319="C02",G319="C03",G319="C04",G319="C07")),WORKDAY(N319+IF(G319="C01",Assumptions!$C$14,Assumptions!$C$15)-1,1),N319)</f>
        <v>46419</v>
      </c>
      <c r="S319" s="11" t="str">
        <f aca="false">IF(INT((R319-Assumptions!$C$2)/7)+1&gt;Assumptions!$C$3,"after W13",INT((R319-Assumptions!$C$2)/7)+1)</f>
        <v>after W13</v>
      </c>
      <c r="T319" s="11" t="s">
        <v>864</v>
      </c>
      <c r="U319" s="11" t="s">
        <v>275</v>
      </c>
      <c r="V319" s="11" t="s">
        <v>283</v>
      </c>
    </row>
    <row r="320" customFormat="false" ht="15" hidden="false" customHeight="false" outlineLevel="0" collapsed="false">
      <c r="A320" s="11" t="s">
        <v>1008</v>
      </c>
      <c r="B320" s="11" t="s">
        <v>49</v>
      </c>
      <c r="C320" s="11" t="s">
        <v>1009</v>
      </c>
      <c r="D320" s="11" t="s">
        <v>278</v>
      </c>
      <c r="E320" s="11" t="s">
        <v>279</v>
      </c>
      <c r="F320" s="11" t="s">
        <v>280</v>
      </c>
      <c r="G320" s="11" t="s">
        <v>281</v>
      </c>
      <c r="H320" s="37" t="n">
        <v>9552</v>
      </c>
      <c r="I320" s="39" t="n">
        <f aca="false">Assumptions!$C$9</f>
        <v>0.8</v>
      </c>
      <c r="J320" s="37" t="n">
        <f aca="false">H320*I320</f>
        <v>7641.6</v>
      </c>
      <c r="K320" s="38" t="n">
        <v>46419</v>
      </c>
      <c r="L320" s="11" t="n">
        <v>0</v>
      </c>
      <c r="M320" s="11" t="n">
        <v>0</v>
      </c>
      <c r="N320" s="38" t="n">
        <v>46419</v>
      </c>
      <c r="O320" s="11" t="str">
        <f aca="false">IF(INT((N320-Assumptions!$C$2)/7)+1&gt;Assumptions!$C$3,"after W13",INT((N320-Assumptions!$C$2)/7)+1)</f>
        <v>after W13</v>
      </c>
      <c r="P320" s="38" t="n">
        <f aca="false">IF(AND(D320="Receipt",G320="C01"),WORKDAY(N320+Assumptions!$C$14-1,1),N320)</f>
        <v>46419</v>
      </c>
      <c r="Q320" s="11" t="str">
        <f aca="false">IF(INT((P320-Assumptions!$C$2)/7)+1&gt;Assumptions!$C$3,"after W13",INT((P320-Assumptions!$C$2)/7)+1)</f>
        <v>after W13</v>
      </c>
      <c r="R320" s="38" t="n">
        <f aca="false">IF(AND(D320="Receipt",OR(G320="C01",G320="C02",G320="C03",G320="C04",G320="C07")),WORKDAY(N320+IF(G320="C01",Assumptions!$C$14,Assumptions!$C$15)-1,1),N320)</f>
        <v>46419</v>
      </c>
      <c r="S320" s="11" t="str">
        <f aca="false">IF(INT((R320-Assumptions!$C$2)/7)+1&gt;Assumptions!$C$3,"after W13",INT((R320-Assumptions!$C$2)/7)+1)</f>
        <v>after W13</v>
      </c>
      <c r="T320" s="11" t="s">
        <v>864</v>
      </c>
      <c r="U320" s="11" t="s">
        <v>275</v>
      </c>
      <c r="V320" s="11" t="s">
        <v>283</v>
      </c>
    </row>
    <row r="321" customFormat="false" ht="15" hidden="false" customHeight="false" outlineLevel="0" collapsed="false">
      <c r="A321" s="11" t="s">
        <v>1010</v>
      </c>
      <c r="B321" s="11" t="s">
        <v>49</v>
      </c>
      <c r="C321" s="11" t="s">
        <v>1011</v>
      </c>
      <c r="D321" s="11" t="s">
        <v>278</v>
      </c>
      <c r="E321" s="11" t="s">
        <v>279</v>
      </c>
      <c r="F321" s="11" t="s">
        <v>280</v>
      </c>
      <c r="G321" s="11" t="s">
        <v>281</v>
      </c>
      <c r="H321" s="37" t="n">
        <v>12312</v>
      </c>
      <c r="I321" s="39" t="n">
        <f aca="false">Assumptions!$C$9</f>
        <v>0.8</v>
      </c>
      <c r="J321" s="37" t="n">
        <f aca="false">H321*I321</f>
        <v>9849.6</v>
      </c>
      <c r="K321" s="38" t="n">
        <v>46419</v>
      </c>
      <c r="L321" s="11" t="n">
        <v>0</v>
      </c>
      <c r="M321" s="11" t="n">
        <v>0</v>
      </c>
      <c r="N321" s="38" t="n">
        <v>46419</v>
      </c>
      <c r="O321" s="11" t="str">
        <f aca="false">IF(INT((N321-Assumptions!$C$2)/7)+1&gt;Assumptions!$C$3,"after W13",INT((N321-Assumptions!$C$2)/7)+1)</f>
        <v>after W13</v>
      </c>
      <c r="P321" s="38" t="n">
        <f aca="false">IF(AND(D321="Receipt",G321="C01"),WORKDAY(N321+Assumptions!$C$14-1,1),N321)</f>
        <v>46419</v>
      </c>
      <c r="Q321" s="11" t="str">
        <f aca="false">IF(INT((P321-Assumptions!$C$2)/7)+1&gt;Assumptions!$C$3,"after W13",INT((P321-Assumptions!$C$2)/7)+1)</f>
        <v>after W13</v>
      </c>
      <c r="R321" s="38" t="n">
        <f aca="false">IF(AND(D321="Receipt",OR(G321="C01",G321="C02",G321="C03",G321="C04",G321="C07")),WORKDAY(N321+IF(G321="C01",Assumptions!$C$14,Assumptions!$C$15)-1,1),N321)</f>
        <v>46419</v>
      </c>
      <c r="S321" s="11" t="str">
        <f aca="false">IF(INT((R321-Assumptions!$C$2)/7)+1&gt;Assumptions!$C$3,"after W13",INT((R321-Assumptions!$C$2)/7)+1)</f>
        <v>after W13</v>
      </c>
      <c r="T321" s="11" t="s">
        <v>864</v>
      </c>
      <c r="U321" s="11" t="s">
        <v>275</v>
      </c>
      <c r="V321" s="11" t="s">
        <v>283</v>
      </c>
    </row>
    <row r="322" customFormat="false" ht="15" hidden="false" customHeight="false" outlineLevel="0" collapsed="false">
      <c r="A322" s="11" t="s">
        <v>1012</v>
      </c>
      <c r="B322" s="11" t="s">
        <v>49</v>
      </c>
      <c r="C322" s="11" t="s">
        <v>1013</v>
      </c>
      <c r="D322" s="11" t="s">
        <v>278</v>
      </c>
      <c r="E322" s="11" t="s">
        <v>279</v>
      </c>
      <c r="F322" s="11" t="s">
        <v>280</v>
      </c>
      <c r="G322" s="11" t="s">
        <v>281</v>
      </c>
      <c r="H322" s="37" t="n">
        <v>5064</v>
      </c>
      <c r="I322" s="39" t="n">
        <f aca="false">Assumptions!$C$9</f>
        <v>0.8</v>
      </c>
      <c r="J322" s="37" t="n">
        <f aca="false">H322*I322</f>
        <v>4051.2</v>
      </c>
      <c r="K322" s="38" t="n">
        <v>46419</v>
      </c>
      <c r="L322" s="11" t="n">
        <v>0</v>
      </c>
      <c r="M322" s="11" t="n">
        <v>0</v>
      </c>
      <c r="N322" s="38" t="n">
        <v>46419</v>
      </c>
      <c r="O322" s="11" t="str">
        <f aca="false">IF(INT((N322-Assumptions!$C$2)/7)+1&gt;Assumptions!$C$3,"after W13",INT((N322-Assumptions!$C$2)/7)+1)</f>
        <v>after W13</v>
      </c>
      <c r="P322" s="38" t="n">
        <f aca="false">IF(AND(D322="Receipt",G322="C01"),WORKDAY(N322+Assumptions!$C$14-1,1),N322)</f>
        <v>46419</v>
      </c>
      <c r="Q322" s="11" t="str">
        <f aca="false">IF(INT((P322-Assumptions!$C$2)/7)+1&gt;Assumptions!$C$3,"after W13",INT((P322-Assumptions!$C$2)/7)+1)</f>
        <v>after W13</v>
      </c>
      <c r="R322" s="38" t="n">
        <f aca="false">IF(AND(D322="Receipt",OR(G322="C01",G322="C02",G322="C03",G322="C04",G322="C07")),WORKDAY(N322+IF(G322="C01",Assumptions!$C$14,Assumptions!$C$15)-1,1),N322)</f>
        <v>46419</v>
      </c>
      <c r="S322" s="11" t="str">
        <f aca="false">IF(INT((R322-Assumptions!$C$2)/7)+1&gt;Assumptions!$C$3,"after W13",INT((R322-Assumptions!$C$2)/7)+1)</f>
        <v>after W13</v>
      </c>
      <c r="T322" s="11" t="s">
        <v>864</v>
      </c>
      <c r="U322" s="11" t="s">
        <v>275</v>
      </c>
      <c r="V322" s="11" t="s">
        <v>283</v>
      </c>
    </row>
    <row r="323" customFormat="false" ht="15" hidden="false" customHeight="false" outlineLevel="0" collapsed="false">
      <c r="A323" s="11" t="s">
        <v>1014</v>
      </c>
      <c r="B323" s="11" t="s">
        <v>49</v>
      </c>
      <c r="C323" s="11" t="s">
        <v>1015</v>
      </c>
      <c r="D323" s="11" t="s">
        <v>278</v>
      </c>
      <c r="E323" s="11" t="s">
        <v>391</v>
      </c>
      <c r="F323" s="11" t="s">
        <v>392</v>
      </c>
      <c r="G323" s="11" t="s">
        <v>393</v>
      </c>
      <c r="H323" s="37" t="n">
        <v>8736</v>
      </c>
      <c r="I323" s="26" t="n">
        <v>1</v>
      </c>
      <c r="J323" s="37" t="n">
        <f aca="false">H323*I323</f>
        <v>8736</v>
      </c>
      <c r="K323" s="38" t="n">
        <v>46396</v>
      </c>
      <c r="L323" s="11" t="n">
        <v>0</v>
      </c>
      <c r="M323" s="11" t="n">
        <v>23.5</v>
      </c>
      <c r="N323" s="38" t="n">
        <v>46420</v>
      </c>
      <c r="O323" s="11" t="str">
        <f aca="false">IF(INT((N323-Assumptions!$C$2)/7)+1&gt;Assumptions!$C$3,"after W13",INT((N323-Assumptions!$C$2)/7)+1)</f>
        <v>after W13</v>
      </c>
      <c r="P323" s="38" t="n">
        <f aca="false">IF(AND(D323="Receipt",G323="C01"),WORKDAY(N323+Assumptions!$C$14-1,1),N323)</f>
        <v>46420</v>
      </c>
      <c r="Q323" s="11" t="str">
        <f aca="false">IF(INT((P323-Assumptions!$C$2)/7)+1&gt;Assumptions!$C$3,"after W13",INT((P323-Assumptions!$C$2)/7)+1)</f>
        <v>after W13</v>
      </c>
      <c r="R323" s="38" t="n">
        <f aca="false">IF(AND(D323="Receipt",OR(G323="C01",G323="C02",G323="C03",G323="C04",G323="C07")),WORKDAY(N323+IF(G323="C01",Assumptions!$C$14,Assumptions!$C$15)-1,1),N323)</f>
        <v>46420</v>
      </c>
      <c r="S323" s="11" t="str">
        <f aca="false">IF(INT((R323-Assumptions!$C$2)/7)+1&gt;Assumptions!$C$3,"after W13",INT((R323-Assumptions!$C$2)/7)+1)</f>
        <v>after W13</v>
      </c>
      <c r="T323" s="11" t="s">
        <v>538</v>
      </c>
      <c r="U323" s="11" t="s">
        <v>275</v>
      </c>
      <c r="V323" s="11" t="s">
        <v>283</v>
      </c>
    </row>
    <row r="324" customFormat="false" ht="15" hidden="false" customHeight="false" outlineLevel="0" collapsed="false">
      <c r="A324" s="11" t="s">
        <v>1016</v>
      </c>
      <c r="B324" s="11" t="s">
        <v>49</v>
      </c>
      <c r="C324" s="11" t="s">
        <v>1017</v>
      </c>
      <c r="D324" s="11" t="s">
        <v>278</v>
      </c>
      <c r="E324" s="11" t="s">
        <v>286</v>
      </c>
      <c r="F324" s="11" t="s">
        <v>349</v>
      </c>
      <c r="G324" s="11" t="s">
        <v>350</v>
      </c>
      <c r="H324" s="37" t="n">
        <v>19404</v>
      </c>
      <c r="I324" s="39" t="n">
        <f aca="false">Assumptions!$C$9</f>
        <v>0.8</v>
      </c>
      <c r="J324" s="37" t="n">
        <f aca="false">H324*I324</f>
        <v>15523.2</v>
      </c>
      <c r="K324" s="38" t="n">
        <v>46410</v>
      </c>
      <c r="L324" s="11" t="n">
        <v>0</v>
      </c>
      <c r="M324" s="11" t="n">
        <v>10</v>
      </c>
      <c r="N324" s="38" t="n">
        <v>46420</v>
      </c>
      <c r="O324" s="11" t="str">
        <f aca="false">IF(INT((N324-Assumptions!$C$2)/7)+1&gt;Assumptions!$C$3,"after W13",INT((N324-Assumptions!$C$2)/7)+1)</f>
        <v>after W13</v>
      </c>
      <c r="P324" s="38" t="n">
        <f aca="false">IF(AND(D324="Receipt",G324="C01"),WORKDAY(N324+Assumptions!$C$14-1,1),N324)</f>
        <v>46420</v>
      </c>
      <c r="Q324" s="11" t="str">
        <f aca="false">IF(INT((P324-Assumptions!$C$2)/7)+1&gt;Assumptions!$C$3,"after W13",INT((P324-Assumptions!$C$2)/7)+1)</f>
        <v>after W13</v>
      </c>
      <c r="R324" s="38" t="n">
        <f aca="false">IF(AND(D324="Receipt",OR(G324="C01",G324="C02",G324="C03",G324="C04",G324="C07")),WORKDAY(N324+IF(G324="C01",Assumptions!$C$14,Assumptions!$C$15)-1,1),N324)</f>
        <v>46435</v>
      </c>
      <c r="S324" s="11" t="str">
        <f aca="false">IF(INT((R324-Assumptions!$C$2)/7)+1&gt;Assumptions!$C$3,"after W13",INT((R324-Assumptions!$C$2)/7)+1)</f>
        <v>after W13</v>
      </c>
      <c r="T324" s="11" t="s">
        <v>864</v>
      </c>
      <c r="U324" s="11" t="s">
        <v>275</v>
      </c>
      <c r="V324" s="11" t="s">
        <v>283</v>
      </c>
    </row>
    <row r="325" customFormat="false" ht="15" hidden="false" customHeight="false" outlineLevel="0" collapsed="false">
      <c r="A325" s="11" t="s">
        <v>1018</v>
      </c>
      <c r="B325" s="11" t="s">
        <v>49</v>
      </c>
      <c r="C325" s="11" t="s">
        <v>1019</v>
      </c>
      <c r="D325" s="11" t="s">
        <v>278</v>
      </c>
      <c r="E325" s="11" t="s">
        <v>286</v>
      </c>
      <c r="F325" s="11" t="s">
        <v>331</v>
      </c>
      <c r="G325" s="11" t="s">
        <v>332</v>
      </c>
      <c r="H325" s="37" t="n">
        <v>7812</v>
      </c>
      <c r="I325" s="39" t="n">
        <f aca="false">Assumptions!$C$9</f>
        <v>0.8</v>
      </c>
      <c r="J325" s="37" t="n">
        <f aca="false">H325*I325</f>
        <v>6249.6</v>
      </c>
      <c r="K325" s="38" t="n">
        <v>46397</v>
      </c>
      <c r="L325" s="11" t="n">
        <v>0</v>
      </c>
      <c r="M325" s="11" t="n">
        <v>25</v>
      </c>
      <c r="N325" s="38" t="n">
        <v>46422</v>
      </c>
      <c r="O325" s="11" t="str">
        <f aca="false">IF(INT((N325-Assumptions!$C$2)/7)+1&gt;Assumptions!$C$3,"after W13",INT((N325-Assumptions!$C$2)/7)+1)</f>
        <v>after W13</v>
      </c>
      <c r="P325" s="38" t="n">
        <f aca="false">IF(AND(D325="Receipt",G325="C01"),WORKDAY(N325+Assumptions!$C$14-1,1),N325)</f>
        <v>46422</v>
      </c>
      <c r="Q325" s="11" t="str">
        <f aca="false">IF(INT((P325-Assumptions!$C$2)/7)+1&gt;Assumptions!$C$3,"after W13",INT((P325-Assumptions!$C$2)/7)+1)</f>
        <v>after W13</v>
      </c>
      <c r="R325" s="38" t="n">
        <f aca="false">IF(AND(D325="Receipt",OR(G325="C01",G325="C02",G325="C03",G325="C04",G325="C07")),WORKDAY(N325+IF(G325="C01",Assumptions!$C$14,Assumptions!$C$15)-1,1),N325)</f>
        <v>46437</v>
      </c>
      <c r="S325" s="11" t="str">
        <f aca="false">IF(INT((R325-Assumptions!$C$2)/7)+1&gt;Assumptions!$C$3,"after W13",INT((R325-Assumptions!$C$2)/7)+1)</f>
        <v>after W13</v>
      </c>
      <c r="T325" s="11" t="s">
        <v>864</v>
      </c>
      <c r="U325" s="11" t="s">
        <v>275</v>
      </c>
      <c r="V325" s="11" t="s">
        <v>283</v>
      </c>
    </row>
    <row r="326" customFormat="false" ht="15" hidden="false" customHeight="false" outlineLevel="0" collapsed="false">
      <c r="A326" s="11" t="s">
        <v>1020</v>
      </c>
      <c r="B326" s="11" t="s">
        <v>49</v>
      </c>
      <c r="C326" s="11" t="s">
        <v>1021</v>
      </c>
      <c r="D326" s="11" t="s">
        <v>278</v>
      </c>
      <c r="E326" s="11" t="s">
        <v>279</v>
      </c>
      <c r="F326" s="11" t="s">
        <v>280</v>
      </c>
      <c r="G326" s="11" t="s">
        <v>281</v>
      </c>
      <c r="H326" s="37" t="n">
        <v>9876</v>
      </c>
      <c r="I326" s="39" t="n">
        <f aca="false">Assumptions!$C$9</f>
        <v>0.8</v>
      </c>
      <c r="J326" s="37" t="n">
        <f aca="false">H326*I326</f>
        <v>7900.8</v>
      </c>
      <c r="K326" s="38" t="n">
        <v>46422</v>
      </c>
      <c r="L326" s="11" t="n">
        <v>0</v>
      </c>
      <c r="M326" s="11" t="n">
        <v>0</v>
      </c>
      <c r="N326" s="38" t="n">
        <v>46422</v>
      </c>
      <c r="O326" s="11" t="str">
        <f aca="false">IF(INT((N326-Assumptions!$C$2)/7)+1&gt;Assumptions!$C$3,"after W13",INT((N326-Assumptions!$C$2)/7)+1)</f>
        <v>after W13</v>
      </c>
      <c r="P326" s="38" t="n">
        <f aca="false">IF(AND(D326="Receipt",G326="C01"),WORKDAY(N326+Assumptions!$C$14-1,1),N326)</f>
        <v>46422</v>
      </c>
      <c r="Q326" s="11" t="str">
        <f aca="false">IF(INT((P326-Assumptions!$C$2)/7)+1&gt;Assumptions!$C$3,"after W13",INT((P326-Assumptions!$C$2)/7)+1)</f>
        <v>after W13</v>
      </c>
      <c r="R326" s="38" t="n">
        <f aca="false">IF(AND(D326="Receipt",OR(G326="C01",G326="C02",G326="C03",G326="C04",G326="C07")),WORKDAY(N326+IF(G326="C01",Assumptions!$C$14,Assumptions!$C$15)-1,1),N326)</f>
        <v>46422</v>
      </c>
      <c r="S326" s="11" t="str">
        <f aca="false">IF(INT((R326-Assumptions!$C$2)/7)+1&gt;Assumptions!$C$3,"after W13",INT((R326-Assumptions!$C$2)/7)+1)</f>
        <v>after W13</v>
      </c>
      <c r="T326" s="11" t="s">
        <v>864</v>
      </c>
      <c r="U326" s="11" t="s">
        <v>275</v>
      </c>
      <c r="V326" s="11" t="s">
        <v>283</v>
      </c>
    </row>
    <row r="327" customFormat="false" ht="15" hidden="false" customHeight="false" outlineLevel="0" collapsed="false">
      <c r="A327" s="11" t="s">
        <v>1022</v>
      </c>
      <c r="B327" s="11" t="s">
        <v>49</v>
      </c>
      <c r="C327" s="11" t="s">
        <v>1023</v>
      </c>
      <c r="D327" s="11" t="s">
        <v>278</v>
      </c>
      <c r="E327" s="11" t="s">
        <v>279</v>
      </c>
      <c r="F327" s="11" t="s">
        <v>280</v>
      </c>
      <c r="G327" s="11" t="s">
        <v>281</v>
      </c>
      <c r="H327" s="37" t="n">
        <v>10692</v>
      </c>
      <c r="I327" s="39" t="n">
        <f aca="false">Assumptions!$C$9</f>
        <v>0.8</v>
      </c>
      <c r="J327" s="37" t="n">
        <f aca="false">H327*I327</f>
        <v>8553.6</v>
      </c>
      <c r="K327" s="38" t="n">
        <v>46422</v>
      </c>
      <c r="L327" s="11" t="n">
        <v>0</v>
      </c>
      <c r="M327" s="11" t="n">
        <v>0</v>
      </c>
      <c r="N327" s="38" t="n">
        <v>46422</v>
      </c>
      <c r="O327" s="11" t="str">
        <f aca="false">IF(INT((N327-Assumptions!$C$2)/7)+1&gt;Assumptions!$C$3,"after W13",INT((N327-Assumptions!$C$2)/7)+1)</f>
        <v>after W13</v>
      </c>
      <c r="P327" s="38" t="n">
        <f aca="false">IF(AND(D327="Receipt",G327="C01"),WORKDAY(N327+Assumptions!$C$14-1,1),N327)</f>
        <v>46422</v>
      </c>
      <c r="Q327" s="11" t="str">
        <f aca="false">IF(INT((P327-Assumptions!$C$2)/7)+1&gt;Assumptions!$C$3,"after W13",INT((P327-Assumptions!$C$2)/7)+1)</f>
        <v>after W13</v>
      </c>
      <c r="R327" s="38" t="n">
        <f aca="false">IF(AND(D327="Receipt",OR(G327="C01",G327="C02",G327="C03",G327="C04",G327="C07")),WORKDAY(N327+IF(G327="C01",Assumptions!$C$14,Assumptions!$C$15)-1,1),N327)</f>
        <v>46422</v>
      </c>
      <c r="S327" s="11" t="str">
        <f aca="false">IF(INT((R327-Assumptions!$C$2)/7)+1&gt;Assumptions!$C$3,"after W13",INT((R327-Assumptions!$C$2)/7)+1)</f>
        <v>after W13</v>
      </c>
      <c r="T327" s="11" t="s">
        <v>864</v>
      </c>
      <c r="U327" s="11" t="s">
        <v>275</v>
      </c>
      <c r="V327" s="11" t="s">
        <v>283</v>
      </c>
    </row>
    <row r="328" customFormat="false" ht="15" hidden="false" customHeight="false" outlineLevel="0" collapsed="false">
      <c r="A328" s="11" t="s">
        <v>1024</v>
      </c>
      <c r="B328" s="11" t="s">
        <v>49</v>
      </c>
      <c r="C328" s="11" t="s">
        <v>1025</v>
      </c>
      <c r="D328" s="11" t="s">
        <v>278</v>
      </c>
      <c r="E328" s="11" t="s">
        <v>286</v>
      </c>
      <c r="F328" s="11" t="s">
        <v>331</v>
      </c>
      <c r="G328" s="11" t="s">
        <v>332</v>
      </c>
      <c r="H328" s="37" t="n">
        <v>13680</v>
      </c>
      <c r="I328" s="39" t="n">
        <f aca="false">Assumptions!$C$9</f>
        <v>0.8</v>
      </c>
      <c r="J328" s="37" t="n">
        <f aca="false">H328*I328</f>
        <v>10944</v>
      </c>
      <c r="K328" s="38" t="n">
        <v>46398</v>
      </c>
      <c r="L328" s="11" t="n">
        <v>0</v>
      </c>
      <c r="M328" s="11" t="n">
        <v>25</v>
      </c>
      <c r="N328" s="38" t="n">
        <v>46423</v>
      </c>
      <c r="O328" s="11" t="str">
        <f aca="false">IF(INT((N328-Assumptions!$C$2)/7)+1&gt;Assumptions!$C$3,"after W13",INT((N328-Assumptions!$C$2)/7)+1)</f>
        <v>after W13</v>
      </c>
      <c r="P328" s="38" t="n">
        <f aca="false">IF(AND(D328="Receipt",G328="C01"),WORKDAY(N328+Assumptions!$C$14-1,1),N328)</f>
        <v>46423</v>
      </c>
      <c r="Q328" s="11" t="str">
        <f aca="false">IF(INT((P328-Assumptions!$C$2)/7)+1&gt;Assumptions!$C$3,"after W13",INT((P328-Assumptions!$C$2)/7)+1)</f>
        <v>after W13</v>
      </c>
      <c r="R328" s="38" t="n">
        <f aca="false">IF(AND(D328="Receipt",OR(G328="C01",G328="C02",G328="C03",G328="C04",G328="C07")),WORKDAY(N328+IF(G328="C01",Assumptions!$C$14,Assumptions!$C$15)-1,1),N328)</f>
        <v>46440</v>
      </c>
      <c r="S328" s="11" t="str">
        <f aca="false">IF(INT((R328-Assumptions!$C$2)/7)+1&gt;Assumptions!$C$3,"after W13",INT((R328-Assumptions!$C$2)/7)+1)</f>
        <v>after W13</v>
      </c>
      <c r="T328" s="11" t="s">
        <v>864</v>
      </c>
      <c r="U328" s="11" t="s">
        <v>275</v>
      </c>
      <c r="V328" s="11" t="s">
        <v>283</v>
      </c>
    </row>
    <row r="329" customFormat="false" ht="15" hidden="false" customHeight="false" outlineLevel="0" collapsed="false">
      <c r="A329" s="11" t="s">
        <v>1026</v>
      </c>
      <c r="B329" s="11" t="s">
        <v>49</v>
      </c>
      <c r="C329" s="11" t="s">
        <v>1027</v>
      </c>
      <c r="D329" s="11" t="s">
        <v>278</v>
      </c>
      <c r="E329" s="11" t="s">
        <v>279</v>
      </c>
      <c r="F329" s="11" t="s">
        <v>335</v>
      </c>
      <c r="G329" s="11" t="s">
        <v>336</v>
      </c>
      <c r="H329" s="37" t="n">
        <v>7200</v>
      </c>
      <c r="I329" s="39" t="n">
        <f aca="false">Assumptions!$C$9</f>
        <v>0.8</v>
      </c>
      <c r="J329" s="37" t="n">
        <f aca="false">H329*I329</f>
        <v>5760</v>
      </c>
      <c r="K329" s="38" t="n">
        <v>46416</v>
      </c>
      <c r="L329" s="11" t="n">
        <v>0</v>
      </c>
      <c r="M329" s="11" t="n">
        <v>7</v>
      </c>
      <c r="N329" s="38" t="n">
        <v>46423</v>
      </c>
      <c r="O329" s="11" t="str">
        <f aca="false">IF(INT((N329-Assumptions!$C$2)/7)+1&gt;Assumptions!$C$3,"after W13",INT((N329-Assumptions!$C$2)/7)+1)</f>
        <v>after W13</v>
      </c>
      <c r="P329" s="38" t="n">
        <f aca="false">IF(AND(D329="Receipt",G329="C01"),WORKDAY(N329+Assumptions!$C$14-1,1),N329)</f>
        <v>46423</v>
      </c>
      <c r="Q329" s="11" t="str">
        <f aca="false">IF(INT((P329-Assumptions!$C$2)/7)+1&gt;Assumptions!$C$3,"after W13",INT((P329-Assumptions!$C$2)/7)+1)</f>
        <v>after W13</v>
      </c>
      <c r="R329" s="38" t="n">
        <f aca="false">IF(AND(D329="Receipt",OR(G329="C01",G329="C02",G329="C03",G329="C04",G329="C07")),WORKDAY(N329+IF(G329="C01",Assumptions!$C$14,Assumptions!$C$15)-1,1),N329)</f>
        <v>46423</v>
      </c>
      <c r="S329" s="11" t="str">
        <f aca="false">IF(INT((R329-Assumptions!$C$2)/7)+1&gt;Assumptions!$C$3,"after W13",INT((R329-Assumptions!$C$2)/7)+1)</f>
        <v>after W13</v>
      </c>
      <c r="T329" s="11" t="s">
        <v>864</v>
      </c>
      <c r="U329" s="11" t="s">
        <v>275</v>
      </c>
      <c r="V329" s="11" t="s">
        <v>283</v>
      </c>
    </row>
    <row r="330" customFormat="false" ht="15" hidden="false" customHeight="false" outlineLevel="0" collapsed="false">
      <c r="A330" s="11" t="s">
        <v>1028</v>
      </c>
      <c r="B330" s="11" t="s">
        <v>49</v>
      </c>
      <c r="C330" s="11" t="s">
        <v>1029</v>
      </c>
      <c r="D330" s="11" t="s">
        <v>278</v>
      </c>
      <c r="E330" s="11" t="s">
        <v>279</v>
      </c>
      <c r="F330" s="11" t="s">
        <v>335</v>
      </c>
      <c r="G330" s="11" t="s">
        <v>336</v>
      </c>
      <c r="H330" s="37" t="n">
        <v>6096</v>
      </c>
      <c r="I330" s="39" t="n">
        <f aca="false">Assumptions!$C$9</f>
        <v>0.8</v>
      </c>
      <c r="J330" s="37" t="n">
        <f aca="false">H330*I330</f>
        <v>4876.8</v>
      </c>
      <c r="K330" s="38" t="n">
        <v>46416</v>
      </c>
      <c r="L330" s="11" t="n">
        <v>0</v>
      </c>
      <c r="M330" s="11" t="n">
        <v>7</v>
      </c>
      <c r="N330" s="38" t="n">
        <v>46423</v>
      </c>
      <c r="O330" s="11" t="str">
        <f aca="false">IF(INT((N330-Assumptions!$C$2)/7)+1&gt;Assumptions!$C$3,"after W13",INT((N330-Assumptions!$C$2)/7)+1)</f>
        <v>after W13</v>
      </c>
      <c r="P330" s="38" t="n">
        <f aca="false">IF(AND(D330="Receipt",G330="C01"),WORKDAY(N330+Assumptions!$C$14-1,1),N330)</f>
        <v>46423</v>
      </c>
      <c r="Q330" s="11" t="str">
        <f aca="false">IF(INT((P330-Assumptions!$C$2)/7)+1&gt;Assumptions!$C$3,"after W13",INT((P330-Assumptions!$C$2)/7)+1)</f>
        <v>after W13</v>
      </c>
      <c r="R330" s="38" t="n">
        <f aca="false">IF(AND(D330="Receipt",OR(G330="C01",G330="C02",G330="C03",G330="C04",G330="C07")),WORKDAY(N330+IF(G330="C01",Assumptions!$C$14,Assumptions!$C$15)-1,1),N330)</f>
        <v>46423</v>
      </c>
      <c r="S330" s="11" t="str">
        <f aca="false">IF(INT((R330-Assumptions!$C$2)/7)+1&gt;Assumptions!$C$3,"after W13",INT((R330-Assumptions!$C$2)/7)+1)</f>
        <v>after W13</v>
      </c>
      <c r="T330" s="11" t="s">
        <v>864</v>
      </c>
      <c r="U330" s="11" t="s">
        <v>275</v>
      </c>
      <c r="V330" s="11" t="s">
        <v>283</v>
      </c>
    </row>
    <row r="331" customFormat="false" ht="15" hidden="false" customHeight="false" outlineLevel="0" collapsed="false">
      <c r="A331" s="11" t="s">
        <v>1030</v>
      </c>
      <c r="B331" s="11" t="s">
        <v>49</v>
      </c>
      <c r="C331" s="11" t="s">
        <v>1031</v>
      </c>
      <c r="D331" s="11" t="s">
        <v>278</v>
      </c>
      <c r="E331" s="11" t="s">
        <v>279</v>
      </c>
      <c r="F331" s="11" t="s">
        <v>335</v>
      </c>
      <c r="G331" s="11" t="s">
        <v>336</v>
      </c>
      <c r="H331" s="37" t="n">
        <v>8028</v>
      </c>
      <c r="I331" s="39" t="n">
        <f aca="false">Assumptions!$C$9</f>
        <v>0.8</v>
      </c>
      <c r="J331" s="37" t="n">
        <f aca="false">H331*I331</f>
        <v>6422.4</v>
      </c>
      <c r="K331" s="38" t="n">
        <v>46416</v>
      </c>
      <c r="L331" s="11" t="n">
        <v>0</v>
      </c>
      <c r="M331" s="11" t="n">
        <v>7</v>
      </c>
      <c r="N331" s="38" t="n">
        <v>46423</v>
      </c>
      <c r="O331" s="11" t="str">
        <f aca="false">IF(INT((N331-Assumptions!$C$2)/7)+1&gt;Assumptions!$C$3,"after W13",INT((N331-Assumptions!$C$2)/7)+1)</f>
        <v>after W13</v>
      </c>
      <c r="P331" s="38" t="n">
        <f aca="false">IF(AND(D331="Receipt",G331="C01"),WORKDAY(N331+Assumptions!$C$14-1,1),N331)</f>
        <v>46423</v>
      </c>
      <c r="Q331" s="11" t="str">
        <f aca="false">IF(INT((P331-Assumptions!$C$2)/7)+1&gt;Assumptions!$C$3,"after W13",INT((P331-Assumptions!$C$2)/7)+1)</f>
        <v>after W13</v>
      </c>
      <c r="R331" s="38" t="n">
        <f aca="false">IF(AND(D331="Receipt",OR(G331="C01",G331="C02",G331="C03",G331="C04",G331="C07")),WORKDAY(N331+IF(G331="C01",Assumptions!$C$14,Assumptions!$C$15)-1,1),N331)</f>
        <v>46423</v>
      </c>
      <c r="S331" s="11" t="str">
        <f aca="false">IF(INT((R331-Assumptions!$C$2)/7)+1&gt;Assumptions!$C$3,"after W13",INT((R331-Assumptions!$C$2)/7)+1)</f>
        <v>after W13</v>
      </c>
      <c r="T331" s="11" t="s">
        <v>864</v>
      </c>
      <c r="U331" s="11" t="s">
        <v>275</v>
      </c>
      <c r="V331" s="11" t="s">
        <v>283</v>
      </c>
    </row>
    <row r="332" customFormat="false" ht="15" hidden="false" customHeight="false" outlineLevel="0" collapsed="false">
      <c r="A332" s="11" t="s">
        <v>1032</v>
      </c>
      <c r="B332" s="11" t="s">
        <v>49</v>
      </c>
      <c r="C332" s="11" t="s">
        <v>1033</v>
      </c>
      <c r="D332" s="11" t="s">
        <v>278</v>
      </c>
      <c r="E332" s="11" t="s">
        <v>279</v>
      </c>
      <c r="F332" s="11" t="s">
        <v>280</v>
      </c>
      <c r="G332" s="11" t="s">
        <v>281</v>
      </c>
      <c r="H332" s="37" t="n">
        <v>13356</v>
      </c>
      <c r="I332" s="39" t="n">
        <f aca="false">Assumptions!$C$9</f>
        <v>0.8</v>
      </c>
      <c r="J332" s="37" t="n">
        <f aca="false">H332*I332</f>
        <v>10684.8</v>
      </c>
      <c r="K332" s="38" t="n">
        <v>46423</v>
      </c>
      <c r="L332" s="11" t="n">
        <v>0</v>
      </c>
      <c r="M332" s="11" t="n">
        <v>0</v>
      </c>
      <c r="N332" s="38" t="n">
        <v>46423</v>
      </c>
      <c r="O332" s="11" t="str">
        <f aca="false">IF(INT((N332-Assumptions!$C$2)/7)+1&gt;Assumptions!$C$3,"after W13",INT((N332-Assumptions!$C$2)/7)+1)</f>
        <v>after W13</v>
      </c>
      <c r="P332" s="38" t="n">
        <f aca="false">IF(AND(D332="Receipt",G332="C01"),WORKDAY(N332+Assumptions!$C$14-1,1),N332)</f>
        <v>46423</v>
      </c>
      <c r="Q332" s="11" t="str">
        <f aca="false">IF(INT((P332-Assumptions!$C$2)/7)+1&gt;Assumptions!$C$3,"after W13",INT((P332-Assumptions!$C$2)/7)+1)</f>
        <v>after W13</v>
      </c>
      <c r="R332" s="38" t="n">
        <f aca="false">IF(AND(D332="Receipt",OR(G332="C01",G332="C02",G332="C03",G332="C04",G332="C07")),WORKDAY(N332+IF(G332="C01",Assumptions!$C$14,Assumptions!$C$15)-1,1),N332)</f>
        <v>46423</v>
      </c>
      <c r="S332" s="11" t="str">
        <f aca="false">IF(INT((R332-Assumptions!$C$2)/7)+1&gt;Assumptions!$C$3,"after W13",INT((R332-Assumptions!$C$2)/7)+1)</f>
        <v>after W13</v>
      </c>
      <c r="T332" s="11" t="s">
        <v>864</v>
      </c>
      <c r="U332" s="11" t="s">
        <v>275</v>
      </c>
      <c r="V332" s="11" t="s">
        <v>283</v>
      </c>
    </row>
    <row r="333" customFormat="false" ht="15" hidden="false" customHeight="false" outlineLevel="0" collapsed="false">
      <c r="A333" s="11" t="s">
        <v>1034</v>
      </c>
      <c r="B333" s="11" t="s">
        <v>49</v>
      </c>
      <c r="C333" s="11" t="s">
        <v>1035</v>
      </c>
      <c r="D333" s="11" t="s">
        <v>278</v>
      </c>
      <c r="E333" s="11" t="s">
        <v>286</v>
      </c>
      <c r="F333" s="11" t="s">
        <v>327</v>
      </c>
      <c r="G333" s="11" t="s">
        <v>328</v>
      </c>
      <c r="H333" s="37" t="n">
        <v>17544</v>
      </c>
      <c r="I333" s="26" t="n">
        <v>1</v>
      </c>
      <c r="J333" s="37" t="n">
        <f aca="false">H333*I333</f>
        <v>17544</v>
      </c>
      <c r="K333" s="38" t="n">
        <v>46404</v>
      </c>
      <c r="L333" s="11" t="n">
        <v>0</v>
      </c>
      <c r="M333" s="11" t="n">
        <v>21</v>
      </c>
      <c r="N333" s="38" t="n">
        <v>46426</v>
      </c>
      <c r="O333" s="11" t="str">
        <f aca="false">IF(INT((N333-Assumptions!$C$2)/7)+1&gt;Assumptions!$C$3,"after W13",INT((N333-Assumptions!$C$2)/7)+1)</f>
        <v>after W13</v>
      </c>
      <c r="P333" s="38" t="n">
        <f aca="false">IF(AND(D333="Receipt",G333="C01"),WORKDAY(N333+Assumptions!$C$14-1,1),N333)</f>
        <v>46426</v>
      </c>
      <c r="Q333" s="11" t="str">
        <f aca="false">IF(INT((P333-Assumptions!$C$2)/7)+1&gt;Assumptions!$C$3,"after W13",INT((P333-Assumptions!$C$2)/7)+1)</f>
        <v>after W13</v>
      </c>
      <c r="R333" s="38" t="n">
        <f aca="false">IF(AND(D333="Receipt",OR(G333="C01",G333="C02",G333="C03",G333="C04",G333="C07")),WORKDAY(N333+IF(G333="C01",Assumptions!$C$14,Assumptions!$C$15)-1,1),N333)</f>
        <v>46441</v>
      </c>
      <c r="S333" s="11" t="str">
        <f aca="false">IF(INT((R333-Assumptions!$C$2)/7)+1&gt;Assumptions!$C$3,"after W13",INT((R333-Assumptions!$C$2)/7)+1)</f>
        <v>after W13</v>
      </c>
      <c r="T333" s="11" t="s">
        <v>538</v>
      </c>
      <c r="U333" s="11" t="s">
        <v>275</v>
      </c>
      <c r="V333" s="11" t="s">
        <v>283</v>
      </c>
    </row>
    <row r="334" customFormat="false" ht="15" hidden="false" customHeight="false" outlineLevel="0" collapsed="false">
      <c r="A334" s="11" t="s">
        <v>1036</v>
      </c>
      <c r="B334" s="11" t="s">
        <v>49</v>
      </c>
      <c r="C334" s="11" t="s">
        <v>1037</v>
      </c>
      <c r="D334" s="11" t="s">
        <v>278</v>
      </c>
      <c r="E334" s="11" t="s">
        <v>286</v>
      </c>
      <c r="F334" s="11" t="s">
        <v>327</v>
      </c>
      <c r="G334" s="11" t="s">
        <v>328</v>
      </c>
      <c r="H334" s="37" t="n">
        <v>7632</v>
      </c>
      <c r="I334" s="26" t="n">
        <v>1</v>
      </c>
      <c r="J334" s="37" t="n">
        <f aca="false">H334*I334</f>
        <v>7632</v>
      </c>
      <c r="K334" s="38" t="n">
        <v>46405</v>
      </c>
      <c r="L334" s="11" t="n">
        <v>0</v>
      </c>
      <c r="M334" s="11" t="n">
        <v>21</v>
      </c>
      <c r="N334" s="38" t="n">
        <v>46426</v>
      </c>
      <c r="O334" s="11" t="str">
        <f aca="false">IF(INT((N334-Assumptions!$C$2)/7)+1&gt;Assumptions!$C$3,"after W13",INT((N334-Assumptions!$C$2)/7)+1)</f>
        <v>after W13</v>
      </c>
      <c r="P334" s="38" t="n">
        <f aca="false">IF(AND(D334="Receipt",G334="C01"),WORKDAY(N334+Assumptions!$C$14-1,1),N334)</f>
        <v>46426</v>
      </c>
      <c r="Q334" s="11" t="str">
        <f aca="false">IF(INT((P334-Assumptions!$C$2)/7)+1&gt;Assumptions!$C$3,"after W13",INT((P334-Assumptions!$C$2)/7)+1)</f>
        <v>after W13</v>
      </c>
      <c r="R334" s="38" t="n">
        <f aca="false">IF(AND(D334="Receipt",OR(G334="C01",G334="C02",G334="C03",G334="C04",G334="C07")),WORKDAY(N334+IF(G334="C01",Assumptions!$C$14,Assumptions!$C$15)-1,1),N334)</f>
        <v>46441</v>
      </c>
      <c r="S334" s="11" t="str">
        <f aca="false">IF(INT((R334-Assumptions!$C$2)/7)+1&gt;Assumptions!$C$3,"after W13",INT((R334-Assumptions!$C$2)/7)+1)</f>
        <v>after W13</v>
      </c>
      <c r="T334" s="11" t="s">
        <v>538</v>
      </c>
      <c r="U334" s="11" t="s">
        <v>275</v>
      </c>
      <c r="V334" s="11" t="s">
        <v>283</v>
      </c>
    </row>
    <row r="335" customFormat="false" ht="15" hidden="false" customHeight="false" outlineLevel="0" collapsed="false">
      <c r="A335" s="11" t="s">
        <v>1038</v>
      </c>
      <c r="B335" s="11" t="s">
        <v>49</v>
      </c>
      <c r="C335" s="11" t="s">
        <v>1039</v>
      </c>
      <c r="D335" s="11" t="s">
        <v>278</v>
      </c>
      <c r="E335" s="11" t="s">
        <v>297</v>
      </c>
      <c r="F335" s="11" t="s">
        <v>298</v>
      </c>
      <c r="G335" s="11" t="s">
        <v>299</v>
      </c>
      <c r="H335" s="37" t="n">
        <v>6020</v>
      </c>
      <c r="I335" s="39" t="n">
        <f aca="false">Assumptions!$C$9</f>
        <v>0.8</v>
      </c>
      <c r="J335" s="37" t="n">
        <f aca="false">H335*I335</f>
        <v>4816</v>
      </c>
      <c r="K335" s="38" t="n">
        <v>46419</v>
      </c>
      <c r="L335" s="11" t="n">
        <v>0</v>
      </c>
      <c r="M335" s="11" t="n">
        <v>6</v>
      </c>
      <c r="N335" s="38" t="n">
        <v>46426</v>
      </c>
      <c r="O335" s="11" t="str">
        <f aca="false">IF(INT((N335-Assumptions!$C$2)/7)+1&gt;Assumptions!$C$3,"after W13",INT((N335-Assumptions!$C$2)/7)+1)</f>
        <v>after W13</v>
      </c>
      <c r="P335" s="38" t="n">
        <f aca="false">IF(AND(D335="Receipt",G335="C01"),WORKDAY(N335+Assumptions!$C$14-1,1),N335)</f>
        <v>46426</v>
      </c>
      <c r="Q335" s="11" t="str">
        <f aca="false">IF(INT((P335-Assumptions!$C$2)/7)+1&gt;Assumptions!$C$3,"after W13",INT((P335-Assumptions!$C$2)/7)+1)</f>
        <v>after W13</v>
      </c>
      <c r="R335" s="38" t="n">
        <f aca="false">IF(AND(D335="Receipt",OR(G335="C01",G335="C02",G335="C03",G335="C04",G335="C07")),WORKDAY(N335+IF(G335="C01",Assumptions!$C$14,Assumptions!$C$15)-1,1),N335)</f>
        <v>46426</v>
      </c>
      <c r="S335" s="11" t="str">
        <f aca="false">IF(INT((R335-Assumptions!$C$2)/7)+1&gt;Assumptions!$C$3,"after W13",INT((R335-Assumptions!$C$2)/7)+1)</f>
        <v>after W13</v>
      </c>
      <c r="T335" s="11" t="s">
        <v>864</v>
      </c>
      <c r="U335" s="11" t="s">
        <v>275</v>
      </c>
      <c r="V335" s="11" t="s">
        <v>283</v>
      </c>
    </row>
    <row r="336" customFormat="false" ht="15" hidden="false" customHeight="false" outlineLevel="0" collapsed="false">
      <c r="A336" s="11" t="s">
        <v>1040</v>
      </c>
      <c r="B336" s="11" t="s">
        <v>49</v>
      </c>
      <c r="C336" s="11" t="s">
        <v>1041</v>
      </c>
      <c r="D336" s="11" t="s">
        <v>278</v>
      </c>
      <c r="E336" s="11" t="s">
        <v>279</v>
      </c>
      <c r="F336" s="11" t="s">
        <v>335</v>
      </c>
      <c r="G336" s="11" t="s">
        <v>336</v>
      </c>
      <c r="H336" s="37" t="n">
        <v>4524</v>
      </c>
      <c r="I336" s="39" t="n">
        <f aca="false">Assumptions!$C$9</f>
        <v>0.8</v>
      </c>
      <c r="J336" s="37" t="n">
        <f aca="false">H336*I336</f>
        <v>3619.2</v>
      </c>
      <c r="K336" s="38" t="n">
        <v>46419</v>
      </c>
      <c r="L336" s="11" t="n">
        <v>0</v>
      </c>
      <c r="M336" s="11" t="n">
        <v>7</v>
      </c>
      <c r="N336" s="38" t="n">
        <v>46426</v>
      </c>
      <c r="O336" s="11" t="str">
        <f aca="false">IF(INT((N336-Assumptions!$C$2)/7)+1&gt;Assumptions!$C$3,"after W13",INT((N336-Assumptions!$C$2)/7)+1)</f>
        <v>after W13</v>
      </c>
      <c r="P336" s="38" t="n">
        <f aca="false">IF(AND(D336="Receipt",G336="C01"),WORKDAY(N336+Assumptions!$C$14-1,1),N336)</f>
        <v>46426</v>
      </c>
      <c r="Q336" s="11" t="str">
        <f aca="false">IF(INT((P336-Assumptions!$C$2)/7)+1&gt;Assumptions!$C$3,"after W13",INT((P336-Assumptions!$C$2)/7)+1)</f>
        <v>after W13</v>
      </c>
      <c r="R336" s="38" t="n">
        <f aca="false">IF(AND(D336="Receipt",OR(G336="C01",G336="C02",G336="C03",G336="C04",G336="C07")),WORKDAY(N336+IF(G336="C01",Assumptions!$C$14,Assumptions!$C$15)-1,1),N336)</f>
        <v>46426</v>
      </c>
      <c r="S336" s="11" t="str">
        <f aca="false">IF(INT((R336-Assumptions!$C$2)/7)+1&gt;Assumptions!$C$3,"after W13",INT((R336-Assumptions!$C$2)/7)+1)</f>
        <v>after W13</v>
      </c>
      <c r="T336" s="11" t="s">
        <v>864</v>
      </c>
      <c r="U336" s="11" t="s">
        <v>275</v>
      </c>
      <c r="V336" s="11" t="s">
        <v>283</v>
      </c>
    </row>
    <row r="337" customFormat="false" ht="15" hidden="false" customHeight="false" outlineLevel="0" collapsed="false">
      <c r="A337" s="11" t="s">
        <v>1042</v>
      </c>
      <c r="B337" s="11" t="s">
        <v>49</v>
      </c>
      <c r="C337" s="11" t="s">
        <v>1043</v>
      </c>
      <c r="D337" s="11" t="s">
        <v>278</v>
      </c>
      <c r="E337" s="11" t="s">
        <v>286</v>
      </c>
      <c r="F337" s="11" t="s">
        <v>287</v>
      </c>
      <c r="G337" s="11" t="s">
        <v>288</v>
      </c>
      <c r="H337" s="37" t="n">
        <v>3216</v>
      </c>
      <c r="I337" s="39" t="n">
        <f aca="false">Assumptions!$C$9</f>
        <v>0.8</v>
      </c>
      <c r="J337" s="37" t="n">
        <f aca="false">H337*I337</f>
        <v>2572.8</v>
      </c>
      <c r="K337" s="38" t="n">
        <v>46421</v>
      </c>
      <c r="L337" s="11" t="n">
        <v>0</v>
      </c>
      <c r="M337" s="11" t="n">
        <v>3</v>
      </c>
      <c r="N337" s="38" t="n">
        <v>46426</v>
      </c>
      <c r="O337" s="11" t="str">
        <f aca="false">IF(INT((N337-Assumptions!$C$2)/7)+1&gt;Assumptions!$C$3,"after W13",INT((N337-Assumptions!$C$2)/7)+1)</f>
        <v>after W13</v>
      </c>
      <c r="P337" s="38" t="n">
        <f aca="false">IF(AND(D337="Receipt",G337="C01"),WORKDAY(N337+Assumptions!$C$14-1,1),N337)</f>
        <v>46426</v>
      </c>
      <c r="Q337" s="11" t="str">
        <f aca="false">IF(INT((P337-Assumptions!$C$2)/7)+1&gt;Assumptions!$C$3,"after W13",INT((P337-Assumptions!$C$2)/7)+1)</f>
        <v>after W13</v>
      </c>
      <c r="R337" s="38" t="n">
        <f aca="false">IF(AND(D337="Receipt",OR(G337="C01",G337="C02",G337="C03",G337="C04",G337="C07")),WORKDAY(N337+IF(G337="C01",Assumptions!$C$14,Assumptions!$C$15)-1,1),N337)</f>
        <v>46441</v>
      </c>
      <c r="S337" s="11" t="str">
        <f aca="false">IF(INT((R337-Assumptions!$C$2)/7)+1&gt;Assumptions!$C$3,"after W13",INT((R337-Assumptions!$C$2)/7)+1)</f>
        <v>after W13</v>
      </c>
      <c r="T337" s="11" t="s">
        <v>864</v>
      </c>
      <c r="U337" s="11" t="s">
        <v>275</v>
      </c>
      <c r="V337" s="11" t="s">
        <v>283</v>
      </c>
    </row>
    <row r="338" customFormat="false" ht="15" hidden="false" customHeight="false" outlineLevel="0" collapsed="false">
      <c r="A338" s="11" t="s">
        <v>1044</v>
      </c>
      <c r="B338" s="11" t="s">
        <v>49</v>
      </c>
      <c r="C338" s="11" t="s">
        <v>1045</v>
      </c>
      <c r="D338" s="11" t="s">
        <v>278</v>
      </c>
      <c r="E338" s="11" t="s">
        <v>286</v>
      </c>
      <c r="F338" s="11" t="s">
        <v>287</v>
      </c>
      <c r="G338" s="11" t="s">
        <v>288</v>
      </c>
      <c r="H338" s="37" t="n">
        <v>2928</v>
      </c>
      <c r="I338" s="39" t="n">
        <f aca="false">Assumptions!$C$9</f>
        <v>0.8</v>
      </c>
      <c r="J338" s="37" t="n">
        <f aca="false">H338*I338</f>
        <v>2342.4</v>
      </c>
      <c r="K338" s="38" t="n">
        <v>46423</v>
      </c>
      <c r="L338" s="11" t="n">
        <v>0</v>
      </c>
      <c r="M338" s="11" t="n">
        <v>3</v>
      </c>
      <c r="N338" s="38" t="n">
        <v>46426</v>
      </c>
      <c r="O338" s="11" t="str">
        <f aca="false">IF(INT((N338-Assumptions!$C$2)/7)+1&gt;Assumptions!$C$3,"after W13",INT((N338-Assumptions!$C$2)/7)+1)</f>
        <v>after W13</v>
      </c>
      <c r="P338" s="38" t="n">
        <f aca="false">IF(AND(D338="Receipt",G338="C01"),WORKDAY(N338+Assumptions!$C$14-1,1),N338)</f>
        <v>46426</v>
      </c>
      <c r="Q338" s="11" t="str">
        <f aca="false">IF(INT((P338-Assumptions!$C$2)/7)+1&gt;Assumptions!$C$3,"after W13",INT((P338-Assumptions!$C$2)/7)+1)</f>
        <v>after W13</v>
      </c>
      <c r="R338" s="38" t="n">
        <f aca="false">IF(AND(D338="Receipt",OR(G338="C01",G338="C02",G338="C03",G338="C04",G338="C07")),WORKDAY(N338+IF(G338="C01",Assumptions!$C$14,Assumptions!$C$15)-1,1),N338)</f>
        <v>46441</v>
      </c>
      <c r="S338" s="11" t="str">
        <f aca="false">IF(INT((R338-Assumptions!$C$2)/7)+1&gt;Assumptions!$C$3,"after W13",INT((R338-Assumptions!$C$2)/7)+1)</f>
        <v>after W13</v>
      </c>
      <c r="T338" s="11" t="s">
        <v>864</v>
      </c>
      <c r="U338" s="11" t="s">
        <v>275</v>
      </c>
      <c r="V338" s="11" t="s">
        <v>283</v>
      </c>
    </row>
    <row r="339" customFormat="false" ht="15" hidden="false" customHeight="false" outlineLevel="0" collapsed="false">
      <c r="A339" s="11" t="s">
        <v>1046</v>
      </c>
      <c r="B339" s="11" t="s">
        <v>49</v>
      </c>
      <c r="C339" s="11" t="s">
        <v>1047</v>
      </c>
      <c r="D339" s="11" t="s">
        <v>278</v>
      </c>
      <c r="E339" s="11" t="s">
        <v>391</v>
      </c>
      <c r="F339" s="11" t="s">
        <v>392</v>
      </c>
      <c r="G339" s="11" t="s">
        <v>393</v>
      </c>
      <c r="H339" s="37" t="n">
        <v>18528</v>
      </c>
      <c r="I339" s="39" t="n">
        <f aca="false">Assumptions!$C$9</f>
        <v>0.8</v>
      </c>
      <c r="J339" s="37" t="n">
        <f aca="false">H339*I339</f>
        <v>14822.4</v>
      </c>
      <c r="K339" s="38" t="n">
        <v>46403</v>
      </c>
      <c r="L339" s="11" t="n">
        <v>0</v>
      </c>
      <c r="M339" s="11" t="n">
        <v>23.5</v>
      </c>
      <c r="N339" s="38" t="n">
        <v>46427</v>
      </c>
      <c r="O339" s="11" t="str">
        <f aca="false">IF(INT((N339-Assumptions!$C$2)/7)+1&gt;Assumptions!$C$3,"after W13",INT((N339-Assumptions!$C$2)/7)+1)</f>
        <v>after W13</v>
      </c>
      <c r="P339" s="38" t="n">
        <f aca="false">IF(AND(D339="Receipt",G339="C01"),WORKDAY(N339+Assumptions!$C$14-1,1),N339)</f>
        <v>46427</v>
      </c>
      <c r="Q339" s="11" t="str">
        <f aca="false">IF(INT((P339-Assumptions!$C$2)/7)+1&gt;Assumptions!$C$3,"after W13",INT((P339-Assumptions!$C$2)/7)+1)</f>
        <v>after W13</v>
      </c>
      <c r="R339" s="38" t="n">
        <f aca="false">IF(AND(D339="Receipt",OR(G339="C01",G339="C02",G339="C03",G339="C04",G339="C07")),WORKDAY(N339+IF(G339="C01",Assumptions!$C$14,Assumptions!$C$15)-1,1),N339)</f>
        <v>46427</v>
      </c>
      <c r="S339" s="11" t="str">
        <f aca="false">IF(INT((R339-Assumptions!$C$2)/7)+1&gt;Assumptions!$C$3,"after W13",INT((R339-Assumptions!$C$2)/7)+1)</f>
        <v>after W13</v>
      </c>
      <c r="T339" s="11" t="s">
        <v>864</v>
      </c>
      <c r="U339" s="11" t="s">
        <v>275</v>
      </c>
      <c r="V339" s="11" t="s">
        <v>283</v>
      </c>
    </row>
    <row r="340" customFormat="false" ht="15" hidden="false" customHeight="false" outlineLevel="0" collapsed="false">
      <c r="A340" s="11" t="s">
        <v>1048</v>
      </c>
      <c r="B340" s="11" t="s">
        <v>49</v>
      </c>
      <c r="C340" s="11" t="s">
        <v>1049</v>
      </c>
      <c r="D340" s="11" t="s">
        <v>278</v>
      </c>
      <c r="E340" s="11" t="s">
        <v>279</v>
      </c>
      <c r="F340" s="11" t="s">
        <v>335</v>
      </c>
      <c r="G340" s="11" t="s">
        <v>336</v>
      </c>
      <c r="H340" s="37" t="n">
        <v>5844</v>
      </c>
      <c r="I340" s="39" t="n">
        <f aca="false">Assumptions!$C$9</f>
        <v>0.8</v>
      </c>
      <c r="J340" s="37" t="n">
        <f aca="false">H340*I340</f>
        <v>4675.2</v>
      </c>
      <c r="K340" s="38" t="n">
        <v>46422</v>
      </c>
      <c r="L340" s="11" t="n">
        <v>0</v>
      </c>
      <c r="M340" s="11" t="n">
        <v>7</v>
      </c>
      <c r="N340" s="38" t="n">
        <v>46429</v>
      </c>
      <c r="O340" s="11" t="str">
        <f aca="false">IF(INT((N340-Assumptions!$C$2)/7)+1&gt;Assumptions!$C$3,"after W13",INT((N340-Assumptions!$C$2)/7)+1)</f>
        <v>after W13</v>
      </c>
      <c r="P340" s="38" t="n">
        <f aca="false">IF(AND(D340="Receipt",G340="C01"),WORKDAY(N340+Assumptions!$C$14-1,1),N340)</f>
        <v>46429</v>
      </c>
      <c r="Q340" s="11" t="str">
        <f aca="false">IF(INT((P340-Assumptions!$C$2)/7)+1&gt;Assumptions!$C$3,"after W13",INT((P340-Assumptions!$C$2)/7)+1)</f>
        <v>after W13</v>
      </c>
      <c r="R340" s="38" t="n">
        <f aca="false">IF(AND(D340="Receipt",OR(G340="C01",G340="C02",G340="C03",G340="C04",G340="C07")),WORKDAY(N340+IF(G340="C01",Assumptions!$C$14,Assumptions!$C$15)-1,1),N340)</f>
        <v>46429</v>
      </c>
      <c r="S340" s="11" t="str">
        <f aca="false">IF(INT((R340-Assumptions!$C$2)/7)+1&gt;Assumptions!$C$3,"after W13",INT((R340-Assumptions!$C$2)/7)+1)</f>
        <v>after W13</v>
      </c>
      <c r="T340" s="11" t="s">
        <v>864</v>
      </c>
      <c r="U340" s="11" t="s">
        <v>275</v>
      </c>
      <c r="V340" s="11" t="s">
        <v>283</v>
      </c>
    </row>
    <row r="341" customFormat="false" ht="15" hidden="false" customHeight="false" outlineLevel="0" collapsed="false">
      <c r="A341" s="11" t="s">
        <v>1050</v>
      </c>
      <c r="B341" s="11" t="s">
        <v>49</v>
      </c>
      <c r="C341" s="11" t="s">
        <v>1051</v>
      </c>
      <c r="D341" s="11" t="s">
        <v>278</v>
      </c>
      <c r="E341" s="11" t="s">
        <v>279</v>
      </c>
      <c r="F341" s="11" t="s">
        <v>335</v>
      </c>
      <c r="G341" s="11" t="s">
        <v>336</v>
      </c>
      <c r="H341" s="37" t="n">
        <v>11328</v>
      </c>
      <c r="I341" s="39" t="n">
        <f aca="false">Assumptions!$C$9</f>
        <v>0.8</v>
      </c>
      <c r="J341" s="37" t="n">
        <f aca="false">H341*I341</f>
        <v>9062.4</v>
      </c>
      <c r="K341" s="38" t="n">
        <v>46422</v>
      </c>
      <c r="L341" s="11" t="n">
        <v>0</v>
      </c>
      <c r="M341" s="11" t="n">
        <v>7</v>
      </c>
      <c r="N341" s="38" t="n">
        <v>46429</v>
      </c>
      <c r="O341" s="11" t="str">
        <f aca="false">IF(INT((N341-Assumptions!$C$2)/7)+1&gt;Assumptions!$C$3,"after W13",INT((N341-Assumptions!$C$2)/7)+1)</f>
        <v>after W13</v>
      </c>
      <c r="P341" s="38" t="n">
        <f aca="false">IF(AND(D341="Receipt",G341="C01"),WORKDAY(N341+Assumptions!$C$14-1,1),N341)</f>
        <v>46429</v>
      </c>
      <c r="Q341" s="11" t="str">
        <f aca="false">IF(INT((P341-Assumptions!$C$2)/7)+1&gt;Assumptions!$C$3,"after W13",INT((P341-Assumptions!$C$2)/7)+1)</f>
        <v>after W13</v>
      </c>
      <c r="R341" s="38" t="n">
        <f aca="false">IF(AND(D341="Receipt",OR(G341="C01",G341="C02",G341="C03",G341="C04",G341="C07")),WORKDAY(N341+IF(G341="C01",Assumptions!$C$14,Assumptions!$C$15)-1,1),N341)</f>
        <v>46429</v>
      </c>
      <c r="S341" s="11" t="str">
        <f aca="false">IF(INT((R341-Assumptions!$C$2)/7)+1&gt;Assumptions!$C$3,"after W13",INT((R341-Assumptions!$C$2)/7)+1)</f>
        <v>after W13</v>
      </c>
      <c r="T341" s="11" t="s">
        <v>864</v>
      </c>
      <c r="U341" s="11" t="s">
        <v>275</v>
      </c>
      <c r="V341" s="11" t="s">
        <v>283</v>
      </c>
    </row>
    <row r="342" customFormat="false" ht="15" hidden="false" customHeight="false" outlineLevel="0" collapsed="false">
      <c r="A342" s="11" t="s">
        <v>1052</v>
      </c>
      <c r="B342" s="11" t="s">
        <v>49</v>
      </c>
      <c r="C342" s="11" t="s">
        <v>1053</v>
      </c>
      <c r="D342" s="11" t="s">
        <v>278</v>
      </c>
      <c r="E342" s="11" t="s">
        <v>286</v>
      </c>
      <c r="F342" s="11" t="s">
        <v>327</v>
      </c>
      <c r="G342" s="11" t="s">
        <v>328</v>
      </c>
      <c r="H342" s="37" t="n">
        <v>26928</v>
      </c>
      <c r="I342" s="26" t="n">
        <v>1</v>
      </c>
      <c r="J342" s="37" t="n">
        <f aca="false">H342*I342</f>
        <v>26928</v>
      </c>
      <c r="K342" s="38" t="n">
        <v>46409</v>
      </c>
      <c r="L342" s="11" t="n">
        <v>0</v>
      </c>
      <c r="M342" s="11" t="n">
        <v>21</v>
      </c>
      <c r="N342" s="38" t="n">
        <v>46430</v>
      </c>
      <c r="O342" s="11" t="str">
        <f aca="false">IF(INT((N342-Assumptions!$C$2)/7)+1&gt;Assumptions!$C$3,"after W13",INT((N342-Assumptions!$C$2)/7)+1)</f>
        <v>after W13</v>
      </c>
      <c r="P342" s="38" t="n">
        <f aca="false">IF(AND(D342="Receipt",G342="C01"),WORKDAY(N342+Assumptions!$C$14-1,1),N342)</f>
        <v>46430</v>
      </c>
      <c r="Q342" s="11" t="str">
        <f aca="false">IF(INT((P342-Assumptions!$C$2)/7)+1&gt;Assumptions!$C$3,"after W13",INT((P342-Assumptions!$C$2)/7)+1)</f>
        <v>after W13</v>
      </c>
      <c r="R342" s="38" t="n">
        <f aca="false">IF(AND(D342="Receipt",OR(G342="C01",G342="C02",G342="C03",G342="C04",G342="C07")),WORKDAY(N342+IF(G342="C01",Assumptions!$C$14,Assumptions!$C$15)-1,1),N342)</f>
        <v>46447</v>
      </c>
      <c r="S342" s="11" t="str">
        <f aca="false">IF(INT((R342-Assumptions!$C$2)/7)+1&gt;Assumptions!$C$3,"after W13",INT((R342-Assumptions!$C$2)/7)+1)</f>
        <v>after W13</v>
      </c>
      <c r="T342" s="11" t="s">
        <v>538</v>
      </c>
      <c r="U342" s="11" t="s">
        <v>275</v>
      </c>
      <c r="V342" s="11" t="s">
        <v>283</v>
      </c>
    </row>
    <row r="343" customFormat="false" ht="15" hidden="false" customHeight="false" outlineLevel="0" collapsed="false">
      <c r="A343" s="11" t="s">
        <v>1054</v>
      </c>
      <c r="B343" s="11" t="s">
        <v>49</v>
      </c>
      <c r="C343" s="11" t="s">
        <v>1055</v>
      </c>
      <c r="D343" s="11" t="s">
        <v>278</v>
      </c>
      <c r="E343" s="11" t="s">
        <v>286</v>
      </c>
      <c r="F343" s="11" t="s">
        <v>331</v>
      </c>
      <c r="G343" s="11" t="s">
        <v>332</v>
      </c>
      <c r="H343" s="37" t="n">
        <v>20172</v>
      </c>
      <c r="I343" s="39" t="n">
        <f aca="false">Assumptions!$C$9</f>
        <v>0.8</v>
      </c>
      <c r="J343" s="37" t="n">
        <f aca="false">H343*I343</f>
        <v>16137.6</v>
      </c>
      <c r="K343" s="38" t="n">
        <v>46405</v>
      </c>
      <c r="L343" s="11" t="n">
        <v>0</v>
      </c>
      <c r="M343" s="11" t="n">
        <v>25</v>
      </c>
      <c r="N343" s="38" t="n">
        <v>46430</v>
      </c>
      <c r="O343" s="11" t="str">
        <f aca="false">IF(INT((N343-Assumptions!$C$2)/7)+1&gt;Assumptions!$C$3,"after W13",INT((N343-Assumptions!$C$2)/7)+1)</f>
        <v>after W13</v>
      </c>
      <c r="P343" s="38" t="n">
        <f aca="false">IF(AND(D343="Receipt",G343="C01"),WORKDAY(N343+Assumptions!$C$14-1,1),N343)</f>
        <v>46430</v>
      </c>
      <c r="Q343" s="11" t="str">
        <f aca="false">IF(INT((P343-Assumptions!$C$2)/7)+1&gt;Assumptions!$C$3,"after W13",INT((P343-Assumptions!$C$2)/7)+1)</f>
        <v>after W13</v>
      </c>
      <c r="R343" s="38" t="n">
        <f aca="false">IF(AND(D343="Receipt",OR(G343="C01",G343="C02",G343="C03",G343="C04",G343="C07")),WORKDAY(N343+IF(G343="C01",Assumptions!$C$14,Assumptions!$C$15)-1,1),N343)</f>
        <v>46447</v>
      </c>
      <c r="S343" s="11" t="str">
        <f aca="false">IF(INT((R343-Assumptions!$C$2)/7)+1&gt;Assumptions!$C$3,"after W13",INT((R343-Assumptions!$C$2)/7)+1)</f>
        <v>after W13</v>
      </c>
      <c r="T343" s="11" t="s">
        <v>864</v>
      </c>
      <c r="U343" s="11" t="s">
        <v>275</v>
      </c>
      <c r="V343" s="11" t="s">
        <v>283</v>
      </c>
    </row>
    <row r="344" customFormat="false" ht="15" hidden="false" customHeight="false" outlineLevel="0" collapsed="false">
      <c r="A344" s="11" t="s">
        <v>1056</v>
      </c>
      <c r="B344" s="11" t="s">
        <v>49</v>
      </c>
      <c r="C344" s="11" t="s">
        <v>1057</v>
      </c>
      <c r="D344" s="11" t="s">
        <v>278</v>
      </c>
      <c r="E344" s="11" t="s">
        <v>286</v>
      </c>
      <c r="F344" s="11" t="s">
        <v>349</v>
      </c>
      <c r="G344" s="11" t="s">
        <v>350</v>
      </c>
      <c r="H344" s="37" t="n">
        <v>19176</v>
      </c>
      <c r="I344" s="39" t="n">
        <f aca="false">Assumptions!$C$9</f>
        <v>0.8</v>
      </c>
      <c r="J344" s="37" t="n">
        <f aca="false">H344*I344</f>
        <v>15340.8</v>
      </c>
      <c r="K344" s="38" t="n">
        <v>46423</v>
      </c>
      <c r="L344" s="11" t="n">
        <v>0</v>
      </c>
      <c r="M344" s="11" t="n">
        <v>10</v>
      </c>
      <c r="N344" s="38" t="n">
        <v>46433</v>
      </c>
      <c r="O344" s="11" t="str">
        <f aca="false">IF(INT((N344-Assumptions!$C$2)/7)+1&gt;Assumptions!$C$3,"after W13",INT((N344-Assumptions!$C$2)/7)+1)</f>
        <v>after W13</v>
      </c>
      <c r="P344" s="38" t="n">
        <f aca="false">IF(AND(D344="Receipt",G344="C01"),WORKDAY(N344+Assumptions!$C$14-1,1),N344)</f>
        <v>46433</v>
      </c>
      <c r="Q344" s="11" t="str">
        <f aca="false">IF(INT((P344-Assumptions!$C$2)/7)+1&gt;Assumptions!$C$3,"after W13",INT((P344-Assumptions!$C$2)/7)+1)</f>
        <v>after W13</v>
      </c>
      <c r="R344" s="38" t="n">
        <f aca="false">IF(AND(D344="Receipt",OR(G344="C01",G344="C02",G344="C03",G344="C04",G344="C07")),WORKDAY(N344+IF(G344="C01",Assumptions!$C$14,Assumptions!$C$15)-1,1),N344)</f>
        <v>46448</v>
      </c>
      <c r="S344" s="11" t="str">
        <f aca="false">IF(INT((R344-Assumptions!$C$2)/7)+1&gt;Assumptions!$C$3,"after W13",INT((R344-Assumptions!$C$2)/7)+1)</f>
        <v>after W13</v>
      </c>
      <c r="T344" s="11" t="s">
        <v>864</v>
      </c>
      <c r="U344" s="11" t="s">
        <v>275</v>
      </c>
      <c r="V344" s="11" t="s">
        <v>283</v>
      </c>
    </row>
    <row r="345" customFormat="false" ht="15" hidden="false" customHeight="false" outlineLevel="0" collapsed="false">
      <c r="A345" s="11" t="s">
        <v>1058</v>
      </c>
      <c r="B345" s="11" t="s">
        <v>49</v>
      </c>
      <c r="C345" s="11" t="s">
        <v>1059</v>
      </c>
      <c r="D345" s="11" t="s">
        <v>278</v>
      </c>
      <c r="E345" s="11" t="s">
        <v>398</v>
      </c>
      <c r="F345" s="11" t="s">
        <v>399</v>
      </c>
      <c r="G345" s="11" t="s">
        <v>400</v>
      </c>
      <c r="H345" s="37" t="n">
        <v>16500</v>
      </c>
      <c r="I345" s="39" t="n">
        <f aca="false">Assumptions!$C$9</f>
        <v>0.8</v>
      </c>
      <c r="J345" s="37" t="n">
        <f aca="false">H345*I345</f>
        <v>13200</v>
      </c>
      <c r="K345" s="38" t="n">
        <v>46425</v>
      </c>
      <c r="L345" s="11" t="n">
        <v>0</v>
      </c>
      <c r="M345" s="11" t="n">
        <v>8.5</v>
      </c>
      <c r="N345" s="38" t="n">
        <v>46433</v>
      </c>
      <c r="O345" s="11" t="str">
        <f aca="false">IF(INT((N345-Assumptions!$C$2)/7)+1&gt;Assumptions!$C$3,"after W13",INT((N345-Assumptions!$C$2)/7)+1)</f>
        <v>after W13</v>
      </c>
      <c r="P345" s="38" t="n">
        <f aca="false">IF(AND(D345="Receipt",G345="C01"),WORKDAY(N345+Assumptions!$C$14-1,1),N345)</f>
        <v>46433</v>
      </c>
      <c r="Q345" s="11" t="str">
        <f aca="false">IF(INT((P345-Assumptions!$C$2)/7)+1&gt;Assumptions!$C$3,"after W13",INT((P345-Assumptions!$C$2)/7)+1)</f>
        <v>after W13</v>
      </c>
      <c r="R345" s="38" t="n">
        <f aca="false">IF(AND(D345="Receipt",OR(G345="C01",G345="C02",G345="C03",G345="C04",G345="C07")),WORKDAY(N345+IF(G345="C01",Assumptions!$C$14,Assumptions!$C$15)-1,1),N345)</f>
        <v>46433</v>
      </c>
      <c r="S345" s="11" t="str">
        <f aca="false">IF(INT((R345-Assumptions!$C$2)/7)+1&gt;Assumptions!$C$3,"after W13",INT((R345-Assumptions!$C$2)/7)+1)</f>
        <v>after W13</v>
      </c>
      <c r="T345" s="11" t="s">
        <v>864</v>
      </c>
      <c r="U345" s="11" t="s">
        <v>275</v>
      </c>
      <c r="V345" s="11" t="s">
        <v>283</v>
      </c>
    </row>
    <row r="346" customFormat="false" ht="15" hidden="false" customHeight="false" outlineLevel="0" collapsed="false">
      <c r="A346" s="11" t="s">
        <v>1060</v>
      </c>
      <c r="B346" s="11" t="s">
        <v>49</v>
      </c>
      <c r="C346" s="11" t="s">
        <v>1061</v>
      </c>
      <c r="D346" s="11" t="s">
        <v>278</v>
      </c>
      <c r="E346" s="11" t="s">
        <v>286</v>
      </c>
      <c r="F346" s="11" t="s">
        <v>327</v>
      </c>
      <c r="G346" s="11" t="s">
        <v>328</v>
      </c>
      <c r="H346" s="37" t="n">
        <v>13092</v>
      </c>
      <c r="I346" s="39" t="n">
        <f aca="false">Assumptions!$C$9</f>
        <v>0.8</v>
      </c>
      <c r="J346" s="37" t="n">
        <f aca="false">H346*I346</f>
        <v>10473.6</v>
      </c>
      <c r="K346" s="38" t="n">
        <v>46413</v>
      </c>
      <c r="L346" s="11" t="n">
        <v>0</v>
      </c>
      <c r="M346" s="11" t="n">
        <v>21</v>
      </c>
      <c r="N346" s="38" t="n">
        <v>46434</v>
      </c>
      <c r="O346" s="11" t="str">
        <f aca="false">IF(INT((N346-Assumptions!$C$2)/7)+1&gt;Assumptions!$C$3,"after W13",INT((N346-Assumptions!$C$2)/7)+1)</f>
        <v>after W13</v>
      </c>
      <c r="P346" s="38" t="n">
        <f aca="false">IF(AND(D346="Receipt",G346="C01"),WORKDAY(N346+Assumptions!$C$14-1,1),N346)</f>
        <v>46434</v>
      </c>
      <c r="Q346" s="11" t="str">
        <f aca="false">IF(INT((P346-Assumptions!$C$2)/7)+1&gt;Assumptions!$C$3,"after W13",INT((P346-Assumptions!$C$2)/7)+1)</f>
        <v>after W13</v>
      </c>
      <c r="R346" s="38" t="n">
        <f aca="false">IF(AND(D346="Receipt",OR(G346="C01",G346="C02",G346="C03",G346="C04",G346="C07")),WORKDAY(N346+IF(G346="C01",Assumptions!$C$14,Assumptions!$C$15)-1,1),N346)</f>
        <v>46449</v>
      </c>
      <c r="S346" s="11" t="str">
        <f aca="false">IF(INT((R346-Assumptions!$C$2)/7)+1&gt;Assumptions!$C$3,"after W13",INT((R346-Assumptions!$C$2)/7)+1)</f>
        <v>after W13</v>
      </c>
      <c r="T346" s="11" t="s">
        <v>864</v>
      </c>
      <c r="U346" s="11" t="s">
        <v>275</v>
      </c>
      <c r="V346" s="11" t="s">
        <v>283</v>
      </c>
    </row>
    <row r="347" customFormat="false" ht="15" hidden="false" customHeight="false" outlineLevel="0" collapsed="false">
      <c r="A347" s="11" t="s">
        <v>1062</v>
      </c>
      <c r="B347" s="11" t="s">
        <v>49</v>
      </c>
      <c r="C347" s="11" t="s">
        <v>1063</v>
      </c>
      <c r="D347" s="11" t="s">
        <v>278</v>
      </c>
      <c r="E347" s="11" t="s">
        <v>286</v>
      </c>
      <c r="F347" s="11" t="s">
        <v>327</v>
      </c>
      <c r="G347" s="11" t="s">
        <v>328</v>
      </c>
      <c r="H347" s="37" t="n">
        <v>22008</v>
      </c>
      <c r="I347" s="39" t="n">
        <f aca="false">Assumptions!$C$9</f>
        <v>0.8</v>
      </c>
      <c r="J347" s="37" t="n">
        <f aca="false">H347*I347</f>
        <v>17606.4</v>
      </c>
      <c r="K347" s="38" t="n">
        <v>46413</v>
      </c>
      <c r="L347" s="11" t="n">
        <v>0</v>
      </c>
      <c r="M347" s="11" t="n">
        <v>21</v>
      </c>
      <c r="N347" s="38" t="n">
        <v>46434</v>
      </c>
      <c r="O347" s="11" t="str">
        <f aca="false">IF(INT((N347-Assumptions!$C$2)/7)+1&gt;Assumptions!$C$3,"after W13",INT((N347-Assumptions!$C$2)/7)+1)</f>
        <v>after W13</v>
      </c>
      <c r="P347" s="38" t="n">
        <f aca="false">IF(AND(D347="Receipt",G347="C01"),WORKDAY(N347+Assumptions!$C$14-1,1),N347)</f>
        <v>46434</v>
      </c>
      <c r="Q347" s="11" t="str">
        <f aca="false">IF(INT((P347-Assumptions!$C$2)/7)+1&gt;Assumptions!$C$3,"after W13",INT((P347-Assumptions!$C$2)/7)+1)</f>
        <v>after W13</v>
      </c>
      <c r="R347" s="38" t="n">
        <f aca="false">IF(AND(D347="Receipt",OR(G347="C01",G347="C02",G347="C03",G347="C04",G347="C07")),WORKDAY(N347+IF(G347="C01",Assumptions!$C$14,Assumptions!$C$15)-1,1),N347)</f>
        <v>46449</v>
      </c>
      <c r="S347" s="11" t="str">
        <f aca="false">IF(INT((R347-Assumptions!$C$2)/7)+1&gt;Assumptions!$C$3,"after W13",INT((R347-Assumptions!$C$2)/7)+1)</f>
        <v>after W13</v>
      </c>
      <c r="T347" s="11" t="s">
        <v>864</v>
      </c>
      <c r="U347" s="11" t="s">
        <v>275</v>
      </c>
      <c r="V347" s="11" t="s">
        <v>283</v>
      </c>
    </row>
    <row r="348" customFormat="false" ht="15" hidden="false" customHeight="false" outlineLevel="0" collapsed="false">
      <c r="A348" s="11" t="s">
        <v>1064</v>
      </c>
      <c r="B348" s="11" t="s">
        <v>49</v>
      </c>
      <c r="C348" s="11" t="s">
        <v>1065</v>
      </c>
      <c r="D348" s="11" t="s">
        <v>278</v>
      </c>
      <c r="E348" s="11" t="s">
        <v>391</v>
      </c>
      <c r="F348" s="11" t="s">
        <v>392</v>
      </c>
      <c r="G348" s="11" t="s">
        <v>393</v>
      </c>
      <c r="H348" s="37" t="n">
        <v>18024</v>
      </c>
      <c r="I348" s="39" t="n">
        <f aca="false">Assumptions!$C$9</f>
        <v>0.8</v>
      </c>
      <c r="J348" s="37" t="n">
        <f aca="false">H348*I348</f>
        <v>14419.2</v>
      </c>
      <c r="K348" s="38" t="n">
        <v>46410</v>
      </c>
      <c r="L348" s="11" t="n">
        <v>0</v>
      </c>
      <c r="M348" s="11" t="n">
        <v>23.5</v>
      </c>
      <c r="N348" s="38" t="n">
        <v>46434</v>
      </c>
      <c r="O348" s="11" t="str">
        <f aca="false">IF(INT((N348-Assumptions!$C$2)/7)+1&gt;Assumptions!$C$3,"after W13",INT((N348-Assumptions!$C$2)/7)+1)</f>
        <v>after W13</v>
      </c>
      <c r="P348" s="38" t="n">
        <f aca="false">IF(AND(D348="Receipt",G348="C01"),WORKDAY(N348+Assumptions!$C$14-1,1),N348)</f>
        <v>46434</v>
      </c>
      <c r="Q348" s="11" t="str">
        <f aca="false">IF(INT((P348-Assumptions!$C$2)/7)+1&gt;Assumptions!$C$3,"after W13",INT((P348-Assumptions!$C$2)/7)+1)</f>
        <v>after W13</v>
      </c>
      <c r="R348" s="38" t="n">
        <f aca="false">IF(AND(D348="Receipt",OR(G348="C01",G348="C02",G348="C03",G348="C04",G348="C07")),WORKDAY(N348+IF(G348="C01",Assumptions!$C$14,Assumptions!$C$15)-1,1),N348)</f>
        <v>46434</v>
      </c>
      <c r="S348" s="11" t="str">
        <f aca="false">IF(INT((R348-Assumptions!$C$2)/7)+1&gt;Assumptions!$C$3,"after W13",INT((R348-Assumptions!$C$2)/7)+1)</f>
        <v>after W13</v>
      </c>
      <c r="T348" s="11" t="s">
        <v>864</v>
      </c>
      <c r="U348" s="11" t="s">
        <v>275</v>
      </c>
      <c r="V348" s="11" t="s">
        <v>283</v>
      </c>
    </row>
    <row r="349" customFormat="false" ht="15" hidden="false" customHeight="false" outlineLevel="0" collapsed="false">
      <c r="A349" s="11" t="s">
        <v>1066</v>
      </c>
      <c r="B349" s="11" t="s">
        <v>49</v>
      </c>
      <c r="C349" s="11" t="s">
        <v>1067</v>
      </c>
      <c r="D349" s="11" t="s">
        <v>278</v>
      </c>
      <c r="E349" s="11" t="s">
        <v>286</v>
      </c>
      <c r="F349" s="11" t="s">
        <v>331</v>
      </c>
      <c r="G349" s="11" t="s">
        <v>332</v>
      </c>
      <c r="H349" s="37" t="n">
        <v>9768</v>
      </c>
      <c r="I349" s="39" t="n">
        <f aca="false">Assumptions!$C$9</f>
        <v>0.8</v>
      </c>
      <c r="J349" s="37" t="n">
        <f aca="false">H349*I349</f>
        <v>7814.4</v>
      </c>
      <c r="K349" s="38" t="n">
        <v>46411</v>
      </c>
      <c r="L349" s="11" t="n">
        <v>0</v>
      </c>
      <c r="M349" s="11" t="n">
        <v>25</v>
      </c>
      <c r="N349" s="38" t="n">
        <v>46436</v>
      </c>
      <c r="O349" s="11" t="str">
        <f aca="false">IF(INT((N349-Assumptions!$C$2)/7)+1&gt;Assumptions!$C$3,"after W13",INT((N349-Assumptions!$C$2)/7)+1)</f>
        <v>after W13</v>
      </c>
      <c r="P349" s="38" t="n">
        <f aca="false">IF(AND(D349="Receipt",G349="C01"),WORKDAY(N349+Assumptions!$C$14-1,1),N349)</f>
        <v>46436</v>
      </c>
      <c r="Q349" s="11" t="str">
        <f aca="false">IF(INT((P349-Assumptions!$C$2)/7)+1&gt;Assumptions!$C$3,"after W13",INT((P349-Assumptions!$C$2)/7)+1)</f>
        <v>after W13</v>
      </c>
      <c r="R349" s="38" t="n">
        <f aca="false">IF(AND(D349="Receipt",OR(G349="C01",G349="C02",G349="C03",G349="C04",G349="C07")),WORKDAY(N349+IF(G349="C01",Assumptions!$C$14,Assumptions!$C$15)-1,1),N349)</f>
        <v>46451</v>
      </c>
      <c r="S349" s="11" t="str">
        <f aca="false">IF(INT((R349-Assumptions!$C$2)/7)+1&gt;Assumptions!$C$3,"after W13",INT((R349-Assumptions!$C$2)/7)+1)</f>
        <v>after W13</v>
      </c>
      <c r="T349" s="11" t="s">
        <v>864</v>
      </c>
      <c r="U349" s="11" t="s">
        <v>275</v>
      </c>
      <c r="V349" s="11" t="s">
        <v>283</v>
      </c>
    </row>
    <row r="350" customFormat="false" ht="15" hidden="false" customHeight="false" outlineLevel="0" collapsed="false">
      <c r="A350" s="11" t="s">
        <v>1068</v>
      </c>
      <c r="B350" s="11" t="s">
        <v>49</v>
      </c>
      <c r="C350" s="11" t="s">
        <v>1069</v>
      </c>
      <c r="D350" s="11" t="s">
        <v>278</v>
      </c>
      <c r="E350" s="11" t="s">
        <v>279</v>
      </c>
      <c r="F350" s="11" t="s">
        <v>280</v>
      </c>
      <c r="G350" s="11" t="s">
        <v>281</v>
      </c>
      <c r="H350" s="37" t="n">
        <v>7476</v>
      </c>
      <c r="I350" s="39" t="n">
        <f aca="false">Assumptions!$C$9</f>
        <v>0.8</v>
      </c>
      <c r="J350" s="37" t="n">
        <f aca="false">H350*I350</f>
        <v>5980.8</v>
      </c>
      <c r="K350" s="38" t="n">
        <v>46436</v>
      </c>
      <c r="L350" s="11" t="n">
        <v>0</v>
      </c>
      <c r="M350" s="11" t="n">
        <v>0</v>
      </c>
      <c r="N350" s="38" t="n">
        <v>46436</v>
      </c>
      <c r="O350" s="11" t="str">
        <f aca="false">IF(INT((N350-Assumptions!$C$2)/7)+1&gt;Assumptions!$C$3,"after W13",INT((N350-Assumptions!$C$2)/7)+1)</f>
        <v>after W13</v>
      </c>
      <c r="P350" s="38" t="n">
        <f aca="false">IF(AND(D350="Receipt",G350="C01"),WORKDAY(N350+Assumptions!$C$14-1,1),N350)</f>
        <v>46436</v>
      </c>
      <c r="Q350" s="11" t="str">
        <f aca="false">IF(INT((P350-Assumptions!$C$2)/7)+1&gt;Assumptions!$C$3,"after W13",INT((P350-Assumptions!$C$2)/7)+1)</f>
        <v>after W13</v>
      </c>
      <c r="R350" s="38" t="n">
        <f aca="false">IF(AND(D350="Receipt",OR(G350="C01",G350="C02",G350="C03",G350="C04",G350="C07")),WORKDAY(N350+IF(G350="C01",Assumptions!$C$14,Assumptions!$C$15)-1,1),N350)</f>
        <v>46436</v>
      </c>
      <c r="S350" s="11" t="str">
        <f aca="false">IF(INT((R350-Assumptions!$C$2)/7)+1&gt;Assumptions!$C$3,"after W13",INT((R350-Assumptions!$C$2)/7)+1)</f>
        <v>after W13</v>
      </c>
      <c r="T350" s="11" t="s">
        <v>864</v>
      </c>
      <c r="U350" s="11" t="s">
        <v>275</v>
      </c>
      <c r="V350" s="11" t="s">
        <v>283</v>
      </c>
    </row>
    <row r="351" customFormat="false" ht="15" hidden="false" customHeight="false" outlineLevel="0" collapsed="false">
      <c r="A351" s="11" t="s">
        <v>1070</v>
      </c>
      <c r="B351" s="11" t="s">
        <v>49</v>
      </c>
      <c r="C351" s="11" t="s">
        <v>1071</v>
      </c>
      <c r="D351" s="11" t="s">
        <v>278</v>
      </c>
      <c r="E351" s="11" t="s">
        <v>322</v>
      </c>
      <c r="F351" s="11" t="s">
        <v>323</v>
      </c>
      <c r="G351" s="11" t="s">
        <v>324</v>
      </c>
      <c r="H351" s="37" t="n">
        <v>9120</v>
      </c>
      <c r="I351" s="39" t="n">
        <f aca="false">Assumptions!$C$9</f>
        <v>0.8</v>
      </c>
      <c r="J351" s="37" t="n">
        <f aca="false">H351*I351</f>
        <v>7296</v>
      </c>
      <c r="K351" s="38" t="n">
        <v>46425</v>
      </c>
      <c r="L351" s="11" t="n">
        <v>0</v>
      </c>
      <c r="M351" s="11" t="n">
        <v>12</v>
      </c>
      <c r="N351" s="38" t="n">
        <v>46437</v>
      </c>
      <c r="O351" s="11" t="str">
        <f aca="false">IF(INT((N351-Assumptions!$C$2)/7)+1&gt;Assumptions!$C$3,"after W13",INT((N351-Assumptions!$C$2)/7)+1)</f>
        <v>after W13</v>
      </c>
      <c r="P351" s="38" t="n">
        <f aca="false">IF(AND(D351="Receipt",G351="C01"),WORKDAY(N351+Assumptions!$C$14-1,1),N351)</f>
        <v>46437</v>
      </c>
      <c r="Q351" s="11" t="str">
        <f aca="false">IF(INT((P351-Assumptions!$C$2)/7)+1&gt;Assumptions!$C$3,"after W13",INT((P351-Assumptions!$C$2)/7)+1)</f>
        <v>after W13</v>
      </c>
      <c r="R351" s="38" t="n">
        <f aca="false">IF(AND(D351="Receipt",OR(G351="C01",G351="C02",G351="C03",G351="C04",G351="C07")),WORKDAY(N351+IF(G351="C01",Assumptions!$C$14,Assumptions!$C$15)-1,1),N351)</f>
        <v>46437</v>
      </c>
      <c r="S351" s="11" t="str">
        <f aca="false">IF(INT((R351-Assumptions!$C$2)/7)+1&gt;Assumptions!$C$3,"after W13",INT((R351-Assumptions!$C$2)/7)+1)</f>
        <v>after W13</v>
      </c>
      <c r="T351" s="11" t="s">
        <v>864</v>
      </c>
      <c r="U351" s="11" t="s">
        <v>275</v>
      </c>
      <c r="V351" s="11" t="s">
        <v>283</v>
      </c>
    </row>
    <row r="352" customFormat="false" ht="15" hidden="false" customHeight="false" outlineLevel="0" collapsed="false">
      <c r="A352" s="11" t="s">
        <v>1072</v>
      </c>
      <c r="B352" s="11" t="s">
        <v>49</v>
      </c>
      <c r="C352" s="11" t="s">
        <v>1073</v>
      </c>
      <c r="D352" s="11" t="s">
        <v>278</v>
      </c>
      <c r="E352" s="11" t="s">
        <v>286</v>
      </c>
      <c r="F352" s="11" t="s">
        <v>327</v>
      </c>
      <c r="G352" s="11" t="s">
        <v>328</v>
      </c>
      <c r="H352" s="37" t="n">
        <v>12312</v>
      </c>
      <c r="I352" s="39" t="n">
        <f aca="false">Assumptions!$C$9</f>
        <v>0.8</v>
      </c>
      <c r="J352" s="37" t="n">
        <f aca="false">H352*I352</f>
        <v>9849.6</v>
      </c>
      <c r="K352" s="38" t="n">
        <v>46418</v>
      </c>
      <c r="L352" s="11" t="n">
        <v>0</v>
      </c>
      <c r="M352" s="11" t="n">
        <v>21</v>
      </c>
      <c r="N352" s="38" t="n">
        <v>46440</v>
      </c>
      <c r="O352" s="11" t="str">
        <f aca="false">IF(INT((N352-Assumptions!$C$2)/7)+1&gt;Assumptions!$C$3,"after W13",INT((N352-Assumptions!$C$2)/7)+1)</f>
        <v>after W13</v>
      </c>
      <c r="P352" s="38" t="n">
        <f aca="false">IF(AND(D352="Receipt",G352="C01"),WORKDAY(N352+Assumptions!$C$14-1,1),N352)</f>
        <v>46440</v>
      </c>
      <c r="Q352" s="11" t="str">
        <f aca="false">IF(INT((P352-Assumptions!$C$2)/7)+1&gt;Assumptions!$C$3,"after W13",INT((P352-Assumptions!$C$2)/7)+1)</f>
        <v>after W13</v>
      </c>
      <c r="R352" s="38" t="n">
        <f aca="false">IF(AND(D352="Receipt",OR(G352="C01",G352="C02",G352="C03",G352="C04",G352="C07")),WORKDAY(N352+IF(G352="C01",Assumptions!$C$14,Assumptions!$C$15)-1,1),N352)</f>
        <v>46455</v>
      </c>
      <c r="S352" s="11" t="str">
        <f aca="false">IF(INT((R352-Assumptions!$C$2)/7)+1&gt;Assumptions!$C$3,"after W13",INT((R352-Assumptions!$C$2)/7)+1)</f>
        <v>after W13</v>
      </c>
      <c r="T352" s="11" t="s">
        <v>864</v>
      </c>
      <c r="U352" s="11" t="s">
        <v>275</v>
      </c>
      <c r="V352" s="11" t="s">
        <v>283</v>
      </c>
    </row>
    <row r="353" customFormat="false" ht="15" hidden="false" customHeight="false" outlineLevel="0" collapsed="false">
      <c r="A353" s="11" t="s">
        <v>1074</v>
      </c>
      <c r="B353" s="11" t="s">
        <v>49</v>
      </c>
      <c r="C353" s="11" t="s">
        <v>1075</v>
      </c>
      <c r="D353" s="11" t="s">
        <v>278</v>
      </c>
      <c r="E353" s="11" t="s">
        <v>297</v>
      </c>
      <c r="F353" s="11" t="s">
        <v>298</v>
      </c>
      <c r="G353" s="11" t="s">
        <v>299</v>
      </c>
      <c r="H353" s="37" t="n">
        <v>14430</v>
      </c>
      <c r="I353" s="39" t="n">
        <f aca="false">Assumptions!$C$9</f>
        <v>0.8</v>
      </c>
      <c r="J353" s="37" t="n">
        <f aca="false">H353*I353</f>
        <v>11544</v>
      </c>
      <c r="K353" s="38" t="n">
        <v>46432</v>
      </c>
      <c r="L353" s="11" t="n">
        <v>0</v>
      </c>
      <c r="M353" s="11" t="n">
        <v>6</v>
      </c>
      <c r="N353" s="38" t="n">
        <v>46440</v>
      </c>
      <c r="O353" s="11" t="str">
        <f aca="false">IF(INT((N353-Assumptions!$C$2)/7)+1&gt;Assumptions!$C$3,"after W13",INT((N353-Assumptions!$C$2)/7)+1)</f>
        <v>after W13</v>
      </c>
      <c r="P353" s="38" t="n">
        <f aca="false">IF(AND(D353="Receipt",G353="C01"),WORKDAY(N353+Assumptions!$C$14-1,1),N353)</f>
        <v>46440</v>
      </c>
      <c r="Q353" s="11" t="str">
        <f aca="false">IF(INT((P353-Assumptions!$C$2)/7)+1&gt;Assumptions!$C$3,"after W13",INT((P353-Assumptions!$C$2)/7)+1)</f>
        <v>after W13</v>
      </c>
      <c r="R353" s="38" t="n">
        <f aca="false">IF(AND(D353="Receipt",OR(G353="C01",G353="C02",G353="C03",G353="C04",G353="C07")),WORKDAY(N353+IF(G353="C01",Assumptions!$C$14,Assumptions!$C$15)-1,1),N353)</f>
        <v>46440</v>
      </c>
      <c r="S353" s="11" t="str">
        <f aca="false">IF(INT((R353-Assumptions!$C$2)/7)+1&gt;Assumptions!$C$3,"after W13",INT((R353-Assumptions!$C$2)/7)+1)</f>
        <v>after W13</v>
      </c>
      <c r="T353" s="11" t="s">
        <v>864</v>
      </c>
      <c r="U353" s="11" t="s">
        <v>275</v>
      </c>
      <c r="V353" s="11" t="s">
        <v>283</v>
      </c>
    </row>
    <row r="354" customFormat="false" ht="15" hidden="false" customHeight="false" outlineLevel="0" collapsed="false">
      <c r="A354" s="11" t="s">
        <v>1076</v>
      </c>
      <c r="B354" s="11" t="s">
        <v>49</v>
      </c>
      <c r="C354" s="11" t="s">
        <v>1077</v>
      </c>
      <c r="D354" s="11" t="s">
        <v>278</v>
      </c>
      <c r="E354" s="11" t="s">
        <v>297</v>
      </c>
      <c r="F354" s="11" t="s">
        <v>298</v>
      </c>
      <c r="G354" s="11" t="s">
        <v>299</v>
      </c>
      <c r="H354" s="37" t="n">
        <v>8120</v>
      </c>
      <c r="I354" s="39" t="n">
        <f aca="false">Assumptions!$C$9</f>
        <v>0.8</v>
      </c>
      <c r="J354" s="37" t="n">
        <f aca="false">H354*I354</f>
        <v>6496</v>
      </c>
      <c r="K354" s="38" t="n">
        <v>46434</v>
      </c>
      <c r="L354" s="11" t="n">
        <v>0</v>
      </c>
      <c r="M354" s="11" t="n">
        <v>6</v>
      </c>
      <c r="N354" s="38" t="n">
        <v>46440</v>
      </c>
      <c r="O354" s="11" t="str">
        <f aca="false">IF(INT((N354-Assumptions!$C$2)/7)+1&gt;Assumptions!$C$3,"after W13",INT((N354-Assumptions!$C$2)/7)+1)</f>
        <v>after W13</v>
      </c>
      <c r="P354" s="38" t="n">
        <f aca="false">IF(AND(D354="Receipt",G354="C01"),WORKDAY(N354+Assumptions!$C$14-1,1),N354)</f>
        <v>46440</v>
      </c>
      <c r="Q354" s="11" t="str">
        <f aca="false">IF(INT((P354-Assumptions!$C$2)/7)+1&gt;Assumptions!$C$3,"after W13",INT((P354-Assumptions!$C$2)/7)+1)</f>
        <v>after W13</v>
      </c>
      <c r="R354" s="38" t="n">
        <f aca="false">IF(AND(D354="Receipt",OR(G354="C01",G354="C02",G354="C03",G354="C04",G354="C07")),WORKDAY(N354+IF(G354="C01",Assumptions!$C$14,Assumptions!$C$15)-1,1),N354)</f>
        <v>46440</v>
      </c>
      <c r="S354" s="11" t="str">
        <f aca="false">IF(INT((R354-Assumptions!$C$2)/7)+1&gt;Assumptions!$C$3,"after W13",INT((R354-Assumptions!$C$2)/7)+1)</f>
        <v>after W13</v>
      </c>
      <c r="T354" s="11" t="s">
        <v>864</v>
      </c>
      <c r="U354" s="11" t="s">
        <v>275</v>
      </c>
      <c r="V354" s="11" t="s">
        <v>283</v>
      </c>
    </row>
    <row r="355" customFormat="false" ht="15" hidden="false" customHeight="false" outlineLevel="0" collapsed="false">
      <c r="A355" s="11" t="s">
        <v>1078</v>
      </c>
      <c r="B355" s="11" t="s">
        <v>49</v>
      </c>
      <c r="C355" s="11" t="s">
        <v>1079</v>
      </c>
      <c r="D355" s="11" t="s">
        <v>278</v>
      </c>
      <c r="E355" s="11" t="s">
        <v>279</v>
      </c>
      <c r="F355" s="11" t="s">
        <v>280</v>
      </c>
      <c r="G355" s="11" t="s">
        <v>281</v>
      </c>
      <c r="H355" s="37" t="n">
        <v>11916</v>
      </c>
      <c r="I355" s="39" t="n">
        <f aca="false">Assumptions!$C$9</f>
        <v>0.8</v>
      </c>
      <c r="J355" s="37" t="n">
        <f aca="false">H355*I355</f>
        <v>9532.8</v>
      </c>
      <c r="K355" s="38" t="n">
        <v>46439</v>
      </c>
      <c r="L355" s="11" t="n">
        <v>0</v>
      </c>
      <c r="M355" s="11" t="n">
        <v>0</v>
      </c>
      <c r="N355" s="38" t="n">
        <v>46440</v>
      </c>
      <c r="O355" s="11" t="str">
        <f aca="false">IF(INT((N355-Assumptions!$C$2)/7)+1&gt;Assumptions!$C$3,"after W13",INT((N355-Assumptions!$C$2)/7)+1)</f>
        <v>after W13</v>
      </c>
      <c r="P355" s="38" t="n">
        <f aca="false">IF(AND(D355="Receipt",G355="C01"),WORKDAY(N355+Assumptions!$C$14-1,1),N355)</f>
        <v>46440</v>
      </c>
      <c r="Q355" s="11" t="str">
        <f aca="false">IF(INT((P355-Assumptions!$C$2)/7)+1&gt;Assumptions!$C$3,"after W13",INT((P355-Assumptions!$C$2)/7)+1)</f>
        <v>after W13</v>
      </c>
      <c r="R355" s="38" t="n">
        <f aca="false">IF(AND(D355="Receipt",OR(G355="C01",G355="C02",G355="C03",G355="C04",G355="C07")),WORKDAY(N355+IF(G355="C01",Assumptions!$C$14,Assumptions!$C$15)-1,1),N355)</f>
        <v>46440</v>
      </c>
      <c r="S355" s="11" t="str">
        <f aca="false">IF(INT((R355-Assumptions!$C$2)/7)+1&gt;Assumptions!$C$3,"after W13",INT((R355-Assumptions!$C$2)/7)+1)</f>
        <v>after W13</v>
      </c>
      <c r="T355" s="11" t="s">
        <v>864</v>
      </c>
      <c r="U355" s="11" t="s">
        <v>275</v>
      </c>
      <c r="V355" s="11" t="s">
        <v>283</v>
      </c>
    </row>
    <row r="356" customFormat="false" ht="15" hidden="false" customHeight="false" outlineLevel="0" collapsed="false">
      <c r="A356" s="11" t="s">
        <v>1080</v>
      </c>
      <c r="B356" s="11" t="s">
        <v>49</v>
      </c>
      <c r="C356" s="11" t="s">
        <v>1081</v>
      </c>
      <c r="D356" s="11" t="s">
        <v>278</v>
      </c>
      <c r="E356" s="11" t="s">
        <v>391</v>
      </c>
      <c r="F356" s="11" t="s">
        <v>392</v>
      </c>
      <c r="G356" s="11" t="s">
        <v>393</v>
      </c>
      <c r="H356" s="37" t="n">
        <v>12552</v>
      </c>
      <c r="I356" s="39" t="n">
        <f aca="false">Assumptions!$C$9</f>
        <v>0.8</v>
      </c>
      <c r="J356" s="37" t="n">
        <f aca="false">H356*I356</f>
        <v>10041.6</v>
      </c>
      <c r="K356" s="38" t="n">
        <v>46417</v>
      </c>
      <c r="L356" s="11" t="n">
        <v>0</v>
      </c>
      <c r="M356" s="11" t="n">
        <v>23.5</v>
      </c>
      <c r="N356" s="38" t="n">
        <v>46441</v>
      </c>
      <c r="O356" s="11" t="str">
        <f aca="false">IF(INT((N356-Assumptions!$C$2)/7)+1&gt;Assumptions!$C$3,"after W13",INT((N356-Assumptions!$C$2)/7)+1)</f>
        <v>after W13</v>
      </c>
      <c r="P356" s="38" t="n">
        <f aca="false">IF(AND(D356="Receipt",G356="C01"),WORKDAY(N356+Assumptions!$C$14-1,1),N356)</f>
        <v>46441</v>
      </c>
      <c r="Q356" s="11" t="str">
        <f aca="false">IF(INT((P356-Assumptions!$C$2)/7)+1&gt;Assumptions!$C$3,"after W13",INT((P356-Assumptions!$C$2)/7)+1)</f>
        <v>after W13</v>
      </c>
      <c r="R356" s="38" t="n">
        <f aca="false">IF(AND(D356="Receipt",OR(G356="C01",G356="C02",G356="C03",G356="C04",G356="C07")),WORKDAY(N356+IF(G356="C01",Assumptions!$C$14,Assumptions!$C$15)-1,1),N356)</f>
        <v>46441</v>
      </c>
      <c r="S356" s="11" t="str">
        <f aca="false">IF(INT((R356-Assumptions!$C$2)/7)+1&gt;Assumptions!$C$3,"after W13",INT((R356-Assumptions!$C$2)/7)+1)</f>
        <v>after W13</v>
      </c>
      <c r="T356" s="11" t="s">
        <v>864</v>
      </c>
      <c r="U356" s="11" t="s">
        <v>275</v>
      </c>
      <c r="V356" s="11" t="s">
        <v>283</v>
      </c>
    </row>
    <row r="357" customFormat="false" ht="15" hidden="false" customHeight="false" outlineLevel="0" collapsed="false">
      <c r="A357" s="11" t="s">
        <v>1082</v>
      </c>
      <c r="B357" s="11" t="s">
        <v>49</v>
      </c>
      <c r="C357" s="11" t="s">
        <v>1083</v>
      </c>
      <c r="D357" s="11" t="s">
        <v>278</v>
      </c>
      <c r="E357" s="11" t="s">
        <v>286</v>
      </c>
      <c r="F357" s="11" t="s">
        <v>349</v>
      </c>
      <c r="G357" s="11" t="s">
        <v>350</v>
      </c>
      <c r="H357" s="37" t="n">
        <v>16896</v>
      </c>
      <c r="I357" s="39" t="n">
        <f aca="false">Assumptions!$C$9</f>
        <v>0.8</v>
      </c>
      <c r="J357" s="37" t="n">
        <f aca="false">H357*I357</f>
        <v>13516.8</v>
      </c>
      <c r="K357" s="38" t="n">
        <v>46432</v>
      </c>
      <c r="L357" s="11" t="n">
        <v>0</v>
      </c>
      <c r="M357" s="11" t="n">
        <v>10</v>
      </c>
      <c r="N357" s="38" t="n">
        <v>46442</v>
      </c>
      <c r="O357" s="11" t="str">
        <f aca="false">IF(INT((N357-Assumptions!$C$2)/7)+1&gt;Assumptions!$C$3,"after W13",INT((N357-Assumptions!$C$2)/7)+1)</f>
        <v>after W13</v>
      </c>
      <c r="P357" s="38" t="n">
        <f aca="false">IF(AND(D357="Receipt",G357="C01"),WORKDAY(N357+Assumptions!$C$14-1,1),N357)</f>
        <v>46442</v>
      </c>
      <c r="Q357" s="11" t="str">
        <f aca="false">IF(INT((P357-Assumptions!$C$2)/7)+1&gt;Assumptions!$C$3,"after W13",INT((P357-Assumptions!$C$2)/7)+1)</f>
        <v>after W13</v>
      </c>
      <c r="R357" s="38" t="n">
        <f aca="false">IF(AND(D357="Receipt",OR(G357="C01",G357="C02",G357="C03",G357="C04",G357="C07")),WORKDAY(N357+IF(G357="C01",Assumptions!$C$14,Assumptions!$C$15)-1,1),N357)</f>
        <v>46457</v>
      </c>
      <c r="S357" s="11" t="str">
        <f aca="false">IF(INT((R357-Assumptions!$C$2)/7)+1&gt;Assumptions!$C$3,"after W13",INT((R357-Assumptions!$C$2)/7)+1)</f>
        <v>after W13</v>
      </c>
      <c r="T357" s="11" t="s">
        <v>864</v>
      </c>
      <c r="U357" s="11" t="s">
        <v>275</v>
      </c>
      <c r="V357" s="11" t="s">
        <v>283</v>
      </c>
    </row>
    <row r="358" customFormat="false" ht="15" hidden="false" customHeight="false" outlineLevel="0" collapsed="false">
      <c r="A358" s="11" t="s">
        <v>1084</v>
      </c>
      <c r="B358" s="11" t="s">
        <v>49</v>
      </c>
      <c r="C358" s="11" t="s">
        <v>1085</v>
      </c>
      <c r="D358" s="11" t="s">
        <v>278</v>
      </c>
      <c r="E358" s="11" t="s">
        <v>286</v>
      </c>
      <c r="F358" s="11" t="s">
        <v>349</v>
      </c>
      <c r="G358" s="11" t="s">
        <v>350</v>
      </c>
      <c r="H358" s="37" t="n">
        <v>20112</v>
      </c>
      <c r="I358" s="39" t="n">
        <f aca="false">Assumptions!$C$9</f>
        <v>0.8</v>
      </c>
      <c r="J358" s="37" t="n">
        <f aca="false">H358*I358</f>
        <v>16089.6</v>
      </c>
      <c r="K358" s="38" t="n">
        <v>46434</v>
      </c>
      <c r="L358" s="11" t="n">
        <v>0</v>
      </c>
      <c r="M358" s="11" t="n">
        <v>10</v>
      </c>
      <c r="N358" s="38" t="n">
        <v>46444</v>
      </c>
      <c r="O358" s="11" t="str">
        <f aca="false">IF(INT((N358-Assumptions!$C$2)/7)+1&gt;Assumptions!$C$3,"after W13",INT((N358-Assumptions!$C$2)/7)+1)</f>
        <v>after W13</v>
      </c>
      <c r="P358" s="38" t="n">
        <f aca="false">IF(AND(D358="Receipt",G358="C01"),WORKDAY(N358+Assumptions!$C$14-1,1),N358)</f>
        <v>46444</v>
      </c>
      <c r="Q358" s="11" t="str">
        <f aca="false">IF(INT((P358-Assumptions!$C$2)/7)+1&gt;Assumptions!$C$3,"after W13",INT((P358-Assumptions!$C$2)/7)+1)</f>
        <v>after W13</v>
      </c>
      <c r="R358" s="38" t="n">
        <f aca="false">IF(AND(D358="Receipt",OR(G358="C01",G358="C02",G358="C03",G358="C04",G358="C07")),WORKDAY(N358+IF(G358="C01",Assumptions!$C$14,Assumptions!$C$15)-1,1),N358)</f>
        <v>46461</v>
      </c>
      <c r="S358" s="11" t="str">
        <f aca="false">IF(INT((R358-Assumptions!$C$2)/7)+1&gt;Assumptions!$C$3,"after W13",INT((R358-Assumptions!$C$2)/7)+1)</f>
        <v>after W13</v>
      </c>
      <c r="T358" s="11" t="s">
        <v>864</v>
      </c>
      <c r="U358" s="11" t="s">
        <v>275</v>
      </c>
      <c r="V358" s="11" t="s">
        <v>283</v>
      </c>
    </row>
    <row r="359" customFormat="false" ht="15" hidden="false" customHeight="false" outlineLevel="0" collapsed="false">
      <c r="A359" s="11" t="s">
        <v>1086</v>
      </c>
      <c r="B359" s="11" t="s">
        <v>49</v>
      </c>
      <c r="C359" s="11" t="s">
        <v>1087</v>
      </c>
      <c r="D359" s="11" t="s">
        <v>278</v>
      </c>
      <c r="E359" s="11" t="s">
        <v>286</v>
      </c>
      <c r="F359" s="11" t="s">
        <v>349</v>
      </c>
      <c r="G359" s="11" t="s">
        <v>350</v>
      </c>
      <c r="H359" s="37" t="n">
        <v>11292</v>
      </c>
      <c r="I359" s="39" t="n">
        <f aca="false">Assumptions!$C$9</f>
        <v>0.8</v>
      </c>
      <c r="J359" s="37" t="n">
        <f aca="false">H359*I359</f>
        <v>9033.6</v>
      </c>
      <c r="K359" s="38" t="n">
        <v>46434</v>
      </c>
      <c r="L359" s="11" t="n">
        <v>0</v>
      </c>
      <c r="M359" s="11" t="n">
        <v>10</v>
      </c>
      <c r="N359" s="38" t="n">
        <v>46444</v>
      </c>
      <c r="O359" s="11" t="str">
        <f aca="false">IF(INT((N359-Assumptions!$C$2)/7)+1&gt;Assumptions!$C$3,"after W13",INT((N359-Assumptions!$C$2)/7)+1)</f>
        <v>after W13</v>
      </c>
      <c r="P359" s="38" t="n">
        <f aca="false">IF(AND(D359="Receipt",G359="C01"),WORKDAY(N359+Assumptions!$C$14-1,1),N359)</f>
        <v>46444</v>
      </c>
      <c r="Q359" s="11" t="str">
        <f aca="false">IF(INT((P359-Assumptions!$C$2)/7)+1&gt;Assumptions!$C$3,"after W13",INT((P359-Assumptions!$C$2)/7)+1)</f>
        <v>after W13</v>
      </c>
      <c r="R359" s="38" t="n">
        <f aca="false">IF(AND(D359="Receipt",OR(G359="C01",G359="C02",G359="C03",G359="C04",G359="C07")),WORKDAY(N359+IF(G359="C01",Assumptions!$C$14,Assumptions!$C$15)-1,1),N359)</f>
        <v>46461</v>
      </c>
      <c r="S359" s="11" t="str">
        <f aca="false">IF(INT((R359-Assumptions!$C$2)/7)+1&gt;Assumptions!$C$3,"after W13",INT((R359-Assumptions!$C$2)/7)+1)</f>
        <v>after W13</v>
      </c>
      <c r="T359" s="11" t="s">
        <v>864</v>
      </c>
      <c r="U359" s="11" t="s">
        <v>275</v>
      </c>
      <c r="V359" s="11" t="s">
        <v>283</v>
      </c>
    </row>
    <row r="360" customFormat="false" ht="15" hidden="false" customHeight="false" outlineLevel="0" collapsed="false">
      <c r="A360" s="11" t="s">
        <v>1088</v>
      </c>
      <c r="B360" s="11" t="s">
        <v>49</v>
      </c>
      <c r="C360" s="11" t="s">
        <v>1089</v>
      </c>
      <c r="D360" s="11" t="s">
        <v>278</v>
      </c>
      <c r="E360" s="11" t="s">
        <v>286</v>
      </c>
      <c r="F360" s="11" t="s">
        <v>349</v>
      </c>
      <c r="G360" s="11" t="s">
        <v>350</v>
      </c>
      <c r="H360" s="37" t="n">
        <v>3360</v>
      </c>
      <c r="I360" s="39" t="n">
        <f aca="false">Assumptions!$C$9</f>
        <v>0.8</v>
      </c>
      <c r="J360" s="37" t="n">
        <f aca="false">H360*I360</f>
        <v>2688</v>
      </c>
      <c r="K360" s="38" t="n">
        <v>46434</v>
      </c>
      <c r="L360" s="11" t="n">
        <v>0</v>
      </c>
      <c r="M360" s="11" t="n">
        <v>10</v>
      </c>
      <c r="N360" s="38" t="n">
        <v>46444</v>
      </c>
      <c r="O360" s="11" t="str">
        <f aca="false">IF(INT((N360-Assumptions!$C$2)/7)+1&gt;Assumptions!$C$3,"after W13",INT((N360-Assumptions!$C$2)/7)+1)</f>
        <v>after W13</v>
      </c>
      <c r="P360" s="38" t="n">
        <f aca="false">IF(AND(D360="Receipt",G360="C01"),WORKDAY(N360+Assumptions!$C$14-1,1),N360)</f>
        <v>46444</v>
      </c>
      <c r="Q360" s="11" t="str">
        <f aca="false">IF(INT((P360-Assumptions!$C$2)/7)+1&gt;Assumptions!$C$3,"after W13",INT((P360-Assumptions!$C$2)/7)+1)</f>
        <v>after W13</v>
      </c>
      <c r="R360" s="38" t="n">
        <f aca="false">IF(AND(D360="Receipt",OR(G360="C01",G360="C02",G360="C03",G360="C04",G360="C07")),WORKDAY(N360+IF(G360="C01",Assumptions!$C$14,Assumptions!$C$15)-1,1),N360)</f>
        <v>46461</v>
      </c>
      <c r="S360" s="11" t="str">
        <f aca="false">IF(INT((R360-Assumptions!$C$2)/7)+1&gt;Assumptions!$C$3,"after W13",INT((R360-Assumptions!$C$2)/7)+1)</f>
        <v>after W13</v>
      </c>
      <c r="T360" s="11" t="s">
        <v>864</v>
      </c>
      <c r="U360" s="11" t="s">
        <v>275</v>
      </c>
      <c r="V360" s="11" t="s">
        <v>283</v>
      </c>
    </row>
    <row r="361" customFormat="false" ht="15" hidden="false" customHeight="false" outlineLevel="0" collapsed="false">
      <c r="A361" s="11" t="s">
        <v>1090</v>
      </c>
      <c r="B361" s="11" t="s">
        <v>49</v>
      </c>
      <c r="C361" s="11" t="s">
        <v>1091</v>
      </c>
      <c r="D361" s="11" t="s">
        <v>278</v>
      </c>
      <c r="E361" s="11" t="s">
        <v>286</v>
      </c>
      <c r="F361" s="11" t="s">
        <v>349</v>
      </c>
      <c r="G361" s="11" t="s">
        <v>350</v>
      </c>
      <c r="H361" s="37" t="n">
        <v>13272</v>
      </c>
      <c r="I361" s="39" t="n">
        <f aca="false">Assumptions!$C$9</f>
        <v>0.8</v>
      </c>
      <c r="J361" s="37" t="n">
        <f aca="false">H361*I361</f>
        <v>10617.6</v>
      </c>
      <c r="K361" s="38" t="n">
        <v>46434</v>
      </c>
      <c r="L361" s="11" t="n">
        <v>0</v>
      </c>
      <c r="M361" s="11" t="n">
        <v>10</v>
      </c>
      <c r="N361" s="38" t="n">
        <v>46444</v>
      </c>
      <c r="O361" s="11" t="str">
        <f aca="false">IF(INT((N361-Assumptions!$C$2)/7)+1&gt;Assumptions!$C$3,"after W13",INT((N361-Assumptions!$C$2)/7)+1)</f>
        <v>after W13</v>
      </c>
      <c r="P361" s="38" t="n">
        <f aca="false">IF(AND(D361="Receipt",G361="C01"),WORKDAY(N361+Assumptions!$C$14-1,1),N361)</f>
        <v>46444</v>
      </c>
      <c r="Q361" s="11" t="str">
        <f aca="false">IF(INT((P361-Assumptions!$C$2)/7)+1&gt;Assumptions!$C$3,"after W13",INT((P361-Assumptions!$C$2)/7)+1)</f>
        <v>after W13</v>
      </c>
      <c r="R361" s="38" t="n">
        <f aca="false">IF(AND(D361="Receipt",OR(G361="C01",G361="C02",G361="C03",G361="C04",G361="C07")),WORKDAY(N361+IF(G361="C01",Assumptions!$C$14,Assumptions!$C$15)-1,1),N361)</f>
        <v>46461</v>
      </c>
      <c r="S361" s="11" t="str">
        <f aca="false">IF(INT((R361-Assumptions!$C$2)/7)+1&gt;Assumptions!$C$3,"after W13",INT((R361-Assumptions!$C$2)/7)+1)</f>
        <v>after W13</v>
      </c>
      <c r="T361" s="11" t="s">
        <v>864</v>
      </c>
      <c r="U361" s="11" t="s">
        <v>275</v>
      </c>
      <c r="V361" s="11" t="s">
        <v>283</v>
      </c>
    </row>
    <row r="362" customFormat="false" ht="15" hidden="false" customHeight="false" outlineLevel="0" collapsed="false">
      <c r="A362" s="11" t="s">
        <v>1092</v>
      </c>
      <c r="B362" s="11" t="s">
        <v>49</v>
      </c>
      <c r="C362" s="11" t="s">
        <v>1093</v>
      </c>
      <c r="D362" s="11" t="s">
        <v>278</v>
      </c>
      <c r="E362" s="11" t="s">
        <v>286</v>
      </c>
      <c r="F362" s="11" t="s">
        <v>331</v>
      </c>
      <c r="G362" s="11" t="s">
        <v>332</v>
      </c>
      <c r="H362" s="37" t="n">
        <v>12252</v>
      </c>
      <c r="I362" s="39" t="n">
        <f aca="false">Assumptions!$C$9</f>
        <v>0.8</v>
      </c>
      <c r="J362" s="37" t="n">
        <f aca="false">H362*I362</f>
        <v>9801.6</v>
      </c>
      <c r="K362" s="38" t="n">
        <v>46419</v>
      </c>
      <c r="L362" s="11" t="n">
        <v>0</v>
      </c>
      <c r="M362" s="11" t="n">
        <v>25</v>
      </c>
      <c r="N362" s="38" t="n">
        <v>46444</v>
      </c>
      <c r="O362" s="11" t="str">
        <f aca="false">IF(INT((N362-Assumptions!$C$2)/7)+1&gt;Assumptions!$C$3,"after W13",INT((N362-Assumptions!$C$2)/7)+1)</f>
        <v>after W13</v>
      </c>
      <c r="P362" s="38" t="n">
        <f aca="false">IF(AND(D362="Receipt",G362="C01"),WORKDAY(N362+Assumptions!$C$14-1,1),N362)</f>
        <v>46444</v>
      </c>
      <c r="Q362" s="11" t="str">
        <f aca="false">IF(INT((P362-Assumptions!$C$2)/7)+1&gt;Assumptions!$C$3,"after W13",INT((P362-Assumptions!$C$2)/7)+1)</f>
        <v>after W13</v>
      </c>
      <c r="R362" s="38" t="n">
        <f aca="false">IF(AND(D362="Receipt",OR(G362="C01",G362="C02",G362="C03",G362="C04",G362="C07")),WORKDAY(N362+IF(G362="C01",Assumptions!$C$14,Assumptions!$C$15)-1,1),N362)</f>
        <v>46461</v>
      </c>
      <c r="S362" s="11" t="str">
        <f aca="false">IF(INT((R362-Assumptions!$C$2)/7)+1&gt;Assumptions!$C$3,"after W13",INT((R362-Assumptions!$C$2)/7)+1)</f>
        <v>after W13</v>
      </c>
      <c r="T362" s="11" t="s">
        <v>864</v>
      </c>
      <c r="U362" s="11" t="s">
        <v>275</v>
      </c>
      <c r="V362" s="11" t="s">
        <v>283</v>
      </c>
    </row>
    <row r="363" customFormat="false" ht="15" hidden="false" customHeight="false" outlineLevel="0" collapsed="false">
      <c r="A363" s="11" t="s">
        <v>1094</v>
      </c>
      <c r="B363" s="11" t="s">
        <v>49</v>
      </c>
      <c r="C363" s="11" t="s">
        <v>1095</v>
      </c>
      <c r="D363" s="11" t="s">
        <v>278</v>
      </c>
      <c r="E363" s="11" t="s">
        <v>286</v>
      </c>
      <c r="F363" s="11" t="s">
        <v>331</v>
      </c>
      <c r="G363" s="11" t="s">
        <v>332</v>
      </c>
      <c r="H363" s="37" t="n">
        <v>13716</v>
      </c>
      <c r="I363" s="39" t="n">
        <f aca="false">Assumptions!$C$9</f>
        <v>0.8</v>
      </c>
      <c r="J363" s="37" t="n">
        <f aca="false">H363*I363</f>
        <v>10972.8</v>
      </c>
      <c r="K363" s="38" t="n">
        <v>46419</v>
      </c>
      <c r="L363" s="11" t="n">
        <v>0</v>
      </c>
      <c r="M363" s="11" t="n">
        <v>25</v>
      </c>
      <c r="N363" s="38" t="n">
        <v>46444</v>
      </c>
      <c r="O363" s="11" t="str">
        <f aca="false">IF(INT((N363-Assumptions!$C$2)/7)+1&gt;Assumptions!$C$3,"after W13",INT((N363-Assumptions!$C$2)/7)+1)</f>
        <v>after W13</v>
      </c>
      <c r="P363" s="38" t="n">
        <f aca="false">IF(AND(D363="Receipt",G363="C01"),WORKDAY(N363+Assumptions!$C$14-1,1),N363)</f>
        <v>46444</v>
      </c>
      <c r="Q363" s="11" t="str">
        <f aca="false">IF(INT((P363-Assumptions!$C$2)/7)+1&gt;Assumptions!$C$3,"after W13",INT((P363-Assumptions!$C$2)/7)+1)</f>
        <v>after W13</v>
      </c>
      <c r="R363" s="38" t="n">
        <f aca="false">IF(AND(D363="Receipt",OR(G363="C01",G363="C02",G363="C03",G363="C04",G363="C07")),WORKDAY(N363+IF(G363="C01",Assumptions!$C$14,Assumptions!$C$15)-1,1),N363)</f>
        <v>46461</v>
      </c>
      <c r="S363" s="11" t="str">
        <f aca="false">IF(INT((R363-Assumptions!$C$2)/7)+1&gt;Assumptions!$C$3,"after W13",INT((R363-Assumptions!$C$2)/7)+1)</f>
        <v>after W13</v>
      </c>
      <c r="T363" s="11" t="s">
        <v>864</v>
      </c>
      <c r="U363" s="11" t="s">
        <v>275</v>
      </c>
      <c r="V363" s="11" t="s">
        <v>283</v>
      </c>
    </row>
    <row r="364" customFormat="false" ht="15" hidden="false" customHeight="false" outlineLevel="0" collapsed="false">
      <c r="A364" s="11" t="s">
        <v>1096</v>
      </c>
      <c r="B364" s="11" t="s">
        <v>49</v>
      </c>
      <c r="C364" s="11" t="s">
        <v>1097</v>
      </c>
      <c r="D364" s="11" t="s">
        <v>278</v>
      </c>
      <c r="E364" s="11" t="s">
        <v>297</v>
      </c>
      <c r="F364" s="11" t="s">
        <v>298</v>
      </c>
      <c r="G364" s="11" t="s">
        <v>299</v>
      </c>
      <c r="H364" s="37" t="n">
        <v>9660</v>
      </c>
      <c r="I364" s="39" t="n">
        <f aca="false">Assumptions!$C$9</f>
        <v>0.8</v>
      </c>
      <c r="J364" s="37" t="n">
        <f aca="false">H364*I364</f>
        <v>7728</v>
      </c>
      <c r="K364" s="38" t="n">
        <v>46438</v>
      </c>
      <c r="L364" s="11" t="n">
        <v>0</v>
      </c>
      <c r="M364" s="11" t="n">
        <v>6</v>
      </c>
      <c r="N364" s="38" t="n">
        <v>46444</v>
      </c>
      <c r="O364" s="11" t="str">
        <f aca="false">IF(INT((N364-Assumptions!$C$2)/7)+1&gt;Assumptions!$C$3,"after W13",INT((N364-Assumptions!$C$2)/7)+1)</f>
        <v>after W13</v>
      </c>
      <c r="P364" s="38" t="n">
        <f aca="false">IF(AND(D364="Receipt",G364="C01"),WORKDAY(N364+Assumptions!$C$14-1,1),N364)</f>
        <v>46444</v>
      </c>
      <c r="Q364" s="11" t="str">
        <f aca="false">IF(INT((P364-Assumptions!$C$2)/7)+1&gt;Assumptions!$C$3,"after W13",INT((P364-Assumptions!$C$2)/7)+1)</f>
        <v>after W13</v>
      </c>
      <c r="R364" s="38" t="n">
        <f aca="false">IF(AND(D364="Receipt",OR(G364="C01",G364="C02",G364="C03",G364="C04",G364="C07")),WORKDAY(N364+IF(G364="C01",Assumptions!$C$14,Assumptions!$C$15)-1,1),N364)</f>
        <v>46444</v>
      </c>
      <c r="S364" s="11" t="str">
        <f aca="false">IF(INT((R364-Assumptions!$C$2)/7)+1&gt;Assumptions!$C$3,"after W13",INT((R364-Assumptions!$C$2)/7)+1)</f>
        <v>after W13</v>
      </c>
      <c r="T364" s="11" t="s">
        <v>864</v>
      </c>
      <c r="U364" s="11" t="s">
        <v>275</v>
      </c>
      <c r="V364" s="11" t="s">
        <v>283</v>
      </c>
    </row>
    <row r="365" customFormat="false" ht="15" hidden="false" customHeight="false" outlineLevel="0" collapsed="false">
      <c r="A365" s="11" t="s">
        <v>1098</v>
      </c>
      <c r="B365" s="11" t="s">
        <v>49</v>
      </c>
      <c r="C365" s="11" t="s">
        <v>1099</v>
      </c>
      <c r="D365" s="11" t="s">
        <v>278</v>
      </c>
      <c r="E365" s="11" t="s">
        <v>279</v>
      </c>
      <c r="F365" s="11" t="s">
        <v>335</v>
      </c>
      <c r="G365" s="11" t="s">
        <v>336</v>
      </c>
      <c r="H365" s="37" t="n">
        <v>2592</v>
      </c>
      <c r="I365" s="39" t="n">
        <f aca="false">Assumptions!$C$9</f>
        <v>0.8</v>
      </c>
      <c r="J365" s="37" t="n">
        <f aca="false">H365*I365</f>
        <v>2073.6</v>
      </c>
      <c r="K365" s="38" t="n">
        <v>46438</v>
      </c>
      <c r="L365" s="11" t="n">
        <v>0</v>
      </c>
      <c r="M365" s="11" t="n">
        <v>7</v>
      </c>
      <c r="N365" s="38" t="n">
        <v>46447</v>
      </c>
      <c r="O365" s="11" t="str">
        <f aca="false">IF(INT((N365-Assumptions!$C$2)/7)+1&gt;Assumptions!$C$3,"after W13",INT((N365-Assumptions!$C$2)/7)+1)</f>
        <v>after W13</v>
      </c>
      <c r="P365" s="38" t="n">
        <f aca="false">IF(AND(D365="Receipt",G365="C01"),WORKDAY(N365+Assumptions!$C$14-1,1),N365)</f>
        <v>46447</v>
      </c>
      <c r="Q365" s="11" t="str">
        <f aca="false">IF(INT((P365-Assumptions!$C$2)/7)+1&gt;Assumptions!$C$3,"after W13",INT((P365-Assumptions!$C$2)/7)+1)</f>
        <v>after W13</v>
      </c>
      <c r="R365" s="38" t="n">
        <f aca="false">IF(AND(D365="Receipt",OR(G365="C01",G365="C02",G365="C03",G365="C04",G365="C07")),WORKDAY(N365+IF(G365="C01",Assumptions!$C$14,Assumptions!$C$15)-1,1),N365)</f>
        <v>46447</v>
      </c>
      <c r="S365" s="11" t="str">
        <f aca="false">IF(INT((R365-Assumptions!$C$2)/7)+1&gt;Assumptions!$C$3,"after W13",INT((R365-Assumptions!$C$2)/7)+1)</f>
        <v>after W13</v>
      </c>
      <c r="T365" s="11" t="s">
        <v>864</v>
      </c>
      <c r="U365" s="11" t="s">
        <v>275</v>
      </c>
      <c r="V365" s="11" t="s">
        <v>283</v>
      </c>
    </row>
    <row r="366" customFormat="false" ht="15" hidden="false" customHeight="false" outlineLevel="0" collapsed="false">
      <c r="A366" s="11" t="s">
        <v>1100</v>
      </c>
      <c r="B366" s="11" t="s">
        <v>49</v>
      </c>
      <c r="C366" s="11" t="s">
        <v>1101</v>
      </c>
      <c r="D366" s="11" t="s">
        <v>278</v>
      </c>
      <c r="E366" s="11" t="s">
        <v>279</v>
      </c>
      <c r="F366" s="11" t="s">
        <v>335</v>
      </c>
      <c r="G366" s="11" t="s">
        <v>336</v>
      </c>
      <c r="H366" s="37" t="n">
        <v>6384</v>
      </c>
      <c r="I366" s="39" t="n">
        <f aca="false">Assumptions!$C$9</f>
        <v>0.8</v>
      </c>
      <c r="J366" s="37" t="n">
        <f aca="false">H366*I366</f>
        <v>5107.2</v>
      </c>
      <c r="K366" s="38" t="n">
        <v>46440</v>
      </c>
      <c r="L366" s="11" t="n">
        <v>0</v>
      </c>
      <c r="M366" s="11" t="n">
        <v>7</v>
      </c>
      <c r="N366" s="38" t="n">
        <v>46447</v>
      </c>
      <c r="O366" s="11" t="str">
        <f aca="false">IF(INT((N366-Assumptions!$C$2)/7)+1&gt;Assumptions!$C$3,"after W13",INT((N366-Assumptions!$C$2)/7)+1)</f>
        <v>after W13</v>
      </c>
      <c r="P366" s="38" t="n">
        <f aca="false">IF(AND(D366="Receipt",G366="C01"),WORKDAY(N366+Assumptions!$C$14-1,1),N366)</f>
        <v>46447</v>
      </c>
      <c r="Q366" s="11" t="str">
        <f aca="false">IF(INT((P366-Assumptions!$C$2)/7)+1&gt;Assumptions!$C$3,"after W13",INT((P366-Assumptions!$C$2)/7)+1)</f>
        <v>after W13</v>
      </c>
      <c r="R366" s="38" t="n">
        <f aca="false">IF(AND(D366="Receipt",OR(G366="C01",G366="C02",G366="C03",G366="C04",G366="C07")),WORKDAY(N366+IF(G366="C01",Assumptions!$C$14,Assumptions!$C$15)-1,1),N366)</f>
        <v>46447</v>
      </c>
      <c r="S366" s="11" t="str">
        <f aca="false">IF(INT((R366-Assumptions!$C$2)/7)+1&gt;Assumptions!$C$3,"after W13",INT((R366-Assumptions!$C$2)/7)+1)</f>
        <v>after W13</v>
      </c>
      <c r="T366" s="11" t="s">
        <v>864</v>
      </c>
      <c r="U366" s="11" t="s">
        <v>275</v>
      </c>
      <c r="V366" s="11" t="s">
        <v>283</v>
      </c>
    </row>
    <row r="367" customFormat="false" ht="15" hidden="false" customHeight="false" outlineLevel="0" collapsed="false">
      <c r="A367" s="11" t="s">
        <v>1102</v>
      </c>
      <c r="B367" s="11" t="s">
        <v>49</v>
      </c>
      <c r="C367" s="11" t="s">
        <v>1103</v>
      </c>
      <c r="D367" s="11" t="s">
        <v>278</v>
      </c>
      <c r="E367" s="11" t="s">
        <v>286</v>
      </c>
      <c r="F367" s="11" t="s">
        <v>327</v>
      </c>
      <c r="G367" s="11" t="s">
        <v>328</v>
      </c>
      <c r="H367" s="37" t="n">
        <v>28656</v>
      </c>
      <c r="I367" s="39" t="n">
        <f aca="false">Assumptions!$C$9</f>
        <v>0.8</v>
      </c>
      <c r="J367" s="37" t="n">
        <f aca="false">H367*I367</f>
        <v>22924.8</v>
      </c>
      <c r="K367" s="38" t="n">
        <v>46427</v>
      </c>
      <c r="L367" s="11" t="n">
        <v>0</v>
      </c>
      <c r="M367" s="11" t="n">
        <v>21</v>
      </c>
      <c r="N367" s="38" t="n">
        <v>46448</v>
      </c>
      <c r="O367" s="11" t="str">
        <f aca="false">IF(INT((N367-Assumptions!$C$2)/7)+1&gt;Assumptions!$C$3,"after W13",INT((N367-Assumptions!$C$2)/7)+1)</f>
        <v>after W13</v>
      </c>
      <c r="P367" s="38" t="n">
        <f aca="false">IF(AND(D367="Receipt",G367="C01"),WORKDAY(N367+Assumptions!$C$14-1,1),N367)</f>
        <v>46448</v>
      </c>
      <c r="Q367" s="11" t="str">
        <f aca="false">IF(INT((P367-Assumptions!$C$2)/7)+1&gt;Assumptions!$C$3,"after W13",INT((P367-Assumptions!$C$2)/7)+1)</f>
        <v>after W13</v>
      </c>
      <c r="R367" s="38" t="n">
        <f aca="false">IF(AND(D367="Receipt",OR(G367="C01",G367="C02",G367="C03",G367="C04",G367="C07")),WORKDAY(N367+IF(G367="C01",Assumptions!$C$14,Assumptions!$C$15)-1,1),N367)</f>
        <v>46463</v>
      </c>
      <c r="S367" s="11" t="str">
        <f aca="false">IF(INT((R367-Assumptions!$C$2)/7)+1&gt;Assumptions!$C$3,"after W13",INT((R367-Assumptions!$C$2)/7)+1)</f>
        <v>after W13</v>
      </c>
      <c r="T367" s="11" t="s">
        <v>864</v>
      </c>
      <c r="U367" s="11" t="s">
        <v>275</v>
      </c>
      <c r="V367" s="11" t="s">
        <v>283</v>
      </c>
    </row>
    <row r="368" customFormat="false" ht="15" hidden="false" customHeight="false" outlineLevel="0" collapsed="false">
      <c r="A368" s="11" t="s">
        <v>1104</v>
      </c>
      <c r="B368" s="11" t="s">
        <v>49</v>
      </c>
      <c r="C368" s="11" t="s">
        <v>1105</v>
      </c>
      <c r="D368" s="11" t="s">
        <v>278</v>
      </c>
      <c r="E368" s="11" t="s">
        <v>286</v>
      </c>
      <c r="F368" s="11" t="s">
        <v>331</v>
      </c>
      <c r="G368" s="11" t="s">
        <v>332</v>
      </c>
      <c r="H368" s="37" t="n">
        <v>5268</v>
      </c>
      <c r="I368" s="39" t="n">
        <f aca="false">Assumptions!$C$9</f>
        <v>0.8</v>
      </c>
      <c r="J368" s="37" t="n">
        <f aca="false">H368*I368</f>
        <v>4214.4</v>
      </c>
      <c r="K368" s="38" t="n">
        <v>46423</v>
      </c>
      <c r="L368" s="11" t="n">
        <v>0</v>
      </c>
      <c r="M368" s="11" t="n">
        <v>25</v>
      </c>
      <c r="N368" s="38" t="n">
        <v>46448</v>
      </c>
      <c r="O368" s="11" t="str">
        <f aca="false">IF(INT((N368-Assumptions!$C$2)/7)+1&gt;Assumptions!$C$3,"after W13",INT((N368-Assumptions!$C$2)/7)+1)</f>
        <v>after W13</v>
      </c>
      <c r="P368" s="38" t="n">
        <f aca="false">IF(AND(D368="Receipt",G368="C01"),WORKDAY(N368+Assumptions!$C$14-1,1),N368)</f>
        <v>46448</v>
      </c>
      <c r="Q368" s="11" t="str">
        <f aca="false">IF(INT((P368-Assumptions!$C$2)/7)+1&gt;Assumptions!$C$3,"after W13",INT((P368-Assumptions!$C$2)/7)+1)</f>
        <v>after W13</v>
      </c>
      <c r="R368" s="38" t="n">
        <f aca="false">IF(AND(D368="Receipt",OR(G368="C01",G368="C02",G368="C03",G368="C04",G368="C07")),WORKDAY(N368+IF(G368="C01",Assumptions!$C$14,Assumptions!$C$15)-1,1),N368)</f>
        <v>46463</v>
      </c>
      <c r="S368" s="11" t="str">
        <f aca="false">IF(INT((R368-Assumptions!$C$2)/7)+1&gt;Assumptions!$C$3,"after W13",INT((R368-Assumptions!$C$2)/7)+1)</f>
        <v>after W13</v>
      </c>
      <c r="T368" s="11" t="s">
        <v>864</v>
      </c>
      <c r="U368" s="11" t="s">
        <v>275</v>
      </c>
      <c r="V368" s="11" t="s">
        <v>283</v>
      </c>
    </row>
    <row r="369" customFormat="false" ht="15" hidden="false" customHeight="false" outlineLevel="0" collapsed="false">
      <c r="A369" s="11" t="s">
        <v>1106</v>
      </c>
      <c r="B369" s="11" t="s">
        <v>49</v>
      </c>
      <c r="C369" s="11" t="s">
        <v>1107</v>
      </c>
      <c r="D369" s="11" t="s">
        <v>278</v>
      </c>
      <c r="E369" s="11" t="s">
        <v>286</v>
      </c>
      <c r="F369" s="11" t="s">
        <v>327</v>
      </c>
      <c r="G369" s="11" t="s">
        <v>328</v>
      </c>
      <c r="H369" s="37" t="n">
        <v>14244</v>
      </c>
      <c r="I369" s="39" t="n">
        <f aca="false">Assumptions!$C$9</f>
        <v>0.8</v>
      </c>
      <c r="J369" s="37" t="n">
        <f aca="false">H369*I369</f>
        <v>11395.2</v>
      </c>
      <c r="K369" s="38" t="n">
        <v>46430</v>
      </c>
      <c r="L369" s="11" t="n">
        <v>0</v>
      </c>
      <c r="M369" s="11" t="n">
        <v>21</v>
      </c>
      <c r="N369" s="38" t="n">
        <v>46451</v>
      </c>
      <c r="O369" s="11" t="str">
        <f aca="false">IF(INT((N369-Assumptions!$C$2)/7)+1&gt;Assumptions!$C$3,"after W13",INT((N369-Assumptions!$C$2)/7)+1)</f>
        <v>after W13</v>
      </c>
      <c r="P369" s="38" t="n">
        <f aca="false">IF(AND(D369="Receipt",G369="C01"),WORKDAY(N369+Assumptions!$C$14-1,1),N369)</f>
        <v>46451</v>
      </c>
      <c r="Q369" s="11" t="str">
        <f aca="false">IF(INT((P369-Assumptions!$C$2)/7)+1&gt;Assumptions!$C$3,"after W13",INT((P369-Assumptions!$C$2)/7)+1)</f>
        <v>after W13</v>
      </c>
      <c r="R369" s="38" t="n">
        <f aca="false">IF(AND(D369="Receipt",OR(G369="C01",G369="C02",G369="C03",G369="C04",G369="C07")),WORKDAY(N369+IF(G369="C01",Assumptions!$C$14,Assumptions!$C$15)-1,1),N369)</f>
        <v>46468</v>
      </c>
      <c r="S369" s="11" t="str">
        <f aca="false">IF(INT((R369-Assumptions!$C$2)/7)+1&gt;Assumptions!$C$3,"after W13",INT((R369-Assumptions!$C$2)/7)+1)</f>
        <v>after W13</v>
      </c>
      <c r="T369" s="11" t="s">
        <v>864</v>
      </c>
      <c r="U369" s="11" t="s">
        <v>275</v>
      </c>
      <c r="V369" s="11" t="s">
        <v>283</v>
      </c>
    </row>
    <row r="370" customFormat="false" ht="15" hidden="false" customHeight="false" outlineLevel="0" collapsed="false">
      <c r="A370" s="11" t="s">
        <v>1108</v>
      </c>
      <c r="B370" s="11" t="s">
        <v>49</v>
      </c>
      <c r="C370" s="11" t="s">
        <v>1109</v>
      </c>
      <c r="D370" s="11" t="s">
        <v>278</v>
      </c>
      <c r="E370" s="11" t="s">
        <v>286</v>
      </c>
      <c r="F370" s="11" t="s">
        <v>327</v>
      </c>
      <c r="G370" s="11" t="s">
        <v>328</v>
      </c>
      <c r="H370" s="37" t="n">
        <v>27648</v>
      </c>
      <c r="I370" s="39" t="n">
        <f aca="false">Assumptions!$C$9</f>
        <v>0.8</v>
      </c>
      <c r="J370" s="37" t="n">
        <f aca="false">H370*I370</f>
        <v>22118.4</v>
      </c>
      <c r="K370" s="38" t="n">
        <v>46433</v>
      </c>
      <c r="L370" s="11" t="n">
        <v>0</v>
      </c>
      <c r="M370" s="11" t="n">
        <v>21</v>
      </c>
      <c r="N370" s="38" t="n">
        <v>46454</v>
      </c>
      <c r="O370" s="11" t="str">
        <f aca="false">IF(INT((N370-Assumptions!$C$2)/7)+1&gt;Assumptions!$C$3,"after W13",INT((N370-Assumptions!$C$2)/7)+1)</f>
        <v>after W13</v>
      </c>
      <c r="P370" s="38" t="n">
        <f aca="false">IF(AND(D370="Receipt",G370="C01"),WORKDAY(N370+Assumptions!$C$14-1,1),N370)</f>
        <v>46454</v>
      </c>
      <c r="Q370" s="11" t="str">
        <f aca="false">IF(INT((P370-Assumptions!$C$2)/7)+1&gt;Assumptions!$C$3,"after W13",INT((P370-Assumptions!$C$2)/7)+1)</f>
        <v>after W13</v>
      </c>
      <c r="R370" s="38" t="n">
        <f aca="false">IF(AND(D370="Receipt",OR(G370="C01",G370="C02",G370="C03",G370="C04",G370="C07")),WORKDAY(N370+IF(G370="C01",Assumptions!$C$14,Assumptions!$C$15)-1,1),N370)</f>
        <v>46469</v>
      </c>
      <c r="S370" s="11" t="str">
        <f aca="false">IF(INT((R370-Assumptions!$C$2)/7)+1&gt;Assumptions!$C$3,"after W13",INT((R370-Assumptions!$C$2)/7)+1)</f>
        <v>after W13</v>
      </c>
      <c r="T370" s="11" t="s">
        <v>864</v>
      </c>
      <c r="U370" s="11" t="s">
        <v>275</v>
      </c>
      <c r="V370" s="11" t="s">
        <v>283</v>
      </c>
    </row>
    <row r="371" customFormat="false" ht="15" hidden="false" customHeight="false" outlineLevel="0" collapsed="false">
      <c r="A371" s="11" t="s">
        <v>1110</v>
      </c>
      <c r="B371" s="11" t="s">
        <v>49</v>
      </c>
      <c r="C371" s="11" t="s">
        <v>1111</v>
      </c>
      <c r="D371" s="11" t="s">
        <v>278</v>
      </c>
      <c r="E371" s="11" t="s">
        <v>286</v>
      </c>
      <c r="F371" s="11" t="s">
        <v>327</v>
      </c>
      <c r="G371" s="11" t="s">
        <v>328</v>
      </c>
      <c r="H371" s="37" t="n">
        <v>47136</v>
      </c>
      <c r="I371" s="39" t="n">
        <f aca="false">Assumptions!$C$9</f>
        <v>0.8</v>
      </c>
      <c r="J371" s="37" t="n">
        <f aca="false">H371*I371</f>
        <v>37708.8</v>
      </c>
      <c r="K371" s="38" t="n">
        <v>46434</v>
      </c>
      <c r="L371" s="11" t="n">
        <v>0</v>
      </c>
      <c r="M371" s="11" t="n">
        <v>21</v>
      </c>
      <c r="N371" s="38" t="n">
        <v>46455</v>
      </c>
      <c r="O371" s="11" t="str">
        <f aca="false">IF(INT((N371-Assumptions!$C$2)/7)+1&gt;Assumptions!$C$3,"after W13",INT((N371-Assumptions!$C$2)/7)+1)</f>
        <v>after W13</v>
      </c>
      <c r="P371" s="38" t="n">
        <f aca="false">IF(AND(D371="Receipt",G371="C01"),WORKDAY(N371+Assumptions!$C$14-1,1),N371)</f>
        <v>46455</v>
      </c>
      <c r="Q371" s="11" t="str">
        <f aca="false">IF(INT((P371-Assumptions!$C$2)/7)+1&gt;Assumptions!$C$3,"after W13",INT((P371-Assumptions!$C$2)/7)+1)</f>
        <v>after W13</v>
      </c>
      <c r="R371" s="38" t="n">
        <f aca="false">IF(AND(D371="Receipt",OR(G371="C01",G371="C02",G371="C03",G371="C04",G371="C07")),WORKDAY(N371+IF(G371="C01",Assumptions!$C$14,Assumptions!$C$15)-1,1),N371)</f>
        <v>46470</v>
      </c>
      <c r="S371" s="11" t="str">
        <f aca="false">IF(INT((R371-Assumptions!$C$2)/7)+1&gt;Assumptions!$C$3,"after W13",INT((R371-Assumptions!$C$2)/7)+1)</f>
        <v>after W13</v>
      </c>
      <c r="T371" s="11" t="s">
        <v>864</v>
      </c>
      <c r="U371" s="11" t="s">
        <v>275</v>
      </c>
      <c r="V371" s="11" t="s">
        <v>283</v>
      </c>
    </row>
    <row r="372" customFormat="false" ht="15" hidden="false" customHeight="false" outlineLevel="0" collapsed="false">
      <c r="A372" s="11" t="s">
        <v>1112</v>
      </c>
      <c r="B372" s="11" t="s">
        <v>49</v>
      </c>
      <c r="C372" s="11" t="s">
        <v>1113</v>
      </c>
      <c r="D372" s="11" t="s">
        <v>278</v>
      </c>
      <c r="E372" s="11" t="s">
        <v>297</v>
      </c>
      <c r="F372" s="11" t="s">
        <v>298</v>
      </c>
      <c r="G372" s="11" t="s">
        <v>299</v>
      </c>
      <c r="H372" s="37" t="n">
        <v>9920</v>
      </c>
      <c r="I372" s="39" t="n">
        <f aca="false">Assumptions!$C$9</f>
        <v>0.8</v>
      </c>
      <c r="J372" s="37" t="n">
        <f aca="false">H372*I372</f>
        <v>7936</v>
      </c>
      <c r="K372" s="38" t="n">
        <v>46454</v>
      </c>
      <c r="L372" s="11" t="n">
        <v>0</v>
      </c>
      <c r="M372" s="11" t="n">
        <v>6</v>
      </c>
      <c r="N372" s="38" t="n">
        <v>46461</v>
      </c>
      <c r="O372" s="11" t="str">
        <f aca="false">IF(INT((N372-Assumptions!$C$2)/7)+1&gt;Assumptions!$C$3,"after W13",INT((N372-Assumptions!$C$2)/7)+1)</f>
        <v>after W13</v>
      </c>
      <c r="P372" s="38" t="n">
        <f aca="false">IF(AND(D372="Receipt",G372="C01"),WORKDAY(N372+Assumptions!$C$14-1,1),N372)</f>
        <v>46461</v>
      </c>
      <c r="Q372" s="11" t="str">
        <f aca="false">IF(INT((P372-Assumptions!$C$2)/7)+1&gt;Assumptions!$C$3,"after W13",INT((P372-Assumptions!$C$2)/7)+1)</f>
        <v>after W13</v>
      </c>
      <c r="R372" s="38" t="n">
        <f aca="false">IF(AND(D372="Receipt",OR(G372="C01",G372="C02",G372="C03",G372="C04",G372="C07")),WORKDAY(N372+IF(G372="C01",Assumptions!$C$14,Assumptions!$C$15)-1,1),N372)</f>
        <v>46461</v>
      </c>
      <c r="S372" s="11" t="str">
        <f aca="false">IF(INT((R372-Assumptions!$C$2)/7)+1&gt;Assumptions!$C$3,"after W13",INT((R372-Assumptions!$C$2)/7)+1)</f>
        <v>after W13</v>
      </c>
      <c r="T372" s="11" t="s">
        <v>864</v>
      </c>
      <c r="U372" s="11" t="s">
        <v>275</v>
      </c>
      <c r="V372" s="11" t="s">
        <v>283</v>
      </c>
    </row>
    <row r="373" customFormat="false" ht="15" hidden="false" customHeight="false" outlineLevel="0" collapsed="false">
      <c r="A373" s="11" t="s">
        <v>1114</v>
      </c>
      <c r="B373" s="11" t="s">
        <v>49</v>
      </c>
      <c r="C373" s="11" t="s">
        <v>1115</v>
      </c>
      <c r="D373" s="11" t="s">
        <v>278</v>
      </c>
      <c r="E373" s="11" t="s">
        <v>286</v>
      </c>
      <c r="F373" s="11" t="s">
        <v>331</v>
      </c>
      <c r="G373" s="11" t="s">
        <v>332</v>
      </c>
      <c r="H373" s="37" t="n">
        <v>15648</v>
      </c>
      <c r="I373" s="39" t="n">
        <f aca="false">Assumptions!$C$9</f>
        <v>0.8</v>
      </c>
      <c r="J373" s="37" t="n">
        <f aca="false">H373*I373</f>
        <v>12518.4</v>
      </c>
      <c r="K373" s="38" t="n">
        <v>46438</v>
      </c>
      <c r="L373" s="11" t="n">
        <v>0</v>
      </c>
      <c r="M373" s="11" t="n">
        <v>25</v>
      </c>
      <c r="N373" s="38" t="n">
        <v>46463</v>
      </c>
      <c r="O373" s="11" t="str">
        <f aca="false">IF(INT((N373-Assumptions!$C$2)/7)+1&gt;Assumptions!$C$3,"after W13",INT((N373-Assumptions!$C$2)/7)+1)</f>
        <v>after W13</v>
      </c>
      <c r="P373" s="38" t="n">
        <f aca="false">IF(AND(D373="Receipt",G373="C01"),WORKDAY(N373+Assumptions!$C$14-1,1),N373)</f>
        <v>46463</v>
      </c>
      <c r="Q373" s="11" t="str">
        <f aca="false">IF(INT((P373-Assumptions!$C$2)/7)+1&gt;Assumptions!$C$3,"after W13",INT((P373-Assumptions!$C$2)/7)+1)</f>
        <v>after W13</v>
      </c>
      <c r="R373" s="38" t="n">
        <f aca="false">IF(AND(D373="Receipt",OR(G373="C01",G373="C02",G373="C03",G373="C04",G373="C07")),WORKDAY(N373+IF(G373="C01",Assumptions!$C$14,Assumptions!$C$15)-1,1),N373)</f>
        <v>46478</v>
      </c>
      <c r="S373" s="11" t="str">
        <f aca="false">IF(INT((R373-Assumptions!$C$2)/7)+1&gt;Assumptions!$C$3,"after W13",INT((R373-Assumptions!$C$2)/7)+1)</f>
        <v>after W13</v>
      </c>
      <c r="T373" s="11" t="s">
        <v>864</v>
      </c>
      <c r="U373" s="11" t="s">
        <v>275</v>
      </c>
      <c r="V373" s="11" t="s">
        <v>283</v>
      </c>
    </row>
    <row r="374" customFormat="false" ht="15" hidden="false" customHeight="false" outlineLevel="0" collapsed="false">
      <c r="A374" s="11" t="s">
        <v>1116</v>
      </c>
      <c r="B374" s="11" t="s">
        <v>49</v>
      </c>
      <c r="C374" s="11" t="s">
        <v>1117</v>
      </c>
      <c r="D374" s="11" t="s">
        <v>278</v>
      </c>
      <c r="E374" s="11" t="s">
        <v>391</v>
      </c>
      <c r="F374" s="11" t="s">
        <v>392</v>
      </c>
      <c r="G374" s="11" t="s">
        <v>393</v>
      </c>
      <c r="H374" s="37" t="n">
        <v>17676</v>
      </c>
      <c r="I374" s="39" t="n">
        <f aca="false">Assumptions!$C$9</f>
        <v>0.8</v>
      </c>
      <c r="J374" s="37" t="n">
        <f aca="false">H374*I374</f>
        <v>14140.8</v>
      </c>
      <c r="K374" s="38" t="n">
        <v>46441</v>
      </c>
      <c r="L374" s="11" t="n">
        <v>0</v>
      </c>
      <c r="M374" s="11" t="n">
        <v>23.5</v>
      </c>
      <c r="N374" s="38" t="n">
        <v>46465</v>
      </c>
      <c r="O374" s="11" t="str">
        <f aca="false">IF(INT((N374-Assumptions!$C$2)/7)+1&gt;Assumptions!$C$3,"after W13",INT((N374-Assumptions!$C$2)/7)+1)</f>
        <v>after W13</v>
      </c>
      <c r="P374" s="38" t="n">
        <f aca="false">IF(AND(D374="Receipt",G374="C01"),WORKDAY(N374+Assumptions!$C$14-1,1),N374)</f>
        <v>46465</v>
      </c>
      <c r="Q374" s="11" t="str">
        <f aca="false">IF(INT((P374-Assumptions!$C$2)/7)+1&gt;Assumptions!$C$3,"after W13",INT((P374-Assumptions!$C$2)/7)+1)</f>
        <v>after W13</v>
      </c>
      <c r="R374" s="38" t="n">
        <f aca="false">IF(AND(D374="Receipt",OR(G374="C01",G374="C02",G374="C03",G374="C04",G374="C07")),WORKDAY(N374+IF(G374="C01",Assumptions!$C$14,Assumptions!$C$15)-1,1),N374)</f>
        <v>46465</v>
      </c>
      <c r="S374" s="11" t="str">
        <f aca="false">IF(INT((R374-Assumptions!$C$2)/7)+1&gt;Assumptions!$C$3,"after W13",INT((R374-Assumptions!$C$2)/7)+1)</f>
        <v>after W13</v>
      </c>
      <c r="T374" s="11" t="s">
        <v>864</v>
      </c>
      <c r="U374" s="11" t="s">
        <v>275</v>
      </c>
      <c r="V374" s="11" t="s">
        <v>283</v>
      </c>
    </row>
    <row r="375" customFormat="false" ht="15" hidden="false" customHeight="false" outlineLevel="0" collapsed="false">
      <c r="A375" s="11" t="s">
        <v>1118</v>
      </c>
      <c r="B375" s="11" t="s">
        <v>49</v>
      </c>
      <c r="C375" s="11" t="s">
        <v>1119</v>
      </c>
      <c r="D375" s="11" t="s">
        <v>278</v>
      </c>
      <c r="E375" s="11" t="s">
        <v>286</v>
      </c>
      <c r="F375" s="11" t="s">
        <v>349</v>
      </c>
      <c r="G375" s="11" t="s">
        <v>350</v>
      </c>
      <c r="H375" s="37" t="n">
        <v>15264</v>
      </c>
      <c r="I375" s="39" t="n">
        <f aca="false">Assumptions!$C$9</f>
        <v>0.8</v>
      </c>
      <c r="J375" s="37" t="n">
        <f aca="false">H375*I375</f>
        <v>12211.2</v>
      </c>
      <c r="K375" s="38" t="n">
        <v>46455</v>
      </c>
      <c r="L375" s="11" t="n">
        <v>0</v>
      </c>
      <c r="M375" s="11" t="n">
        <v>10</v>
      </c>
      <c r="N375" s="38" t="n">
        <v>46465</v>
      </c>
      <c r="O375" s="11" t="str">
        <f aca="false">IF(INT((N375-Assumptions!$C$2)/7)+1&gt;Assumptions!$C$3,"after W13",INT((N375-Assumptions!$C$2)/7)+1)</f>
        <v>after W13</v>
      </c>
      <c r="P375" s="38" t="n">
        <f aca="false">IF(AND(D375="Receipt",G375="C01"),WORKDAY(N375+Assumptions!$C$14-1,1),N375)</f>
        <v>46465</v>
      </c>
      <c r="Q375" s="11" t="str">
        <f aca="false">IF(INT((P375-Assumptions!$C$2)/7)+1&gt;Assumptions!$C$3,"after W13",INT((P375-Assumptions!$C$2)/7)+1)</f>
        <v>after W13</v>
      </c>
      <c r="R375" s="38" t="n">
        <f aca="false">IF(AND(D375="Receipt",OR(G375="C01",G375="C02",G375="C03",G375="C04",G375="C07")),WORKDAY(N375+IF(G375="C01",Assumptions!$C$14,Assumptions!$C$15)-1,1),N375)</f>
        <v>46482</v>
      </c>
      <c r="S375" s="11" t="str">
        <f aca="false">IF(INT((R375-Assumptions!$C$2)/7)+1&gt;Assumptions!$C$3,"after W13",INT((R375-Assumptions!$C$2)/7)+1)</f>
        <v>after W13</v>
      </c>
      <c r="T375" s="11" t="s">
        <v>864</v>
      </c>
      <c r="U375" s="11" t="s">
        <v>275</v>
      </c>
      <c r="V375" s="11" t="s">
        <v>283</v>
      </c>
    </row>
    <row r="376" customFormat="false" ht="15" hidden="false" customHeight="false" outlineLevel="0" collapsed="false">
      <c r="A376" s="11" t="s">
        <v>1120</v>
      </c>
      <c r="B376" s="11" t="s">
        <v>49</v>
      </c>
      <c r="C376" s="11" t="s">
        <v>1121</v>
      </c>
      <c r="D376" s="11" t="s">
        <v>278</v>
      </c>
      <c r="E376" s="11" t="s">
        <v>286</v>
      </c>
      <c r="F376" s="11" t="s">
        <v>331</v>
      </c>
      <c r="G376" s="11" t="s">
        <v>332</v>
      </c>
      <c r="H376" s="37" t="n">
        <v>9888</v>
      </c>
      <c r="I376" s="39" t="n">
        <f aca="false">Assumptions!$C$9</f>
        <v>0.8</v>
      </c>
      <c r="J376" s="37" t="n">
        <f aca="false">H376*I376</f>
        <v>7910.4</v>
      </c>
      <c r="K376" s="38" t="n">
        <v>46440</v>
      </c>
      <c r="L376" s="11" t="n">
        <v>0</v>
      </c>
      <c r="M376" s="11" t="n">
        <v>25</v>
      </c>
      <c r="N376" s="38" t="n">
        <v>46465</v>
      </c>
      <c r="O376" s="11" t="str">
        <f aca="false">IF(INT((N376-Assumptions!$C$2)/7)+1&gt;Assumptions!$C$3,"after W13",INT((N376-Assumptions!$C$2)/7)+1)</f>
        <v>after W13</v>
      </c>
      <c r="P376" s="38" t="n">
        <f aca="false">IF(AND(D376="Receipt",G376="C01"),WORKDAY(N376+Assumptions!$C$14-1,1),N376)</f>
        <v>46465</v>
      </c>
      <c r="Q376" s="11" t="str">
        <f aca="false">IF(INT((P376-Assumptions!$C$2)/7)+1&gt;Assumptions!$C$3,"after W13",INT((P376-Assumptions!$C$2)/7)+1)</f>
        <v>after W13</v>
      </c>
      <c r="R376" s="38" t="n">
        <f aca="false">IF(AND(D376="Receipt",OR(G376="C01",G376="C02",G376="C03",G376="C04",G376="C07")),WORKDAY(N376+IF(G376="C01",Assumptions!$C$14,Assumptions!$C$15)-1,1),N376)</f>
        <v>46482</v>
      </c>
      <c r="S376" s="11" t="str">
        <f aca="false">IF(INT((R376-Assumptions!$C$2)/7)+1&gt;Assumptions!$C$3,"after W13",INT((R376-Assumptions!$C$2)/7)+1)</f>
        <v>after W13</v>
      </c>
      <c r="T376" s="11" t="s">
        <v>864</v>
      </c>
      <c r="U376" s="11" t="s">
        <v>275</v>
      </c>
      <c r="V376" s="11" t="s">
        <v>283</v>
      </c>
    </row>
    <row r="377" customFormat="false" ht="15" hidden="false" customHeight="false" outlineLevel="0" collapsed="false">
      <c r="A377" s="11" t="s">
        <v>1122</v>
      </c>
      <c r="B377" s="11" t="s">
        <v>49</v>
      </c>
      <c r="C377" s="11" t="s">
        <v>1123</v>
      </c>
      <c r="D377" s="11" t="s">
        <v>278</v>
      </c>
      <c r="E377" s="11" t="s">
        <v>286</v>
      </c>
      <c r="F377" s="11" t="s">
        <v>327</v>
      </c>
      <c r="G377" s="11" t="s">
        <v>328</v>
      </c>
      <c r="H377" s="37" t="n">
        <v>23028</v>
      </c>
      <c r="I377" s="39" t="n">
        <f aca="false">Assumptions!$C$9</f>
        <v>0.8</v>
      </c>
      <c r="J377" s="37" t="n">
        <f aca="false">H377*I377</f>
        <v>18422.4</v>
      </c>
      <c r="K377" s="38" t="n">
        <v>46455</v>
      </c>
      <c r="L377" s="11" t="n">
        <v>0</v>
      </c>
      <c r="M377" s="11" t="n">
        <v>21</v>
      </c>
      <c r="N377" s="38" t="n">
        <v>46476</v>
      </c>
      <c r="O377" s="11" t="str">
        <f aca="false">IF(INT((N377-Assumptions!$C$2)/7)+1&gt;Assumptions!$C$3,"after W13",INT((N377-Assumptions!$C$2)/7)+1)</f>
        <v>after W13</v>
      </c>
      <c r="P377" s="38" t="n">
        <f aca="false">IF(AND(D377="Receipt",G377="C01"),WORKDAY(N377+Assumptions!$C$14-1,1),N377)</f>
        <v>46476</v>
      </c>
      <c r="Q377" s="11" t="str">
        <f aca="false">IF(INT((P377-Assumptions!$C$2)/7)+1&gt;Assumptions!$C$3,"after W13",INT((P377-Assumptions!$C$2)/7)+1)</f>
        <v>after W13</v>
      </c>
      <c r="R377" s="38" t="n">
        <f aca="false">IF(AND(D377="Receipt",OR(G377="C01",G377="C02",G377="C03",G377="C04",G377="C07")),WORKDAY(N377+IF(G377="C01",Assumptions!$C$14,Assumptions!$C$15)-1,1),N377)</f>
        <v>46491</v>
      </c>
      <c r="S377" s="11" t="str">
        <f aca="false">IF(INT((R377-Assumptions!$C$2)/7)+1&gt;Assumptions!$C$3,"after W13",INT((R377-Assumptions!$C$2)/7)+1)</f>
        <v>after W13</v>
      </c>
      <c r="T377" s="11" t="s">
        <v>864</v>
      </c>
      <c r="U377" s="11" t="s">
        <v>275</v>
      </c>
      <c r="V377" s="11" t="s">
        <v>283</v>
      </c>
    </row>
  </sheetData>
  <autoFilter ref="A3:V3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8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6"/>
    <col collapsed="false" customWidth="true" hidden="false" outlineLevel="0" max="4" min="4" style="0" width="22"/>
    <col collapsed="false" customWidth="true" hidden="false" outlineLevel="0" max="5" min="5" style="0" width="16"/>
    <col collapsed="false" customWidth="true" hidden="false" outlineLevel="0" max="6" min="6" style="0" width="18"/>
    <col collapsed="false" customWidth="true" hidden="false" outlineLevel="0" max="14" min="7" style="0" width="16"/>
  </cols>
  <sheetData>
    <row r="1" customFormat="false" ht="18.55" hidden="false" customHeight="false" outlineLevel="0" collapsed="false">
      <c r="A1" s="7" t="s">
        <v>1124</v>
      </c>
    </row>
    <row r="2" customFormat="false" ht="42" hidden="false" customHeight="true" outlineLevel="0" collapsed="false">
      <c r="A2" s="40" t="s">
        <v>1125</v>
      </c>
      <c r="B2" s="40"/>
      <c r="C2" s="40"/>
      <c r="D2" s="40"/>
      <c r="E2" s="40"/>
      <c r="F2" s="40"/>
      <c r="G2" s="40"/>
      <c r="H2" s="40"/>
      <c r="I2" s="40"/>
      <c r="J2" s="40"/>
    </row>
    <row r="4" customFormat="false" ht="15" hidden="false" customHeight="false" outlineLevel="0" collapsed="false">
      <c r="A4" s="4" t="s">
        <v>1126</v>
      </c>
    </row>
    <row r="5" customFormat="false" ht="23.85" hidden="false" customHeight="false" outlineLevel="0" collapsed="false">
      <c r="A5" s="33" t="s">
        <v>1127</v>
      </c>
      <c r="B5" s="33" t="s">
        <v>1128</v>
      </c>
      <c r="C5" s="33" t="s">
        <v>1129</v>
      </c>
      <c r="D5" s="33" t="s">
        <v>1130</v>
      </c>
    </row>
    <row r="6" customFormat="false" ht="15" hidden="false" customHeight="false" outlineLevel="0" collapsed="false">
      <c r="A6" s="11" t="s">
        <v>1131</v>
      </c>
      <c r="B6" s="14" t="n">
        <f aca="false">SUMPRODUCT(ABS($G$40:$G$897))/COUNT($G$40:$G$897)</f>
        <v>77019.2494172494</v>
      </c>
      <c r="C6" s="14" t="n">
        <f aca="false">SUMPRODUCT(ABS($H$40:$H$897))/COUNT($H$40:$H$897)</f>
        <v>304466.41025641</v>
      </c>
      <c r="D6" s="41" t="n">
        <f aca="false">1-B6/C6</f>
        <v>0.747035315480658</v>
      </c>
    </row>
    <row r="7" customFormat="false" ht="15" hidden="false" customHeight="false" outlineLevel="0" collapsed="false">
      <c r="A7" s="11" t="s">
        <v>1132</v>
      </c>
      <c r="B7" s="14" t="n">
        <f aca="false">AVERAGE($G$40:$G$897)</f>
        <v>53591.6456876457</v>
      </c>
      <c r="C7" s="14" t="n">
        <f aca="false">AVERAGE($H$40:$H$897)</f>
        <v>304466.41025641</v>
      </c>
    </row>
    <row r="8" customFormat="false" ht="15" hidden="false" customHeight="false" outlineLevel="0" collapsed="false">
      <c r="A8" s="11" t="s">
        <v>1133</v>
      </c>
      <c r="B8" s="14" t="n">
        <f aca="false">SUMPRODUCT(($B$40:$B$897=4)*ABS($G$40:$G$897))/COUNTIF($B$40:$B$897,4)</f>
        <v>79938.6060606061</v>
      </c>
      <c r="C8" s="14" t="n">
        <f aca="false">SUMPRODUCT(($B$40:$B$897=4)*ABS($H$40:$H$897))/COUNTIF($B$40:$B$897,4)</f>
        <v>301609.03030303</v>
      </c>
      <c r="D8" s="41" t="n">
        <f aca="false">1-B8/C8</f>
        <v>0.734959507080107</v>
      </c>
    </row>
    <row r="9" customFormat="false" ht="15" hidden="false" customHeight="false" outlineLevel="0" collapsed="false">
      <c r="A9" s="11" t="s">
        <v>1134</v>
      </c>
      <c r="B9" s="14" t="n">
        <f aca="false">SUMPRODUCT(($B$40:$B$897=13)*ABS($G$40:$G$897))/COUNTIF($B$40:$B$897,13)</f>
        <v>87055.8484848485</v>
      </c>
      <c r="C9" s="14" t="n">
        <f aca="false">SUMPRODUCT(($B$40:$B$897=13)*ABS($H$40:$H$897))/COUNTIF($B$40:$B$897,13)</f>
        <v>308698.454545455</v>
      </c>
      <c r="D9" s="41" t="n">
        <f aca="false">1-B9/C9</f>
        <v>0.717990656567962</v>
      </c>
    </row>
    <row r="11" customFormat="false" ht="15" hidden="false" customHeight="false" outlineLevel="0" collapsed="false">
      <c r="A11" s="4" t="s">
        <v>1135</v>
      </c>
    </row>
    <row r="12" customFormat="false" ht="15" hidden="false" customHeight="false" outlineLevel="0" collapsed="false">
      <c r="A12" s="33" t="s">
        <v>1136</v>
      </c>
      <c r="B12" s="33" t="s">
        <v>1137</v>
      </c>
      <c r="C12" s="33" t="s">
        <v>1138</v>
      </c>
      <c r="D12" s="33" t="s">
        <v>1139</v>
      </c>
    </row>
    <row r="13" customFormat="false" ht="15" hidden="false" customHeight="false" outlineLevel="0" collapsed="false">
      <c r="A13" s="11" t="s">
        <v>1140</v>
      </c>
      <c r="B13" s="15" t="n">
        <v>77019</v>
      </c>
      <c r="C13" s="15" t="n">
        <v>53592</v>
      </c>
      <c r="D13" s="11" t="s">
        <v>1141</v>
      </c>
    </row>
    <row r="14" customFormat="false" ht="15" hidden="false" customHeight="false" outlineLevel="0" collapsed="false">
      <c r="A14" s="11" t="s">
        <v>1142</v>
      </c>
      <c r="B14" s="15" t="n">
        <v>71970</v>
      </c>
      <c r="C14" s="15" t="n">
        <v>34781</v>
      </c>
      <c r="D14" s="11" t="s">
        <v>1143</v>
      </c>
    </row>
    <row r="15" customFormat="false" ht="15" hidden="false" customHeight="false" outlineLevel="0" collapsed="false">
      <c r="A15" s="11" t="s">
        <v>1144</v>
      </c>
      <c r="B15" s="15" t="n">
        <v>66584</v>
      </c>
      <c r="C15" s="15" t="n">
        <v>42065</v>
      </c>
      <c r="D15" s="11" t="s">
        <v>1145</v>
      </c>
    </row>
    <row r="16" customFormat="false" ht="15" hidden="false" customHeight="false" outlineLevel="0" collapsed="false">
      <c r="A16" s="11" t="s">
        <v>1146</v>
      </c>
      <c r="B16" s="15" t="n">
        <v>304466</v>
      </c>
      <c r="C16" s="15" t="n">
        <v>304466</v>
      </c>
      <c r="D16" s="11" t="s">
        <v>1147</v>
      </c>
    </row>
    <row r="18" customFormat="false" ht="15" hidden="false" customHeight="false" outlineLevel="0" collapsed="false">
      <c r="A18" s="4" t="s">
        <v>1148</v>
      </c>
    </row>
    <row r="19" customFormat="false" ht="23.85" hidden="false" customHeight="false" outlineLevel="0" collapsed="false">
      <c r="A19" s="33" t="s">
        <v>1149</v>
      </c>
      <c r="B19" s="33" t="s">
        <v>1150</v>
      </c>
      <c r="C19" s="33" t="s">
        <v>1151</v>
      </c>
      <c r="D19" s="33" t="s">
        <v>1152</v>
      </c>
      <c r="E19" s="33" t="s">
        <v>1153</v>
      </c>
      <c r="F19" s="33" t="s">
        <v>1139</v>
      </c>
    </row>
    <row r="20" customFormat="false" ht="124.6" hidden="false" customHeight="false" outlineLevel="0" collapsed="false">
      <c r="A20" s="42" t="n">
        <v>45838</v>
      </c>
      <c r="B20" s="34" t="n">
        <v>-38211</v>
      </c>
      <c r="C20" s="6" t="n">
        <v>5</v>
      </c>
      <c r="D20" s="6" t="n">
        <v>0</v>
      </c>
      <c r="E20" s="6" t="n">
        <v>0</v>
      </c>
      <c r="F20" s="6" t="s">
        <v>1154</v>
      </c>
    </row>
    <row r="21" customFormat="false" ht="79.85" hidden="false" customHeight="false" outlineLevel="0" collapsed="false">
      <c r="A21" s="42" t="n">
        <v>45957</v>
      </c>
      <c r="B21" s="34" t="n">
        <v>1503</v>
      </c>
      <c r="C21" s="6" t="n">
        <v>2</v>
      </c>
      <c r="D21" s="6" t="n">
        <v>12</v>
      </c>
      <c r="E21" s="6" t="n">
        <v>0</v>
      </c>
      <c r="F21" s="6" t="s">
        <v>1155</v>
      </c>
    </row>
    <row r="23" customFormat="false" ht="15" hidden="false" customHeight="false" outlineLevel="0" collapsed="false">
      <c r="A23" s="2" t="s">
        <v>1156</v>
      </c>
    </row>
    <row r="25" customFormat="false" ht="15" hidden="false" customHeight="false" outlineLevel="0" collapsed="false">
      <c r="A25" s="4" t="s">
        <v>1157</v>
      </c>
    </row>
    <row r="26" customFormat="false" ht="15" hidden="false" customHeight="false" outlineLevel="0" collapsed="false">
      <c r="A26" s="33" t="s">
        <v>1158</v>
      </c>
      <c r="B26" s="33" t="s">
        <v>1159</v>
      </c>
      <c r="C26" s="33" t="s">
        <v>1160</v>
      </c>
      <c r="D26" s="33" t="s">
        <v>1161</v>
      </c>
      <c r="E26" s="33" t="s">
        <v>1162</v>
      </c>
      <c r="F26" s="33" t="s">
        <v>1163</v>
      </c>
      <c r="G26" s="33" t="s">
        <v>1164</v>
      </c>
      <c r="H26" s="33" t="s">
        <v>1165</v>
      </c>
      <c r="I26" s="33" t="s">
        <v>1166</v>
      </c>
      <c r="J26" s="33" t="s">
        <v>1167</v>
      </c>
      <c r="K26" s="33" t="s">
        <v>1168</v>
      </c>
      <c r="L26" s="33" t="s">
        <v>1169</v>
      </c>
      <c r="M26" s="33" t="s">
        <v>1170</v>
      </c>
      <c r="N26" s="33" t="s">
        <v>1171</v>
      </c>
    </row>
    <row r="27" customFormat="false" ht="15" hidden="false" customHeight="false" outlineLevel="0" collapsed="false">
      <c r="A27" s="11" t="s">
        <v>1172</v>
      </c>
      <c r="B27" s="15" t="n">
        <f aca="false">SUMPRODUCT(($B$40:$B$897=1)*ABS($G$40:$G$897))/COUNTIF($B$40:$B$897,1)</f>
        <v>48232</v>
      </c>
      <c r="C27" s="15" t="n">
        <f aca="false">SUMPRODUCT(($B$40:$B$897=2)*ABS($G$40:$G$897))/COUNTIF($B$40:$B$897,2)</f>
        <v>62026.2121212121</v>
      </c>
      <c r="D27" s="15" t="n">
        <f aca="false">SUMPRODUCT(($B$40:$B$897=3)*ABS($G$40:$G$897))/COUNTIF($B$40:$B$897,3)</f>
        <v>75663.303030303</v>
      </c>
      <c r="E27" s="15" t="n">
        <f aca="false">SUMPRODUCT(($B$40:$B$897=4)*ABS($G$40:$G$897))/COUNTIF($B$40:$B$897,4)</f>
        <v>79938.6060606061</v>
      </c>
      <c r="F27" s="15" t="n">
        <f aca="false">SUMPRODUCT(($B$40:$B$897=5)*ABS($G$40:$G$897))/COUNTIF($B$40:$B$897,5)</f>
        <v>80411.7272727273</v>
      </c>
      <c r="G27" s="15" t="n">
        <f aca="false">SUMPRODUCT(($B$40:$B$897=6)*ABS($G$40:$G$897))/COUNTIF($B$40:$B$897,6)</f>
        <v>80814.303030303</v>
      </c>
      <c r="H27" s="15" t="n">
        <f aca="false">SUMPRODUCT(($B$40:$B$897=7)*ABS($G$40:$G$897))/COUNTIF($B$40:$B$897,7)</f>
        <v>79718.5151515152</v>
      </c>
      <c r="I27" s="15" t="n">
        <f aca="false">SUMPRODUCT(($B$40:$B$897=8)*ABS($G$40:$G$897))/COUNTIF($B$40:$B$897,8)</f>
        <v>78502.4242424242</v>
      </c>
      <c r="J27" s="15" t="n">
        <f aca="false">SUMPRODUCT(($B$40:$B$897=9)*ABS($G$40:$G$897))/COUNTIF($B$40:$B$897,9)</f>
        <v>79747</v>
      </c>
      <c r="K27" s="15" t="n">
        <f aca="false">SUMPRODUCT(($B$40:$B$897=10)*ABS($G$40:$G$897))/COUNTIF($B$40:$B$897,10)</f>
        <v>82924.5454545455</v>
      </c>
      <c r="L27" s="15" t="n">
        <f aca="false">SUMPRODUCT(($B$40:$B$897=11)*ABS($G$40:$G$897))/COUNTIF($B$40:$B$897,11)</f>
        <v>82316.303030303</v>
      </c>
      <c r="M27" s="15" t="n">
        <f aca="false">SUMPRODUCT(($B$40:$B$897=12)*ABS($G$40:$G$897))/COUNTIF($B$40:$B$897,12)</f>
        <v>83899.4545454545</v>
      </c>
      <c r="N27" s="15" t="n">
        <f aca="false">SUMPRODUCT(($B$40:$B$897=13)*ABS($G$40:$G$897))/COUNTIF($B$40:$B$897,13)</f>
        <v>87055.8484848485</v>
      </c>
    </row>
    <row r="28" customFormat="false" ht="15" hidden="false" customHeight="false" outlineLevel="0" collapsed="false">
      <c r="A28" s="11" t="s">
        <v>1173</v>
      </c>
      <c r="B28" s="15" t="n">
        <f aca="false">SUMPRODUCT(($B$40:$B$897=1)*ABS($H$40:$H$897))/COUNTIF($B$40:$B$897,1)</f>
        <v>293722.636363636</v>
      </c>
      <c r="C28" s="15" t="n">
        <f aca="false">SUMPRODUCT(($B$40:$B$897=2)*ABS($H$40:$H$897))/COUNTIF($B$40:$B$897,2)</f>
        <v>295128.939393939</v>
      </c>
      <c r="D28" s="15" t="n">
        <f aca="false">SUMPRODUCT(($B$40:$B$897=3)*ABS($H$40:$H$897))/COUNTIF($B$40:$B$897,3)</f>
        <v>296700.272727273</v>
      </c>
      <c r="E28" s="15" t="n">
        <f aca="false">SUMPRODUCT(($B$40:$B$897=4)*ABS($H$40:$H$897))/COUNTIF($B$40:$B$897,4)</f>
        <v>301609.03030303</v>
      </c>
      <c r="F28" s="15" t="n">
        <f aca="false">SUMPRODUCT(($B$40:$B$897=5)*ABS($H$40:$H$897))/COUNTIF($B$40:$B$897,5)</f>
        <v>304364.303030303</v>
      </c>
      <c r="G28" s="15" t="n">
        <f aca="false">SUMPRODUCT(($B$40:$B$897=6)*ABS($H$40:$H$897))/COUNTIF($B$40:$B$897,6)</f>
        <v>304744.363636364</v>
      </c>
      <c r="H28" s="15" t="n">
        <f aca="false">SUMPRODUCT(($B$40:$B$897=7)*ABS($H$40:$H$897))/COUNTIF($B$40:$B$897,7)</f>
        <v>305608.090909091</v>
      </c>
      <c r="I28" s="15" t="n">
        <f aca="false">SUMPRODUCT(($B$40:$B$897=8)*ABS($H$40:$H$897))/COUNTIF($B$40:$B$897,8)</f>
        <v>306721.272727273</v>
      </c>
      <c r="J28" s="15" t="n">
        <f aca="false">SUMPRODUCT(($B$40:$B$897=9)*ABS($H$40:$H$897))/COUNTIF($B$40:$B$897,9)</f>
        <v>309350.96969697</v>
      </c>
      <c r="K28" s="15" t="n">
        <f aca="false">SUMPRODUCT(($B$40:$B$897=10)*ABS($H$40:$H$897))/COUNTIF($B$40:$B$897,10)</f>
        <v>310380.878787879</v>
      </c>
      <c r="L28" s="15" t="n">
        <f aca="false">SUMPRODUCT(($B$40:$B$897=11)*ABS($H$40:$H$897))/COUNTIF($B$40:$B$897,11)</f>
        <v>310820.242424242</v>
      </c>
      <c r="M28" s="15" t="n">
        <f aca="false">SUMPRODUCT(($B$40:$B$897=12)*ABS($H$40:$H$897))/COUNTIF($B$40:$B$897,12)</f>
        <v>310213.878787879</v>
      </c>
      <c r="N28" s="15" t="n">
        <f aca="false">SUMPRODUCT(($B$40:$B$897=13)*ABS($H$40:$H$897))/COUNTIF($B$40:$B$897,13)</f>
        <v>308698.454545455</v>
      </c>
    </row>
    <row r="38" customFormat="false" ht="15" hidden="false" customHeight="false" outlineLevel="0" collapsed="false">
      <c r="A38" s="4" t="s">
        <v>1174</v>
      </c>
    </row>
    <row r="39" customFormat="false" ht="23.85" hidden="false" customHeight="false" outlineLevel="0" collapsed="false">
      <c r="A39" s="33" t="s">
        <v>1175</v>
      </c>
      <c r="B39" s="33" t="s">
        <v>1176</v>
      </c>
      <c r="C39" s="33" t="s">
        <v>1177</v>
      </c>
      <c r="D39" s="33" t="s">
        <v>1178</v>
      </c>
      <c r="E39" s="33" t="s">
        <v>1179</v>
      </c>
      <c r="F39" s="33" t="s">
        <v>1180</v>
      </c>
      <c r="G39" s="33" t="s">
        <v>1181</v>
      </c>
      <c r="H39" s="33" t="s">
        <v>1182</v>
      </c>
    </row>
    <row r="40" customFormat="false" ht="15" hidden="false" customHeight="false" outlineLevel="0" collapsed="false">
      <c r="A40" s="38" t="n">
        <v>45751</v>
      </c>
      <c r="B40" s="11" t="n">
        <v>1</v>
      </c>
      <c r="C40" s="38" t="n">
        <v>45754</v>
      </c>
      <c r="D40" s="15" t="n">
        <v>302474.28</v>
      </c>
      <c r="E40" s="15" t="n">
        <v>308368.28</v>
      </c>
      <c r="F40" s="15" t="n">
        <v>540564.28</v>
      </c>
      <c r="G40" s="15" t="n">
        <f aca="false">E40-D40</f>
        <v>5894</v>
      </c>
      <c r="H40" s="15" t="n">
        <f aca="false">F40-D40</f>
        <v>238090</v>
      </c>
    </row>
    <row r="41" customFormat="false" ht="15" hidden="false" customHeight="false" outlineLevel="0" collapsed="false">
      <c r="A41" s="38" t="n">
        <v>45751</v>
      </c>
      <c r="B41" s="11" t="n">
        <v>2</v>
      </c>
      <c r="C41" s="38" t="n">
        <v>45761</v>
      </c>
      <c r="D41" s="15" t="n">
        <v>294118.24</v>
      </c>
      <c r="E41" s="15" t="n">
        <v>316458.24</v>
      </c>
      <c r="F41" s="15" t="n">
        <v>530190.24</v>
      </c>
      <c r="G41" s="15" t="n">
        <f aca="false">E41-D41</f>
        <v>22340</v>
      </c>
      <c r="H41" s="15" t="n">
        <f aca="false">F41-D41</f>
        <v>236072</v>
      </c>
    </row>
    <row r="42" customFormat="false" ht="15" hidden="false" customHeight="false" outlineLevel="0" collapsed="false">
      <c r="A42" s="38" t="n">
        <v>45751</v>
      </c>
      <c r="B42" s="11" t="n">
        <v>3</v>
      </c>
      <c r="C42" s="38" t="n">
        <v>45768</v>
      </c>
      <c r="D42" s="15" t="n">
        <v>357614.31</v>
      </c>
      <c r="E42" s="15" t="n">
        <v>371268.31</v>
      </c>
      <c r="F42" s="15" t="n">
        <v>529632.31</v>
      </c>
      <c r="G42" s="15" t="n">
        <f aca="false">E42-D42</f>
        <v>13654</v>
      </c>
      <c r="H42" s="15" t="n">
        <f aca="false">F42-D42</f>
        <v>172018</v>
      </c>
    </row>
    <row r="43" customFormat="false" ht="15" hidden="false" customHeight="false" outlineLevel="0" collapsed="false">
      <c r="A43" s="38" t="n">
        <v>45751</v>
      </c>
      <c r="B43" s="11" t="n">
        <v>4</v>
      </c>
      <c r="C43" s="38" t="n">
        <v>45775</v>
      </c>
      <c r="D43" s="15" t="n">
        <v>238614.09</v>
      </c>
      <c r="E43" s="15" t="n">
        <v>259672.09</v>
      </c>
      <c r="F43" s="15" t="n">
        <v>477114.09</v>
      </c>
      <c r="G43" s="15" t="n">
        <f aca="false">E43-D43</f>
        <v>21058</v>
      </c>
      <c r="H43" s="15" t="n">
        <f aca="false">F43-D43</f>
        <v>238500</v>
      </c>
    </row>
    <row r="44" customFormat="false" ht="15" hidden="false" customHeight="false" outlineLevel="0" collapsed="false">
      <c r="A44" s="38" t="n">
        <v>45751</v>
      </c>
      <c r="B44" s="11" t="n">
        <v>5</v>
      </c>
      <c r="C44" s="38" t="n">
        <v>45782</v>
      </c>
      <c r="D44" s="15" t="n">
        <v>247095.82</v>
      </c>
      <c r="E44" s="15" t="n">
        <v>322779.82</v>
      </c>
      <c r="F44" s="15" t="n">
        <v>513399.82</v>
      </c>
      <c r="G44" s="15" t="n">
        <f aca="false">E44-D44</f>
        <v>75684</v>
      </c>
      <c r="H44" s="15" t="n">
        <f aca="false">F44-D44</f>
        <v>266304</v>
      </c>
    </row>
    <row r="45" customFormat="false" ht="15" hidden="false" customHeight="false" outlineLevel="0" collapsed="false">
      <c r="A45" s="38" t="n">
        <v>45751</v>
      </c>
      <c r="B45" s="11" t="n">
        <v>6</v>
      </c>
      <c r="C45" s="38" t="n">
        <v>45789</v>
      </c>
      <c r="D45" s="15" t="n">
        <v>199788.7</v>
      </c>
      <c r="E45" s="15" t="n">
        <v>285288.7</v>
      </c>
      <c r="F45" s="15" t="n">
        <v>515732.7</v>
      </c>
      <c r="G45" s="15" t="n">
        <f aca="false">E45-D45</f>
        <v>85500</v>
      </c>
      <c r="H45" s="15" t="n">
        <f aca="false">F45-D45</f>
        <v>315944</v>
      </c>
    </row>
    <row r="46" customFormat="false" ht="15" hidden="false" customHeight="false" outlineLevel="0" collapsed="false">
      <c r="A46" s="38" t="n">
        <v>45751</v>
      </c>
      <c r="B46" s="11" t="n">
        <v>7</v>
      </c>
      <c r="C46" s="38" t="n">
        <v>45796</v>
      </c>
      <c r="D46" s="15" t="n">
        <v>295509.67</v>
      </c>
      <c r="E46" s="15" t="n">
        <v>433107.67</v>
      </c>
      <c r="F46" s="15" t="n">
        <v>608979.67</v>
      </c>
      <c r="G46" s="15" t="n">
        <f aca="false">E46-D46</f>
        <v>137598</v>
      </c>
      <c r="H46" s="15" t="n">
        <f aca="false">F46-D46</f>
        <v>313470</v>
      </c>
    </row>
    <row r="47" customFormat="false" ht="15" hidden="false" customHeight="false" outlineLevel="0" collapsed="false">
      <c r="A47" s="38" t="n">
        <v>45751</v>
      </c>
      <c r="B47" s="11" t="n">
        <v>8</v>
      </c>
      <c r="C47" s="38" t="n">
        <v>45803</v>
      </c>
      <c r="D47" s="15" t="n">
        <v>151538.04</v>
      </c>
      <c r="E47" s="15" t="n">
        <v>254348.04</v>
      </c>
      <c r="F47" s="15" t="n">
        <v>382978.04</v>
      </c>
      <c r="G47" s="15" t="n">
        <f aca="false">E47-D47</f>
        <v>102810</v>
      </c>
      <c r="H47" s="15" t="n">
        <f aca="false">F47-D47</f>
        <v>231440</v>
      </c>
    </row>
    <row r="48" customFormat="false" ht="15" hidden="false" customHeight="false" outlineLevel="0" collapsed="false">
      <c r="A48" s="38" t="n">
        <v>45751</v>
      </c>
      <c r="B48" s="11" t="n">
        <v>9</v>
      </c>
      <c r="C48" s="38" t="n">
        <v>45810</v>
      </c>
      <c r="D48" s="15" t="n">
        <v>238869.46</v>
      </c>
      <c r="E48" s="15" t="n">
        <v>241767.46</v>
      </c>
      <c r="F48" s="15" t="n">
        <v>427239.46</v>
      </c>
      <c r="G48" s="15" t="n">
        <f aca="false">E48-D48</f>
        <v>2898</v>
      </c>
      <c r="H48" s="15" t="n">
        <f aca="false">F48-D48</f>
        <v>188370</v>
      </c>
    </row>
    <row r="49" customFormat="false" ht="15" hidden="false" customHeight="false" outlineLevel="0" collapsed="false">
      <c r="A49" s="38" t="n">
        <v>45751</v>
      </c>
      <c r="B49" s="11" t="n">
        <v>10</v>
      </c>
      <c r="C49" s="38" t="n">
        <v>45817</v>
      </c>
      <c r="D49" s="15" t="n">
        <v>294525.89</v>
      </c>
      <c r="E49" s="15" t="n">
        <v>373033.89</v>
      </c>
      <c r="F49" s="15" t="n">
        <v>540927.89</v>
      </c>
      <c r="G49" s="15" t="n">
        <f aca="false">E49-D49</f>
        <v>78508</v>
      </c>
      <c r="H49" s="15" t="n">
        <f aca="false">F49-D49</f>
        <v>246402</v>
      </c>
    </row>
    <row r="50" customFormat="false" ht="15" hidden="false" customHeight="false" outlineLevel="0" collapsed="false">
      <c r="A50" s="38" t="n">
        <v>45751</v>
      </c>
      <c r="B50" s="11" t="n">
        <v>11</v>
      </c>
      <c r="C50" s="38" t="n">
        <v>45824</v>
      </c>
      <c r="D50" s="15" t="n">
        <v>289454.93</v>
      </c>
      <c r="E50" s="15" t="n">
        <v>309164.93</v>
      </c>
      <c r="F50" s="15" t="n">
        <v>534974.93</v>
      </c>
      <c r="G50" s="15" t="n">
        <f aca="false">E50-D50</f>
        <v>19710</v>
      </c>
      <c r="H50" s="15" t="n">
        <f aca="false">F50-D50</f>
        <v>245520</v>
      </c>
    </row>
    <row r="51" customFormat="false" ht="15" hidden="false" customHeight="false" outlineLevel="0" collapsed="false">
      <c r="A51" s="38" t="n">
        <v>45751</v>
      </c>
      <c r="B51" s="11" t="n">
        <v>12</v>
      </c>
      <c r="C51" s="38" t="n">
        <v>45831</v>
      </c>
      <c r="D51" s="15" t="n">
        <v>240598.9</v>
      </c>
      <c r="E51" s="15" t="n">
        <v>263948.9</v>
      </c>
      <c r="F51" s="15" t="n">
        <v>492488.9</v>
      </c>
      <c r="G51" s="15" t="n">
        <f aca="false">E51-D51</f>
        <v>23350</v>
      </c>
      <c r="H51" s="15" t="n">
        <f aca="false">F51-D51</f>
        <v>251890</v>
      </c>
    </row>
    <row r="52" customFormat="false" ht="15" hidden="false" customHeight="false" outlineLevel="0" collapsed="false">
      <c r="A52" s="38" t="n">
        <v>45751</v>
      </c>
      <c r="B52" s="11" t="n">
        <v>13</v>
      </c>
      <c r="C52" s="38" t="n">
        <v>45838</v>
      </c>
      <c r="D52" s="15" t="n">
        <v>65052.07</v>
      </c>
      <c r="E52" s="15" t="n">
        <v>148176.07</v>
      </c>
      <c r="F52" s="15" t="n">
        <v>348120.07</v>
      </c>
      <c r="G52" s="15" t="n">
        <f aca="false">E52-D52</f>
        <v>83124</v>
      </c>
      <c r="H52" s="15" t="n">
        <f aca="false">F52-D52</f>
        <v>283068</v>
      </c>
    </row>
    <row r="53" customFormat="false" ht="15" hidden="false" customHeight="false" outlineLevel="0" collapsed="false">
      <c r="A53" s="38" t="n">
        <v>45758</v>
      </c>
      <c r="B53" s="11" t="n">
        <v>1</v>
      </c>
      <c r="C53" s="38" t="n">
        <v>45761</v>
      </c>
      <c r="D53" s="15" t="n">
        <v>294118.24</v>
      </c>
      <c r="E53" s="15" t="n">
        <v>270856.24</v>
      </c>
      <c r="F53" s="15" t="n">
        <v>530190.24</v>
      </c>
      <c r="G53" s="15" t="n">
        <f aca="false">E53-D53</f>
        <v>-23262</v>
      </c>
      <c r="H53" s="15" t="n">
        <f aca="false">F53-D53</f>
        <v>236072</v>
      </c>
    </row>
    <row r="54" customFormat="false" ht="15" hidden="false" customHeight="false" outlineLevel="0" collapsed="false">
      <c r="A54" s="38" t="n">
        <v>45758</v>
      </c>
      <c r="B54" s="11" t="n">
        <v>2</v>
      </c>
      <c r="C54" s="38" t="n">
        <v>45768</v>
      </c>
      <c r="D54" s="15" t="n">
        <v>357614.31</v>
      </c>
      <c r="E54" s="15" t="n">
        <v>368244.31</v>
      </c>
      <c r="F54" s="15" t="n">
        <v>529632.31</v>
      </c>
      <c r="G54" s="15" t="n">
        <f aca="false">E54-D54</f>
        <v>10630</v>
      </c>
      <c r="H54" s="15" t="n">
        <f aca="false">F54-D54</f>
        <v>172018</v>
      </c>
    </row>
    <row r="55" customFormat="false" ht="15" hidden="false" customHeight="false" outlineLevel="0" collapsed="false">
      <c r="A55" s="38" t="n">
        <v>45758</v>
      </c>
      <c r="B55" s="11" t="n">
        <v>3</v>
      </c>
      <c r="C55" s="38" t="n">
        <v>45775</v>
      </c>
      <c r="D55" s="15" t="n">
        <v>238614.09</v>
      </c>
      <c r="E55" s="15" t="n">
        <v>259672.09</v>
      </c>
      <c r="F55" s="15" t="n">
        <v>477114.09</v>
      </c>
      <c r="G55" s="15" t="n">
        <f aca="false">E55-D55</f>
        <v>21058</v>
      </c>
      <c r="H55" s="15" t="n">
        <f aca="false">F55-D55</f>
        <v>238500</v>
      </c>
    </row>
    <row r="56" customFormat="false" ht="15" hidden="false" customHeight="false" outlineLevel="0" collapsed="false">
      <c r="A56" s="38" t="n">
        <v>45758</v>
      </c>
      <c r="B56" s="11" t="n">
        <v>4</v>
      </c>
      <c r="C56" s="38" t="n">
        <v>45782</v>
      </c>
      <c r="D56" s="15" t="n">
        <v>247095.82</v>
      </c>
      <c r="E56" s="15" t="n">
        <v>294459.82</v>
      </c>
      <c r="F56" s="15" t="n">
        <v>513399.82</v>
      </c>
      <c r="G56" s="15" t="n">
        <f aca="false">E56-D56</f>
        <v>47364</v>
      </c>
      <c r="H56" s="15" t="n">
        <f aca="false">F56-D56</f>
        <v>266304</v>
      </c>
    </row>
    <row r="57" customFormat="false" ht="15" hidden="false" customHeight="false" outlineLevel="0" collapsed="false">
      <c r="A57" s="38" t="n">
        <v>45758</v>
      </c>
      <c r="B57" s="11" t="n">
        <v>5</v>
      </c>
      <c r="C57" s="38" t="n">
        <v>45789</v>
      </c>
      <c r="D57" s="15" t="n">
        <v>199788.7</v>
      </c>
      <c r="E57" s="15" t="n">
        <v>285288.7</v>
      </c>
      <c r="F57" s="15" t="n">
        <v>515732.7</v>
      </c>
      <c r="G57" s="15" t="n">
        <f aca="false">E57-D57</f>
        <v>85500</v>
      </c>
      <c r="H57" s="15" t="n">
        <f aca="false">F57-D57</f>
        <v>315944</v>
      </c>
    </row>
    <row r="58" customFormat="false" ht="15" hidden="false" customHeight="false" outlineLevel="0" collapsed="false">
      <c r="A58" s="38" t="n">
        <v>45758</v>
      </c>
      <c r="B58" s="11" t="n">
        <v>6</v>
      </c>
      <c r="C58" s="38" t="n">
        <v>45796</v>
      </c>
      <c r="D58" s="15" t="n">
        <v>295509.67</v>
      </c>
      <c r="E58" s="15" t="n">
        <v>445647.67</v>
      </c>
      <c r="F58" s="15" t="n">
        <v>608979.67</v>
      </c>
      <c r="G58" s="15" t="n">
        <f aca="false">E58-D58</f>
        <v>150138</v>
      </c>
      <c r="H58" s="15" t="n">
        <f aca="false">F58-D58</f>
        <v>313470</v>
      </c>
    </row>
    <row r="59" customFormat="false" ht="15" hidden="false" customHeight="false" outlineLevel="0" collapsed="false">
      <c r="A59" s="38" t="n">
        <v>45758</v>
      </c>
      <c r="B59" s="11" t="n">
        <v>7</v>
      </c>
      <c r="C59" s="38" t="n">
        <v>45803</v>
      </c>
      <c r="D59" s="15" t="n">
        <v>151538.04</v>
      </c>
      <c r="E59" s="15" t="n">
        <v>254348.04</v>
      </c>
      <c r="F59" s="15" t="n">
        <v>382978.04</v>
      </c>
      <c r="G59" s="15" t="n">
        <f aca="false">E59-D59</f>
        <v>102810</v>
      </c>
      <c r="H59" s="15" t="n">
        <f aca="false">F59-D59</f>
        <v>231440</v>
      </c>
    </row>
    <row r="60" customFormat="false" ht="15" hidden="false" customHeight="false" outlineLevel="0" collapsed="false">
      <c r="A60" s="38" t="n">
        <v>45758</v>
      </c>
      <c r="B60" s="11" t="n">
        <v>8</v>
      </c>
      <c r="C60" s="38" t="n">
        <v>45810</v>
      </c>
      <c r="D60" s="15" t="n">
        <v>238869.46</v>
      </c>
      <c r="E60" s="15" t="n">
        <v>279987.46</v>
      </c>
      <c r="F60" s="15" t="n">
        <v>427239.46</v>
      </c>
      <c r="G60" s="15" t="n">
        <f aca="false">E60-D60</f>
        <v>41118</v>
      </c>
      <c r="H60" s="15" t="n">
        <f aca="false">F60-D60</f>
        <v>188370</v>
      </c>
    </row>
    <row r="61" customFormat="false" ht="15" hidden="false" customHeight="false" outlineLevel="0" collapsed="false">
      <c r="A61" s="38" t="n">
        <v>45758</v>
      </c>
      <c r="B61" s="11" t="n">
        <v>9</v>
      </c>
      <c r="C61" s="38" t="n">
        <v>45817</v>
      </c>
      <c r="D61" s="15" t="n">
        <v>294525.89</v>
      </c>
      <c r="E61" s="15" t="n">
        <v>373033.89</v>
      </c>
      <c r="F61" s="15" t="n">
        <v>540927.89</v>
      </c>
      <c r="G61" s="15" t="n">
        <f aca="false">E61-D61</f>
        <v>78508</v>
      </c>
      <c r="H61" s="15" t="n">
        <f aca="false">F61-D61</f>
        <v>246402</v>
      </c>
    </row>
    <row r="62" customFormat="false" ht="15" hidden="false" customHeight="false" outlineLevel="0" collapsed="false">
      <c r="A62" s="38" t="n">
        <v>45758</v>
      </c>
      <c r="B62" s="11" t="n">
        <v>10</v>
      </c>
      <c r="C62" s="38" t="n">
        <v>45824</v>
      </c>
      <c r="D62" s="15" t="n">
        <v>289454.93</v>
      </c>
      <c r="E62" s="15" t="n">
        <v>294860.93</v>
      </c>
      <c r="F62" s="15" t="n">
        <v>534974.93</v>
      </c>
      <c r="G62" s="15" t="n">
        <f aca="false">E62-D62</f>
        <v>5406</v>
      </c>
      <c r="H62" s="15" t="n">
        <f aca="false">F62-D62</f>
        <v>245520</v>
      </c>
    </row>
    <row r="63" customFormat="false" ht="15" hidden="false" customHeight="false" outlineLevel="0" collapsed="false">
      <c r="A63" s="38" t="n">
        <v>45758</v>
      </c>
      <c r="B63" s="11" t="n">
        <v>11</v>
      </c>
      <c r="C63" s="38" t="n">
        <v>45831</v>
      </c>
      <c r="D63" s="15" t="n">
        <v>240598.9</v>
      </c>
      <c r="E63" s="15" t="n">
        <v>249932.9</v>
      </c>
      <c r="F63" s="15" t="n">
        <v>492488.9</v>
      </c>
      <c r="G63" s="15" t="n">
        <f aca="false">E63-D63</f>
        <v>9334</v>
      </c>
      <c r="H63" s="15" t="n">
        <f aca="false">F63-D63</f>
        <v>251890</v>
      </c>
    </row>
    <row r="64" customFormat="false" ht="15" hidden="false" customHeight="false" outlineLevel="0" collapsed="false">
      <c r="A64" s="38" t="n">
        <v>45758</v>
      </c>
      <c r="B64" s="11" t="n">
        <v>12</v>
      </c>
      <c r="C64" s="38" t="n">
        <v>45838</v>
      </c>
      <c r="D64" s="15" t="n">
        <v>65052.07</v>
      </c>
      <c r="E64" s="15" t="n">
        <v>148176.07</v>
      </c>
      <c r="F64" s="15" t="n">
        <v>348120.07</v>
      </c>
      <c r="G64" s="15" t="n">
        <f aca="false">E64-D64</f>
        <v>83124</v>
      </c>
      <c r="H64" s="15" t="n">
        <f aca="false">F64-D64</f>
        <v>283068</v>
      </c>
    </row>
    <row r="65" customFormat="false" ht="15" hidden="false" customHeight="false" outlineLevel="0" collapsed="false">
      <c r="A65" s="38" t="n">
        <v>45758</v>
      </c>
      <c r="B65" s="11" t="n">
        <v>13</v>
      </c>
      <c r="C65" s="38" t="n">
        <v>45845</v>
      </c>
      <c r="D65" s="15" t="n">
        <v>42487.89</v>
      </c>
      <c r="E65" s="15" t="n">
        <v>135895.89</v>
      </c>
      <c r="F65" s="15" t="n">
        <v>456847.89</v>
      </c>
      <c r="G65" s="15" t="n">
        <f aca="false">E65-D65</f>
        <v>93408</v>
      </c>
      <c r="H65" s="15" t="n">
        <f aca="false">F65-D65</f>
        <v>414360</v>
      </c>
    </row>
    <row r="66" customFormat="false" ht="15" hidden="false" customHeight="false" outlineLevel="0" collapsed="false">
      <c r="A66" s="38" t="n">
        <v>45765</v>
      </c>
      <c r="B66" s="11" t="n">
        <v>1</v>
      </c>
      <c r="C66" s="38" t="n">
        <v>45768</v>
      </c>
      <c r="D66" s="15" t="n">
        <v>357614.31</v>
      </c>
      <c r="E66" s="15" t="n">
        <v>343440.31</v>
      </c>
      <c r="F66" s="15" t="n">
        <v>529632.31</v>
      </c>
      <c r="G66" s="15" t="n">
        <f aca="false">E66-D66</f>
        <v>-14174</v>
      </c>
      <c r="H66" s="15" t="n">
        <f aca="false">F66-D66</f>
        <v>172018</v>
      </c>
    </row>
    <row r="67" customFormat="false" ht="15" hidden="false" customHeight="false" outlineLevel="0" collapsed="false">
      <c r="A67" s="38" t="n">
        <v>45765</v>
      </c>
      <c r="B67" s="11" t="n">
        <v>2</v>
      </c>
      <c r="C67" s="38" t="n">
        <v>45775</v>
      </c>
      <c r="D67" s="15" t="n">
        <v>238614.09</v>
      </c>
      <c r="E67" s="15" t="n">
        <v>250840.09</v>
      </c>
      <c r="F67" s="15" t="n">
        <v>477114.09</v>
      </c>
      <c r="G67" s="15" t="n">
        <f aca="false">E67-D67</f>
        <v>12226</v>
      </c>
      <c r="H67" s="15" t="n">
        <f aca="false">F67-D67</f>
        <v>238500</v>
      </c>
    </row>
    <row r="68" customFormat="false" ht="15" hidden="false" customHeight="false" outlineLevel="0" collapsed="false">
      <c r="A68" s="38" t="n">
        <v>45765</v>
      </c>
      <c r="B68" s="11" t="n">
        <v>3</v>
      </c>
      <c r="C68" s="38" t="n">
        <v>45782</v>
      </c>
      <c r="D68" s="15" t="n">
        <v>247095.82</v>
      </c>
      <c r="E68" s="15" t="n">
        <v>294459.82</v>
      </c>
      <c r="F68" s="15" t="n">
        <v>513399.82</v>
      </c>
      <c r="G68" s="15" t="n">
        <f aca="false">E68-D68</f>
        <v>47364</v>
      </c>
      <c r="H68" s="15" t="n">
        <f aca="false">F68-D68</f>
        <v>266304</v>
      </c>
    </row>
    <row r="69" customFormat="false" ht="15" hidden="false" customHeight="false" outlineLevel="0" collapsed="false">
      <c r="A69" s="38" t="n">
        <v>45765</v>
      </c>
      <c r="B69" s="11" t="n">
        <v>4</v>
      </c>
      <c r="C69" s="38" t="n">
        <v>45789</v>
      </c>
      <c r="D69" s="15" t="n">
        <v>199788.7</v>
      </c>
      <c r="E69" s="15" t="n">
        <v>285288.7</v>
      </c>
      <c r="F69" s="15" t="n">
        <v>515732.7</v>
      </c>
      <c r="G69" s="15" t="n">
        <f aca="false">E69-D69</f>
        <v>85500</v>
      </c>
      <c r="H69" s="15" t="n">
        <f aca="false">F69-D69</f>
        <v>315944</v>
      </c>
    </row>
    <row r="70" customFormat="false" ht="15" hidden="false" customHeight="false" outlineLevel="0" collapsed="false">
      <c r="A70" s="38" t="n">
        <v>45765</v>
      </c>
      <c r="B70" s="11" t="n">
        <v>5</v>
      </c>
      <c r="C70" s="38" t="n">
        <v>45796</v>
      </c>
      <c r="D70" s="15" t="n">
        <v>295509.67</v>
      </c>
      <c r="E70" s="15" t="n">
        <v>441267.67</v>
      </c>
      <c r="F70" s="15" t="n">
        <v>608979.67</v>
      </c>
      <c r="G70" s="15" t="n">
        <f aca="false">E70-D70</f>
        <v>145758</v>
      </c>
      <c r="H70" s="15" t="n">
        <f aca="false">F70-D70</f>
        <v>313470</v>
      </c>
    </row>
    <row r="71" customFormat="false" ht="15" hidden="false" customHeight="false" outlineLevel="0" collapsed="false">
      <c r="A71" s="38" t="n">
        <v>45765</v>
      </c>
      <c r="B71" s="11" t="n">
        <v>6</v>
      </c>
      <c r="C71" s="38" t="n">
        <v>45803</v>
      </c>
      <c r="D71" s="15" t="n">
        <v>151538.04</v>
      </c>
      <c r="E71" s="15" t="n">
        <v>254348.04</v>
      </c>
      <c r="F71" s="15" t="n">
        <v>382978.04</v>
      </c>
      <c r="G71" s="15" t="n">
        <f aca="false">E71-D71</f>
        <v>102810</v>
      </c>
      <c r="H71" s="15" t="n">
        <f aca="false">F71-D71</f>
        <v>231440</v>
      </c>
    </row>
    <row r="72" customFormat="false" ht="15" hidden="false" customHeight="false" outlineLevel="0" collapsed="false">
      <c r="A72" s="38" t="n">
        <v>45765</v>
      </c>
      <c r="B72" s="11" t="n">
        <v>7</v>
      </c>
      <c r="C72" s="38" t="n">
        <v>45810</v>
      </c>
      <c r="D72" s="15" t="n">
        <v>238869.46</v>
      </c>
      <c r="E72" s="15" t="n">
        <v>279987.46</v>
      </c>
      <c r="F72" s="15" t="n">
        <v>427239.46</v>
      </c>
      <c r="G72" s="15" t="n">
        <f aca="false">E72-D72</f>
        <v>41118</v>
      </c>
      <c r="H72" s="15" t="n">
        <f aca="false">F72-D72</f>
        <v>188370</v>
      </c>
    </row>
    <row r="73" customFormat="false" ht="15" hidden="false" customHeight="false" outlineLevel="0" collapsed="false">
      <c r="A73" s="38" t="n">
        <v>45765</v>
      </c>
      <c r="B73" s="11" t="n">
        <v>8</v>
      </c>
      <c r="C73" s="38" t="n">
        <v>45817</v>
      </c>
      <c r="D73" s="15" t="n">
        <v>294525.89</v>
      </c>
      <c r="E73" s="15" t="n">
        <v>373033.89</v>
      </c>
      <c r="F73" s="15" t="n">
        <v>540927.89</v>
      </c>
      <c r="G73" s="15" t="n">
        <f aca="false">E73-D73</f>
        <v>78508</v>
      </c>
      <c r="H73" s="15" t="n">
        <f aca="false">F73-D73</f>
        <v>246402</v>
      </c>
    </row>
    <row r="74" customFormat="false" ht="15" hidden="false" customHeight="false" outlineLevel="0" collapsed="false">
      <c r="A74" s="38" t="n">
        <v>45765</v>
      </c>
      <c r="B74" s="11" t="n">
        <v>9</v>
      </c>
      <c r="C74" s="38" t="n">
        <v>45824</v>
      </c>
      <c r="D74" s="15" t="n">
        <v>289454.93</v>
      </c>
      <c r="E74" s="15" t="n">
        <v>292292.93</v>
      </c>
      <c r="F74" s="15" t="n">
        <v>534974.93</v>
      </c>
      <c r="G74" s="15" t="n">
        <f aca="false">E74-D74</f>
        <v>2838</v>
      </c>
      <c r="H74" s="15" t="n">
        <f aca="false">F74-D74</f>
        <v>245520</v>
      </c>
    </row>
    <row r="75" customFormat="false" ht="15" hidden="false" customHeight="false" outlineLevel="0" collapsed="false">
      <c r="A75" s="38" t="n">
        <v>45765</v>
      </c>
      <c r="B75" s="11" t="n">
        <v>10</v>
      </c>
      <c r="C75" s="38" t="n">
        <v>45831</v>
      </c>
      <c r="D75" s="15" t="n">
        <v>240598.9</v>
      </c>
      <c r="E75" s="15" t="n">
        <v>249932.9</v>
      </c>
      <c r="F75" s="15" t="n">
        <v>492488.9</v>
      </c>
      <c r="G75" s="15" t="n">
        <f aca="false">E75-D75</f>
        <v>9334</v>
      </c>
      <c r="H75" s="15" t="n">
        <f aca="false">F75-D75</f>
        <v>251890</v>
      </c>
    </row>
    <row r="76" customFormat="false" ht="15" hidden="false" customHeight="false" outlineLevel="0" collapsed="false">
      <c r="A76" s="38" t="n">
        <v>45765</v>
      </c>
      <c r="B76" s="11" t="n">
        <v>11</v>
      </c>
      <c r="C76" s="38" t="n">
        <v>45838</v>
      </c>
      <c r="D76" s="15" t="n">
        <v>65052.07</v>
      </c>
      <c r="E76" s="15" t="n">
        <v>148176.07</v>
      </c>
      <c r="F76" s="15" t="n">
        <v>348120.07</v>
      </c>
      <c r="G76" s="15" t="n">
        <f aca="false">E76-D76</f>
        <v>83124</v>
      </c>
      <c r="H76" s="15" t="n">
        <f aca="false">F76-D76</f>
        <v>283068</v>
      </c>
    </row>
    <row r="77" customFormat="false" ht="15" hidden="false" customHeight="false" outlineLevel="0" collapsed="false">
      <c r="A77" s="38" t="n">
        <v>45765</v>
      </c>
      <c r="B77" s="11" t="n">
        <v>12</v>
      </c>
      <c r="C77" s="38" t="n">
        <v>45845</v>
      </c>
      <c r="D77" s="15" t="n">
        <v>42487.89</v>
      </c>
      <c r="E77" s="15" t="n">
        <v>135895.89</v>
      </c>
      <c r="F77" s="15" t="n">
        <v>456847.89</v>
      </c>
      <c r="G77" s="15" t="n">
        <f aca="false">E77-D77</f>
        <v>93408</v>
      </c>
      <c r="H77" s="15" t="n">
        <f aca="false">F77-D77</f>
        <v>414360</v>
      </c>
    </row>
    <row r="78" customFormat="false" ht="15" hidden="false" customHeight="false" outlineLevel="0" collapsed="false">
      <c r="A78" s="38" t="n">
        <v>45765</v>
      </c>
      <c r="B78" s="11" t="n">
        <v>13</v>
      </c>
      <c r="C78" s="38" t="n">
        <v>45852</v>
      </c>
      <c r="D78" s="15" t="n">
        <v>75293.83</v>
      </c>
      <c r="E78" s="15" t="n">
        <v>286553.83</v>
      </c>
      <c r="F78" s="15" t="n">
        <v>440189.83</v>
      </c>
      <c r="G78" s="15" t="n">
        <f aca="false">E78-D78</f>
        <v>211260</v>
      </c>
      <c r="H78" s="15" t="n">
        <f aca="false">F78-D78</f>
        <v>364896</v>
      </c>
    </row>
    <row r="79" customFormat="false" ht="15" hidden="false" customHeight="false" outlineLevel="0" collapsed="false">
      <c r="A79" s="38" t="n">
        <v>45772</v>
      </c>
      <c r="B79" s="11" t="n">
        <v>1</v>
      </c>
      <c r="C79" s="38" t="n">
        <v>45775</v>
      </c>
      <c r="D79" s="15" t="n">
        <v>238614.09</v>
      </c>
      <c r="E79" s="15" t="n">
        <v>223374.09</v>
      </c>
      <c r="F79" s="15" t="n">
        <v>477114.09</v>
      </c>
      <c r="G79" s="15" t="n">
        <f aca="false">E79-D79</f>
        <v>-15240</v>
      </c>
      <c r="H79" s="15" t="n">
        <f aca="false">F79-D79</f>
        <v>238500</v>
      </c>
    </row>
    <row r="80" customFormat="false" ht="15" hidden="false" customHeight="false" outlineLevel="0" collapsed="false">
      <c r="A80" s="38" t="n">
        <v>45772</v>
      </c>
      <c r="B80" s="11" t="n">
        <v>2</v>
      </c>
      <c r="C80" s="38" t="n">
        <v>45782</v>
      </c>
      <c r="D80" s="15" t="n">
        <v>247095.82</v>
      </c>
      <c r="E80" s="15" t="n">
        <v>294459.82</v>
      </c>
      <c r="F80" s="15" t="n">
        <v>513399.82</v>
      </c>
      <c r="G80" s="15" t="n">
        <f aca="false">E80-D80</f>
        <v>47364</v>
      </c>
      <c r="H80" s="15" t="n">
        <f aca="false">F80-D80</f>
        <v>266304</v>
      </c>
    </row>
    <row r="81" customFormat="false" ht="15" hidden="false" customHeight="false" outlineLevel="0" collapsed="false">
      <c r="A81" s="38" t="n">
        <v>45772</v>
      </c>
      <c r="B81" s="11" t="n">
        <v>3</v>
      </c>
      <c r="C81" s="38" t="n">
        <v>45789</v>
      </c>
      <c r="D81" s="15" t="n">
        <v>199788.7</v>
      </c>
      <c r="E81" s="15" t="n">
        <v>285288.7</v>
      </c>
      <c r="F81" s="15" t="n">
        <v>515732.7</v>
      </c>
      <c r="G81" s="15" t="n">
        <f aca="false">E81-D81</f>
        <v>85500</v>
      </c>
      <c r="H81" s="15" t="n">
        <f aca="false">F81-D81</f>
        <v>315944</v>
      </c>
    </row>
    <row r="82" customFormat="false" ht="15" hidden="false" customHeight="false" outlineLevel="0" collapsed="false">
      <c r="A82" s="38" t="n">
        <v>45772</v>
      </c>
      <c r="B82" s="11" t="n">
        <v>4</v>
      </c>
      <c r="C82" s="38" t="n">
        <v>45796</v>
      </c>
      <c r="D82" s="15" t="n">
        <v>295509.67</v>
      </c>
      <c r="E82" s="15" t="n">
        <v>441267.67</v>
      </c>
      <c r="F82" s="15" t="n">
        <v>608979.67</v>
      </c>
      <c r="G82" s="15" t="n">
        <f aca="false">E82-D82</f>
        <v>145758</v>
      </c>
      <c r="H82" s="15" t="n">
        <f aca="false">F82-D82</f>
        <v>313470</v>
      </c>
    </row>
    <row r="83" customFormat="false" ht="15" hidden="false" customHeight="false" outlineLevel="0" collapsed="false">
      <c r="A83" s="38" t="n">
        <v>45772</v>
      </c>
      <c r="B83" s="11" t="n">
        <v>5</v>
      </c>
      <c r="C83" s="38" t="n">
        <v>45803</v>
      </c>
      <c r="D83" s="15" t="n">
        <v>151538.04</v>
      </c>
      <c r="E83" s="15" t="n">
        <v>254348.04</v>
      </c>
      <c r="F83" s="15" t="n">
        <v>382978.04</v>
      </c>
      <c r="G83" s="15" t="n">
        <f aca="false">E83-D83</f>
        <v>102810</v>
      </c>
      <c r="H83" s="15" t="n">
        <f aca="false">F83-D83</f>
        <v>231440</v>
      </c>
    </row>
    <row r="84" customFormat="false" ht="15" hidden="false" customHeight="false" outlineLevel="0" collapsed="false">
      <c r="A84" s="38" t="n">
        <v>45772</v>
      </c>
      <c r="B84" s="11" t="n">
        <v>6</v>
      </c>
      <c r="C84" s="38" t="n">
        <v>45810</v>
      </c>
      <c r="D84" s="15" t="n">
        <v>238869.46</v>
      </c>
      <c r="E84" s="15" t="n">
        <v>279987.46</v>
      </c>
      <c r="F84" s="15" t="n">
        <v>427239.46</v>
      </c>
      <c r="G84" s="15" t="n">
        <f aca="false">E84-D84</f>
        <v>41118</v>
      </c>
      <c r="H84" s="15" t="n">
        <f aca="false">F84-D84</f>
        <v>188370</v>
      </c>
    </row>
    <row r="85" customFormat="false" ht="15" hidden="false" customHeight="false" outlineLevel="0" collapsed="false">
      <c r="A85" s="38" t="n">
        <v>45772</v>
      </c>
      <c r="B85" s="11" t="n">
        <v>7</v>
      </c>
      <c r="C85" s="38" t="n">
        <v>45817</v>
      </c>
      <c r="D85" s="15" t="n">
        <v>294525.89</v>
      </c>
      <c r="E85" s="15" t="n">
        <v>373033.89</v>
      </c>
      <c r="F85" s="15" t="n">
        <v>540927.89</v>
      </c>
      <c r="G85" s="15" t="n">
        <f aca="false">E85-D85</f>
        <v>78508</v>
      </c>
      <c r="H85" s="15" t="n">
        <f aca="false">F85-D85</f>
        <v>246402</v>
      </c>
    </row>
    <row r="86" customFormat="false" ht="15" hidden="false" customHeight="false" outlineLevel="0" collapsed="false">
      <c r="A86" s="38" t="n">
        <v>45772</v>
      </c>
      <c r="B86" s="11" t="n">
        <v>8</v>
      </c>
      <c r="C86" s="38" t="n">
        <v>45824</v>
      </c>
      <c r="D86" s="15" t="n">
        <v>289454.93</v>
      </c>
      <c r="E86" s="15" t="n">
        <v>292292.93</v>
      </c>
      <c r="F86" s="15" t="n">
        <v>534974.93</v>
      </c>
      <c r="G86" s="15" t="n">
        <f aca="false">E86-D86</f>
        <v>2838</v>
      </c>
      <c r="H86" s="15" t="n">
        <f aca="false">F86-D86</f>
        <v>245520</v>
      </c>
    </row>
    <row r="87" customFormat="false" ht="15" hidden="false" customHeight="false" outlineLevel="0" collapsed="false">
      <c r="A87" s="38" t="n">
        <v>45772</v>
      </c>
      <c r="B87" s="11" t="n">
        <v>9</v>
      </c>
      <c r="C87" s="38" t="n">
        <v>45831</v>
      </c>
      <c r="D87" s="15" t="n">
        <v>240598.9</v>
      </c>
      <c r="E87" s="15" t="n">
        <v>249932.9</v>
      </c>
      <c r="F87" s="15" t="n">
        <v>492488.9</v>
      </c>
      <c r="G87" s="15" t="n">
        <f aca="false">E87-D87</f>
        <v>9334</v>
      </c>
      <c r="H87" s="15" t="n">
        <f aca="false">F87-D87</f>
        <v>251890</v>
      </c>
    </row>
    <row r="88" customFormat="false" ht="15" hidden="false" customHeight="false" outlineLevel="0" collapsed="false">
      <c r="A88" s="38" t="n">
        <v>45772</v>
      </c>
      <c r="B88" s="11" t="n">
        <v>10</v>
      </c>
      <c r="C88" s="38" t="n">
        <v>45838</v>
      </c>
      <c r="D88" s="15" t="n">
        <v>65052.07</v>
      </c>
      <c r="E88" s="15" t="n">
        <v>148176.07</v>
      </c>
      <c r="F88" s="15" t="n">
        <v>348120.07</v>
      </c>
      <c r="G88" s="15" t="n">
        <f aca="false">E88-D88</f>
        <v>83124</v>
      </c>
      <c r="H88" s="15" t="n">
        <f aca="false">F88-D88</f>
        <v>283068</v>
      </c>
    </row>
    <row r="89" customFormat="false" ht="15" hidden="false" customHeight="false" outlineLevel="0" collapsed="false">
      <c r="A89" s="38" t="n">
        <v>45772</v>
      </c>
      <c r="B89" s="11" t="n">
        <v>11</v>
      </c>
      <c r="C89" s="38" t="n">
        <v>45845</v>
      </c>
      <c r="D89" s="15" t="n">
        <v>42487.89</v>
      </c>
      <c r="E89" s="15" t="n">
        <v>135895.89</v>
      </c>
      <c r="F89" s="15" t="n">
        <v>456847.89</v>
      </c>
      <c r="G89" s="15" t="n">
        <f aca="false">E89-D89</f>
        <v>93408</v>
      </c>
      <c r="H89" s="15" t="n">
        <f aca="false">F89-D89</f>
        <v>414360</v>
      </c>
    </row>
    <row r="90" customFormat="false" ht="15" hidden="false" customHeight="false" outlineLevel="0" collapsed="false">
      <c r="A90" s="38" t="n">
        <v>45772</v>
      </c>
      <c r="B90" s="11" t="n">
        <v>12</v>
      </c>
      <c r="C90" s="38" t="n">
        <v>45852</v>
      </c>
      <c r="D90" s="15" t="n">
        <v>75293.83</v>
      </c>
      <c r="E90" s="15" t="n">
        <v>286553.83</v>
      </c>
      <c r="F90" s="15" t="n">
        <v>440189.83</v>
      </c>
      <c r="G90" s="15" t="n">
        <f aca="false">E90-D90</f>
        <v>211260</v>
      </c>
      <c r="H90" s="15" t="n">
        <f aca="false">F90-D90</f>
        <v>364896</v>
      </c>
    </row>
    <row r="91" customFormat="false" ht="15" hidden="false" customHeight="false" outlineLevel="0" collapsed="false">
      <c r="A91" s="38" t="n">
        <v>45772</v>
      </c>
      <c r="B91" s="11" t="n">
        <v>13</v>
      </c>
      <c r="C91" s="38" t="n">
        <v>45859</v>
      </c>
      <c r="D91" s="15" t="n">
        <v>82704.02</v>
      </c>
      <c r="E91" s="15" t="n">
        <v>327420.02</v>
      </c>
      <c r="F91" s="15" t="n">
        <v>555444.02</v>
      </c>
      <c r="G91" s="15" t="n">
        <f aca="false">E91-D91</f>
        <v>244716</v>
      </c>
      <c r="H91" s="15" t="n">
        <f aca="false">F91-D91</f>
        <v>472740</v>
      </c>
    </row>
    <row r="92" customFormat="false" ht="15" hidden="false" customHeight="false" outlineLevel="0" collapsed="false">
      <c r="A92" s="38" t="n">
        <v>45779</v>
      </c>
      <c r="B92" s="11" t="n">
        <v>1</v>
      </c>
      <c r="C92" s="38" t="n">
        <v>45782</v>
      </c>
      <c r="D92" s="15" t="n">
        <v>247095.82</v>
      </c>
      <c r="E92" s="15" t="n">
        <v>296463.82</v>
      </c>
      <c r="F92" s="15" t="n">
        <v>513399.82</v>
      </c>
      <c r="G92" s="15" t="n">
        <f aca="false">E92-D92</f>
        <v>49368</v>
      </c>
      <c r="H92" s="15" t="n">
        <f aca="false">F92-D92</f>
        <v>266304</v>
      </c>
    </row>
    <row r="93" customFormat="false" ht="15" hidden="false" customHeight="false" outlineLevel="0" collapsed="false">
      <c r="A93" s="38" t="n">
        <v>45779</v>
      </c>
      <c r="B93" s="11" t="n">
        <v>2</v>
      </c>
      <c r="C93" s="38" t="n">
        <v>45789</v>
      </c>
      <c r="D93" s="15" t="n">
        <v>199788.7</v>
      </c>
      <c r="E93" s="15" t="n">
        <v>256968.7</v>
      </c>
      <c r="F93" s="15" t="n">
        <v>515732.7</v>
      </c>
      <c r="G93" s="15" t="n">
        <f aca="false">E93-D93</f>
        <v>57180</v>
      </c>
      <c r="H93" s="15" t="n">
        <f aca="false">F93-D93</f>
        <v>315944</v>
      </c>
    </row>
    <row r="94" customFormat="false" ht="15" hidden="false" customHeight="false" outlineLevel="0" collapsed="false">
      <c r="A94" s="38" t="n">
        <v>45779</v>
      </c>
      <c r="B94" s="11" t="n">
        <v>3</v>
      </c>
      <c r="C94" s="38" t="n">
        <v>45796</v>
      </c>
      <c r="D94" s="15" t="n">
        <v>295509.67</v>
      </c>
      <c r="E94" s="15" t="n">
        <v>441267.67</v>
      </c>
      <c r="F94" s="15" t="n">
        <v>608979.67</v>
      </c>
      <c r="G94" s="15" t="n">
        <f aca="false">E94-D94</f>
        <v>145758</v>
      </c>
      <c r="H94" s="15" t="n">
        <f aca="false">F94-D94</f>
        <v>313470</v>
      </c>
    </row>
    <row r="95" customFormat="false" ht="15" hidden="false" customHeight="false" outlineLevel="0" collapsed="false">
      <c r="A95" s="38" t="n">
        <v>45779</v>
      </c>
      <c r="B95" s="11" t="n">
        <v>4</v>
      </c>
      <c r="C95" s="38" t="n">
        <v>45803</v>
      </c>
      <c r="D95" s="15" t="n">
        <v>151538.04</v>
      </c>
      <c r="E95" s="15" t="n">
        <v>254348.04</v>
      </c>
      <c r="F95" s="15" t="n">
        <v>382978.04</v>
      </c>
      <c r="G95" s="15" t="n">
        <f aca="false">E95-D95</f>
        <v>102810</v>
      </c>
      <c r="H95" s="15" t="n">
        <f aca="false">F95-D95</f>
        <v>231440</v>
      </c>
    </row>
    <row r="96" customFormat="false" ht="15" hidden="false" customHeight="false" outlineLevel="0" collapsed="false">
      <c r="A96" s="38" t="n">
        <v>45779</v>
      </c>
      <c r="B96" s="11" t="n">
        <v>5</v>
      </c>
      <c r="C96" s="38" t="n">
        <v>45810</v>
      </c>
      <c r="D96" s="15" t="n">
        <v>238869.46</v>
      </c>
      <c r="E96" s="15" t="n">
        <v>279987.46</v>
      </c>
      <c r="F96" s="15" t="n">
        <v>427239.46</v>
      </c>
      <c r="G96" s="15" t="n">
        <f aca="false">E96-D96</f>
        <v>41118</v>
      </c>
      <c r="H96" s="15" t="n">
        <f aca="false">F96-D96</f>
        <v>188370</v>
      </c>
    </row>
    <row r="97" customFormat="false" ht="15" hidden="false" customHeight="false" outlineLevel="0" collapsed="false">
      <c r="A97" s="38" t="n">
        <v>45779</v>
      </c>
      <c r="B97" s="11" t="n">
        <v>6</v>
      </c>
      <c r="C97" s="38" t="n">
        <v>45817</v>
      </c>
      <c r="D97" s="15" t="n">
        <v>294525.89</v>
      </c>
      <c r="E97" s="15" t="n">
        <v>373033.89</v>
      </c>
      <c r="F97" s="15" t="n">
        <v>540927.89</v>
      </c>
      <c r="G97" s="15" t="n">
        <f aca="false">E97-D97</f>
        <v>78508</v>
      </c>
      <c r="H97" s="15" t="n">
        <f aca="false">F97-D97</f>
        <v>246402</v>
      </c>
    </row>
    <row r="98" customFormat="false" ht="15" hidden="false" customHeight="false" outlineLevel="0" collapsed="false">
      <c r="A98" s="38" t="n">
        <v>45779</v>
      </c>
      <c r="B98" s="11" t="n">
        <v>7</v>
      </c>
      <c r="C98" s="38" t="n">
        <v>45824</v>
      </c>
      <c r="D98" s="15" t="n">
        <v>289454.93</v>
      </c>
      <c r="E98" s="15" t="n">
        <v>292292.93</v>
      </c>
      <c r="F98" s="15" t="n">
        <v>534974.93</v>
      </c>
      <c r="G98" s="15" t="n">
        <f aca="false">E98-D98</f>
        <v>2838</v>
      </c>
      <c r="H98" s="15" t="n">
        <f aca="false">F98-D98</f>
        <v>245520</v>
      </c>
    </row>
    <row r="99" customFormat="false" ht="15" hidden="false" customHeight="false" outlineLevel="0" collapsed="false">
      <c r="A99" s="38" t="n">
        <v>45779</v>
      </c>
      <c r="B99" s="11" t="n">
        <v>8</v>
      </c>
      <c r="C99" s="38" t="n">
        <v>45831</v>
      </c>
      <c r="D99" s="15" t="n">
        <v>240598.9</v>
      </c>
      <c r="E99" s="15" t="n">
        <v>235628.9</v>
      </c>
      <c r="F99" s="15" t="n">
        <v>492488.9</v>
      </c>
      <c r="G99" s="15" t="n">
        <f aca="false">E99-D99</f>
        <v>-4970</v>
      </c>
      <c r="H99" s="15" t="n">
        <f aca="false">F99-D99</f>
        <v>251890</v>
      </c>
    </row>
    <row r="100" customFormat="false" ht="15" hidden="false" customHeight="false" outlineLevel="0" collapsed="false">
      <c r="A100" s="38" t="n">
        <v>45779</v>
      </c>
      <c r="B100" s="11" t="n">
        <v>9</v>
      </c>
      <c r="C100" s="38" t="n">
        <v>45838</v>
      </c>
      <c r="D100" s="15" t="n">
        <v>65052.07</v>
      </c>
      <c r="E100" s="15" t="n">
        <v>134160.07</v>
      </c>
      <c r="F100" s="15" t="n">
        <v>348120.07</v>
      </c>
      <c r="G100" s="15" t="n">
        <f aca="false">E100-D100</f>
        <v>69108</v>
      </c>
      <c r="H100" s="15" t="n">
        <f aca="false">F100-D100</f>
        <v>283068</v>
      </c>
    </row>
    <row r="101" customFormat="false" ht="15" hidden="false" customHeight="false" outlineLevel="0" collapsed="false">
      <c r="A101" s="38" t="n">
        <v>45779</v>
      </c>
      <c r="B101" s="11" t="n">
        <v>10</v>
      </c>
      <c r="C101" s="38" t="n">
        <v>45845</v>
      </c>
      <c r="D101" s="15" t="n">
        <v>42487.89</v>
      </c>
      <c r="E101" s="15" t="n">
        <v>135895.89</v>
      </c>
      <c r="F101" s="15" t="n">
        <v>456847.89</v>
      </c>
      <c r="G101" s="15" t="n">
        <f aca="false">E101-D101</f>
        <v>93408</v>
      </c>
      <c r="H101" s="15" t="n">
        <f aca="false">F101-D101</f>
        <v>414360</v>
      </c>
    </row>
    <row r="102" customFormat="false" ht="15" hidden="false" customHeight="false" outlineLevel="0" collapsed="false">
      <c r="A102" s="38" t="n">
        <v>45779</v>
      </c>
      <c r="B102" s="11" t="n">
        <v>11</v>
      </c>
      <c r="C102" s="38" t="n">
        <v>45852</v>
      </c>
      <c r="D102" s="15" t="n">
        <v>75293.83</v>
      </c>
      <c r="E102" s="15" t="n">
        <v>272465.83</v>
      </c>
      <c r="F102" s="15" t="n">
        <v>440189.83</v>
      </c>
      <c r="G102" s="15" t="n">
        <f aca="false">E102-D102</f>
        <v>197172</v>
      </c>
      <c r="H102" s="15" t="n">
        <f aca="false">F102-D102</f>
        <v>364896</v>
      </c>
    </row>
    <row r="103" customFormat="false" ht="15" hidden="false" customHeight="false" outlineLevel="0" collapsed="false">
      <c r="A103" s="38" t="n">
        <v>45779</v>
      </c>
      <c r="B103" s="11" t="n">
        <v>12</v>
      </c>
      <c r="C103" s="38" t="n">
        <v>45859</v>
      </c>
      <c r="D103" s="15" t="n">
        <v>82704.02</v>
      </c>
      <c r="E103" s="15" t="n">
        <v>327420.02</v>
      </c>
      <c r="F103" s="15" t="n">
        <v>555444.02</v>
      </c>
      <c r="G103" s="15" t="n">
        <f aca="false">E103-D103</f>
        <v>244716</v>
      </c>
      <c r="H103" s="15" t="n">
        <f aca="false">F103-D103</f>
        <v>472740</v>
      </c>
    </row>
    <row r="104" customFormat="false" ht="15" hidden="false" customHeight="false" outlineLevel="0" collapsed="false">
      <c r="A104" s="38" t="n">
        <v>45779</v>
      </c>
      <c r="B104" s="11" t="n">
        <v>13</v>
      </c>
      <c r="C104" s="38" t="n">
        <v>45866</v>
      </c>
      <c r="D104" s="15" t="n">
        <v>-38211</v>
      </c>
      <c r="E104" s="15" t="n">
        <v>197997</v>
      </c>
      <c r="F104" s="15" t="n">
        <v>435873</v>
      </c>
      <c r="G104" s="15" t="n">
        <f aca="false">E104-D104</f>
        <v>236208</v>
      </c>
      <c r="H104" s="15" t="n">
        <f aca="false">F104-D104</f>
        <v>474084</v>
      </c>
    </row>
    <row r="105" customFormat="false" ht="15" hidden="false" customHeight="false" outlineLevel="0" collapsed="false">
      <c r="A105" s="38" t="n">
        <v>45786</v>
      </c>
      <c r="B105" s="11" t="n">
        <v>1</v>
      </c>
      <c r="C105" s="38" t="n">
        <v>45789</v>
      </c>
      <c r="D105" s="15" t="n">
        <v>199788.7</v>
      </c>
      <c r="E105" s="15" t="n">
        <v>215052.7</v>
      </c>
      <c r="F105" s="15" t="n">
        <v>515732.7</v>
      </c>
      <c r="G105" s="15" t="n">
        <f aca="false">E105-D105</f>
        <v>15264</v>
      </c>
      <c r="H105" s="15" t="n">
        <f aca="false">F105-D105</f>
        <v>315944</v>
      </c>
    </row>
    <row r="106" customFormat="false" ht="15" hidden="false" customHeight="false" outlineLevel="0" collapsed="false">
      <c r="A106" s="38" t="n">
        <v>45786</v>
      </c>
      <c r="B106" s="11" t="n">
        <v>2</v>
      </c>
      <c r="C106" s="38" t="n">
        <v>45796</v>
      </c>
      <c r="D106" s="15" t="n">
        <v>295509.67</v>
      </c>
      <c r="E106" s="15" t="n">
        <v>410871.67</v>
      </c>
      <c r="F106" s="15" t="n">
        <v>608979.67</v>
      </c>
      <c r="G106" s="15" t="n">
        <f aca="false">E106-D106</f>
        <v>115362</v>
      </c>
      <c r="H106" s="15" t="n">
        <f aca="false">F106-D106</f>
        <v>313470</v>
      </c>
    </row>
    <row r="107" customFormat="false" ht="15" hidden="false" customHeight="false" outlineLevel="0" collapsed="false">
      <c r="A107" s="38" t="n">
        <v>45786</v>
      </c>
      <c r="B107" s="11" t="n">
        <v>3</v>
      </c>
      <c r="C107" s="38" t="n">
        <v>45803</v>
      </c>
      <c r="D107" s="15" t="n">
        <v>151538.04</v>
      </c>
      <c r="E107" s="15" t="n">
        <v>254348.04</v>
      </c>
      <c r="F107" s="15" t="n">
        <v>382978.04</v>
      </c>
      <c r="G107" s="15" t="n">
        <f aca="false">E107-D107</f>
        <v>102810</v>
      </c>
      <c r="H107" s="15" t="n">
        <f aca="false">F107-D107</f>
        <v>231440</v>
      </c>
    </row>
    <row r="108" customFormat="false" ht="15" hidden="false" customHeight="false" outlineLevel="0" collapsed="false">
      <c r="A108" s="38" t="n">
        <v>45786</v>
      </c>
      <c r="B108" s="11" t="n">
        <v>4</v>
      </c>
      <c r="C108" s="38" t="n">
        <v>45810</v>
      </c>
      <c r="D108" s="15" t="n">
        <v>238869.46</v>
      </c>
      <c r="E108" s="15" t="n">
        <v>279987.46</v>
      </c>
      <c r="F108" s="15" t="n">
        <v>427239.46</v>
      </c>
      <c r="G108" s="15" t="n">
        <f aca="false">E108-D108</f>
        <v>41118</v>
      </c>
      <c r="H108" s="15" t="n">
        <f aca="false">F108-D108</f>
        <v>188370</v>
      </c>
    </row>
    <row r="109" customFormat="false" ht="15" hidden="false" customHeight="false" outlineLevel="0" collapsed="false">
      <c r="A109" s="38" t="n">
        <v>45786</v>
      </c>
      <c r="B109" s="11" t="n">
        <v>5</v>
      </c>
      <c r="C109" s="38" t="n">
        <v>45817</v>
      </c>
      <c r="D109" s="15" t="n">
        <v>294525.89</v>
      </c>
      <c r="E109" s="15" t="n">
        <v>357205.89</v>
      </c>
      <c r="F109" s="15" t="n">
        <v>540927.89</v>
      </c>
      <c r="G109" s="15" t="n">
        <f aca="false">E109-D109</f>
        <v>62680</v>
      </c>
      <c r="H109" s="15" t="n">
        <f aca="false">F109-D109</f>
        <v>246402</v>
      </c>
    </row>
    <row r="110" customFormat="false" ht="15" hidden="false" customHeight="false" outlineLevel="0" collapsed="false">
      <c r="A110" s="38" t="n">
        <v>45786</v>
      </c>
      <c r="B110" s="11" t="n">
        <v>6</v>
      </c>
      <c r="C110" s="38" t="n">
        <v>45824</v>
      </c>
      <c r="D110" s="15" t="n">
        <v>289454.93</v>
      </c>
      <c r="E110" s="15" t="n">
        <v>292292.93</v>
      </c>
      <c r="F110" s="15" t="n">
        <v>534974.93</v>
      </c>
      <c r="G110" s="15" t="n">
        <f aca="false">E110-D110</f>
        <v>2838</v>
      </c>
      <c r="H110" s="15" t="n">
        <f aca="false">F110-D110</f>
        <v>245520</v>
      </c>
    </row>
    <row r="111" customFormat="false" ht="15" hidden="false" customHeight="false" outlineLevel="0" collapsed="false">
      <c r="A111" s="38" t="n">
        <v>45786</v>
      </c>
      <c r="B111" s="11" t="n">
        <v>7</v>
      </c>
      <c r="C111" s="38" t="n">
        <v>45831</v>
      </c>
      <c r="D111" s="15" t="n">
        <v>240598.9</v>
      </c>
      <c r="E111" s="15" t="n">
        <v>235628.9</v>
      </c>
      <c r="F111" s="15" t="n">
        <v>492488.9</v>
      </c>
      <c r="G111" s="15" t="n">
        <f aca="false">E111-D111</f>
        <v>-4970</v>
      </c>
      <c r="H111" s="15" t="n">
        <f aca="false">F111-D111</f>
        <v>251890</v>
      </c>
    </row>
    <row r="112" customFormat="false" ht="15" hidden="false" customHeight="false" outlineLevel="0" collapsed="false">
      <c r="A112" s="38" t="n">
        <v>45786</v>
      </c>
      <c r="B112" s="11" t="n">
        <v>8</v>
      </c>
      <c r="C112" s="38" t="n">
        <v>45838</v>
      </c>
      <c r="D112" s="15" t="n">
        <v>65052.07</v>
      </c>
      <c r="E112" s="15" t="n">
        <v>134160.07</v>
      </c>
      <c r="F112" s="15" t="n">
        <v>348120.07</v>
      </c>
      <c r="G112" s="15" t="n">
        <f aca="false">E112-D112</f>
        <v>69108</v>
      </c>
      <c r="H112" s="15" t="n">
        <f aca="false">F112-D112</f>
        <v>283068</v>
      </c>
    </row>
    <row r="113" customFormat="false" ht="15" hidden="false" customHeight="false" outlineLevel="0" collapsed="false">
      <c r="A113" s="38" t="n">
        <v>45786</v>
      </c>
      <c r="B113" s="11" t="n">
        <v>9</v>
      </c>
      <c r="C113" s="38" t="n">
        <v>45845</v>
      </c>
      <c r="D113" s="15" t="n">
        <v>42487.89</v>
      </c>
      <c r="E113" s="15" t="n">
        <v>108115.89</v>
      </c>
      <c r="F113" s="15" t="n">
        <v>456847.89</v>
      </c>
      <c r="G113" s="15" t="n">
        <f aca="false">E113-D113</f>
        <v>65628</v>
      </c>
      <c r="H113" s="15" t="n">
        <f aca="false">F113-D113</f>
        <v>414360</v>
      </c>
    </row>
    <row r="114" customFormat="false" ht="15" hidden="false" customHeight="false" outlineLevel="0" collapsed="false">
      <c r="A114" s="38" t="n">
        <v>45786</v>
      </c>
      <c r="B114" s="11" t="n">
        <v>10</v>
      </c>
      <c r="C114" s="38" t="n">
        <v>45852</v>
      </c>
      <c r="D114" s="15" t="n">
        <v>75293.83</v>
      </c>
      <c r="E114" s="15" t="n">
        <v>272465.83</v>
      </c>
      <c r="F114" s="15" t="n">
        <v>440189.83</v>
      </c>
      <c r="G114" s="15" t="n">
        <f aca="false">E114-D114</f>
        <v>197172</v>
      </c>
      <c r="H114" s="15" t="n">
        <f aca="false">F114-D114</f>
        <v>364896</v>
      </c>
    </row>
    <row r="115" customFormat="false" ht="15" hidden="false" customHeight="false" outlineLevel="0" collapsed="false">
      <c r="A115" s="38" t="n">
        <v>45786</v>
      </c>
      <c r="B115" s="11" t="n">
        <v>11</v>
      </c>
      <c r="C115" s="38" t="n">
        <v>45859</v>
      </c>
      <c r="D115" s="15" t="n">
        <v>82704.02</v>
      </c>
      <c r="E115" s="15" t="n">
        <v>327420.02</v>
      </c>
      <c r="F115" s="15" t="n">
        <v>555444.02</v>
      </c>
      <c r="G115" s="15" t="n">
        <f aca="false">E115-D115</f>
        <v>244716</v>
      </c>
      <c r="H115" s="15" t="n">
        <f aca="false">F115-D115</f>
        <v>472740</v>
      </c>
    </row>
    <row r="116" customFormat="false" ht="15" hidden="false" customHeight="false" outlineLevel="0" collapsed="false">
      <c r="A116" s="38" t="n">
        <v>45786</v>
      </c>
      <c r="B116" s="11" t="n">
        <v>12</v>
      </c>
      <c r="C116" s="38" t="n">
        <v>45866</v>
      </c>
      <c r="D116" s="15" t="n">
        <v>-38211</v>
      </c>
      <c r="E116" s="15" t="n">
        <v>197997</v>
      </c>
      <c r="F116" s="15" t="n">
        <v>435873</v>
      </c>
      <c r="G116" s="15" t="n">
        <f aca="false">E116-D116</f>
        <v>236208</v>
      </c>
      <c r="H116" s="15" t="n">
        <f aca="false">F116-D116</f>
        <v>474084</v>
      </c>
    </row>
    <row r="117" customFormat="false" ht="15" hidden="false" customHeight="false" outlineLevel="0" collapsed="false">
      <c r="A117" s="38" t="n">
        <v>45786</v>
      </c>
      <c r="B117" s="11" t="n">
        <v>13</v>
      </c>
      <c r="C117" s="38" t="n">
        <v>45873</v>
      </c>
      <c r="D117" s="15" t="n">
        <v>101592.15</v>
      </c>
      <c r="E117" s="15" t="n">
        <v>297540.15</v>
      </c>
      <c r="F117" s="15" t="n">
        <v>627036.15</v>
      </c>
      <c r="G117" s="15" t="n">
        <f aca="false">E117-D117</f>
        <v>195948</v>
      </c>
      <c r="H117" s="15" t="n">
        <f aca="false">F117-D117</f>
        <v>525444</v>
      </c>
    </row>
    <row r="118" customFormat="false" ht="15" hidden="false" customHeight="false" outlineLevel="0" collapsed="false">
      <c r="A118" s="38" t="n">
        <v>45793</v>
      </c>
      <c r="B118" s="11" t="n">
        <v>1</v>
      </c>
      <c r="C118" s="38" t="n">
        <v>45796</v>
      </c>
      <c r="D118" s="15" t="n">
        <v>295509.67</v>
      </c>
      <c r="E118" s="15" t="n">
        <v>315351.67</v>
      </c>
      <c r="F118" s="15" t="n">
        <v>608979.67</v>
      </c>
      <c r="G118" s="15" t="n">
        <f aca="false">E118-D118</f>
        <v>19842</v>
      </c>
      <c r="H118" s="15" t="n">
        <f aca="false">F118-D118</f>
        <v>313470</v>
      </c>
    </row>
    <row r="119" customFormat="false" ht="15" hidden="false" customHeight="false" outlineLevel="0" collapsed="false">
      <c r="A119" s="38" t="n">
        <v>45793</v>
      </c>
      <c r="B119" s="11" t="n">
        <v>2</v>
      </c>
      <c r="C119" s="38" t="n">
        <v>45803</v>
      </c>
      <c r="D119" s="15" t="n">
        <v>151538.04</v>
      </c>
      <c r="E119" s="15" t="n">
        <v>220316.04</v>
      </c>
      <c r="F119" s="15" t="n">
        <v>382978.04</v>
      </c>
      <c r="G119" s="15" t="n">
        <f aca="false">E119-D119</f>
        <v>68778</v>
      </c>
      <c r="H119" s="15" t="n">
        <f aca="false">F119-D119</f>
        <v>231440</v>
      </c>
    </row>
    <row r="120" customFormat="false" ht="15" hidden="false" customHeight="false" outlineLevel="0" collapsed="false">
      <c r="A120" s="38" t="n">
        <v>45793</v>
      </c>
      <c r="B120" s="11" t="n">
        <v>3</v>
      </c>
      <c r="C120" s="38" t="n">
        <v>45810</v>
      </c>
      <c r="D120" s="15" t="n">
        <v>238869.46</v>
      </c>
      <c r="E120" s="15" t="n">
        <v>268227.46</v>
      </c>
      <c r="F120" s="15" t="n">
        <v>427239.46</v>
      </c>
      <c r="G120" s="15" t="n">
        <f aca="false">E120-D120</f>
        <v>29358</v>
      </c>
      <c r="H120" s="15" t="n">
        <f aca="false">F120-D120</f>
        <v>188370</v>
      </c>
    </row>
    <row r="121" customFormat="false" ht="15" hidden="false" customHeight="false" outlineLevel="0" collapsed="false">
      <c r="A121" s="38" t="n">
        <v>45793</v>
      </c>
      <c r="B121" s="11" t="n">
        <v>4</v>
      </c>
      <c r="C121" s="38" t="n">
        <v>45817</v>
      </c>
      <c r="D121" s="15" t="n">
        <v>294525.89</v>
      </c>
      <c r="E121" s="15" t="n">
        <v>357205.89</v>
      </c>
      <c r="F121" s="15" t="n">
        <v>540927.89</v>
      </c>
      <c r="G121" s="15" t="n">
        <f aca="false">E121-D121</f>
        <v>62680</v>
      </c>
      <c r="H121" s="15" t="n">
        <f aca="false">F121-D121</f>
        <v>246402</v>
      </c>
    </row>
    <row r="122" customFormat="false" ht="15" hidden="false" customHeight="false" outlineLevel="0" collapsed="false">
      <c r="A122" s="38" t="n">
        <v>45793</v>
      </c>
      <c r="B122" s="11" t="n">
        <v>5</v>
      </c>
      <c r="C122" s="38" t="n">
        <v>45824</v>
      </c>
      <c r="D122" s="15" t="n">
        <v>289454.93</v>
      </c>
      <c r="E122" s="15" t="n">
        <v>292292.93</v>
      </c>
      <c r="F122" s="15" t="n">
        <v>534974.93</v>
      </c>
      <c r="G122" s="15" t="n">
        <f aca="false">E122-D122</f>
        <v>2838</v>
      </c>
      <c r="H122" s="15" t="n">
        <f aca="false">F122-D122</f>
        <v>245520</v>
      </c>
    </row>
    <row r="123" customFormat="false" ht="15" hidden="false" customHeight="false" outlineLevel="0" collapsed="false">
      <c r="A123" s="38" t="n">
        <v>45793</v>
      </c>
      <c r="B123" s="11" t="n">
        <v>6</v>
      </c>
      <c r="C123" s="38" t="n">
        <v>45831</v>
      </c>
      <c r="D123" s="15" t="n">
        <v>240598.9</v>
      </c>
      <c r="E123" s="15" t="n">
        <v>235628.9</v>
      </c>
      <c r="F123" s="15" t="n">
        <v>492488.9</v>
      </c>
      <c r="G123" s="15" t="n">
        <f aca="false">E123-D123</f>
        <v>-4970</v>
      </c>
      <c r="H123" s="15" t="n">
        <f aca="false">F123-D123</f>
        <v>251890</v>
      </c>
    </row>
    <row r="124" customFormat="false" ht="15" hidden="false" customHeight="false" outlineLevel="0" collapsed="false">
      <c r="A124" s="38" t="n">
        <v>45793</v>
      </c>
      <c r="B124" s="11" t="n">
        <v>7</v>
      </c>
      <c r="C124" s="38" t="n">
        <v>45838</v>
      </c>
      <c r="D124" s="15" t="n">
        <v>65052.07</v>
      </c>
      <c r="E124" s="15" t="n">
        <v>134160.07</v>
      </c>
      <c r="F124" s="15" t="n">
        <v>348120.07</v>
      </c>
      <c r="G124" s="15" t="n">
        <f aca="false">E124-D124</f>
        <v>69108</v>
      </c>
      <c r="H124" s="15" t="n">
        <f aca="false">F124-D124</f>
        <v>283068</v>
      </c>
    </row>
    <row r="125" customFormat="false" ht="15" hidden="false" customHeight="false" outlineLevel="0" collapsed="false">
      <c r="A125" s="38" t="n">
        <v>45793</v>
      </c>
      <c r="B125" s="11" t="n">
        <v>8</v>
      </c>
      <c r="C125" s="38" t="n">
        <v>45845</v>
      </c>
      <c r="D125" s="15" t="n">
        <v>42487.89</v>
      </c>
      <c r="E125" s="15" t="n">
        <v>108115.89</v>
      </c>
      <c r="F125" s="15" t="n">
        <v>456847.89</v>
      </c>
      <c r="G125" s="15" t="n">
        <f aca="false">E125-D125</f>
        <v>65628</v>
      </c>
      <c r="H125" s="15" t="n">
        <f aca="false">F125-D125</f>
        <v>414360</v>
      </c>
    </row>
    <row r="126" customFormat="false" ht="15" hidden="false" customHeight="false" outlineLevel="0" collapsed="false">
      <c r="A126" s="38" t="n">
        <v>45793</v>
      </c>
      <c r="B126" s="11" t="n">
        <v>9</v>
      </c>
      <c r="C126" s="38" t="n">
        <v>45852</v>
      </c>
      <c r="D126" s="15" t="n">
        <v>75293.83</v>
      </c>
      <c r="E126" s="15" t="n">
        <v>272465.83</v>
      </c>
      <c r="F126" s="15" t="n">
        <v>440189.83</v>
      </c>
      <c r="G126" s="15" t="n">
        <f aca="false">E126-D126</f>
        <v>197172</v>
      </c>
      <c r="H126" s="15" t="n">
        <f aca="false">F126-D126</f>
        <v>364896</v>
      </c>
    </row>
    <row r="127" customFormat="false" ht="15" hidden="false" customHeight="false" outlineLevel="0" collapsed="false">
      <c r="A127" s="38" t="n">
        <v>45793</v>
      </c>
      <c r="B127" s="11" t="n">
        <v>10</v>
      </c>
      <c r="C127" s="38" t="n">
        <v>45859</v>
      </c>
      <c r="D127" s="15" t="n">
        <v>82704.02</v>
      </c>
      <c r="E127" s="15" t="n">
        <v>327420.02</v>
      </c>
      <c r="F127" s="15" t="n">
        <v>555444.02</v>
      </c>
      <c r="G127" s="15" t="n">
        <f aca="false">E127-D127</f>
        <v>244716</v>
      </c>
      <c r="H127" s="15" t="n">
        <f aca="false">F127-D127</f>
        <v>472740</v>
      </c>
    </row>
    <row r="128" customFormat="false" ht="15" hidden="false" customHeight="false" outlineLevel="0" collapsed="false">
      <c r="A128" s="38" t="n">
        <v>45793</v>
      </c>
      <c r="B128" s="11" t="n">
        <v>11</v>
      </c>
      <c r="C128" s="38" t="n">
        <v>45866</v>
      </c>
      <c r="D128" s="15" t="n">
        <v>-38211</v>
      </c>
      <c r="E128" s="15" t="n">
        <v>197997</v>
      </c>
      <c r="F128" s="15" t="n">
        <v>435873</v>
      </c>
      <c r="G128" s="15" t="n">
        <f aca="false">E128-D128</f>
        <v>236208</v>
      </c>
      <c r="H128" s="15" t="n">
        <f aca="false">F128-D128</f>
        <v>474084</v>
      </c>
    </row>
    <row r="129" customFormat="false" ht="15" hidden="false" customHeight="false" outlineLevel="0" collapsed="false">
      <c r="A129" s="38" t="n">
        <v>45793</v>
      </c>
      <c r="B129" s="11" t="n">
        <v>12</v>
      </c>
      <c r="C129" s="38" t="n">
        <v>45873</v>
      </c>
      <c r="D129" s="15" t="n">
        <v>101592.15</v>
      </c>
      <c r="E129" s="15" t="n">
        <v>297540.15</v>
      </c>
      <c r="F129" s="15" t="n">
        <v>627036.15</v>
      </c>
      <c r="G129" s="15" t="n">
        <f aca="false">E129-D129</f>
        <v>195948</v>
      </c>
      <c r="H129" s="15" t="n">
        <f aca="false">F129-D129</f>
        <v>525444</v>
      </c>
    </row>
    <row r="130" customFormat="false" ht="15" hidden="false" customHeight="false" outlineLevel="0" collapsed="false">
      <c r="A130" s="38" t="n">
        <v>45793</v>
      </c>
      <c r="B130" s="11" t="n">
        <v>13</v>
      </c>
      <c r="C130" s="38" t="n">
        <v>45880</v>
      </c>
      <c r="D130" s="15" t="n">
        <v>152791.11</v>
      </c>
      <c r="E130" s="15" t="n">
        <v>396499.11</v>
      </c>
      <c r="F130" s="15" t="n">
        <v>629983.11</v>
      </c>
      <c r="G130" s="15" t="n">
        <f aca="false">E130-D130</f>
        <v>243708</v>
      </c>
      <c r="H130" s="15" t="n">
        <f aca="false">F130-D130</f>
        <v>477192</v>
      </c>
    </row>
    <row r="131" customFormat="false" ht="15" hidden="false" customHeight="false" outlineLevel="0" collapsed="false">
      <c r="A131" s="38" t="n">
        <v>45800</v>
      </c>
      <c r="B131" s="11" t="n">
        <v>1</v>
      </c>
      <c r="C131" s="38" t="n">
        <v>45803</v>
      </c>
      <c r="D131" s="15" t="n">
        <v>151538.04</v>
      </c>
      <c r="E131" s="15" t="n">
        <v>207284.04</v>
      </c>
      <c r="F131" s="15" t="n">
        <v>382978.04</v>
      </c>
      <c r="G131" s="15" t="n">
        <f aca="false">E131-D131</f>
        <v>55746</v>
      </c>
      <c r="H131" s="15" t="n">
        <f aca="false">F131-D131</f>
        <v>231440</v>
      </c>
    </row>
    <row r="132" customFormat="false" ht="15" hidden="false" customHeight="false" outlineLevel="0" collapsed="false">
      <c r="A132" s="38" t="n">
        <v>45800</v>
      </c>
      <c r="B132" s="11" t="n">
        <v>2</v>
      </c>
      <c r="C132" s="38" t="n">
        <v>45810</v>
      </c>
      <c r="D132" s="15" t="n">
        <v>238869.46</v>
      </c>
      <c r="E132" s="15" t="n">
        <v>268227.46</v>
      </c>
      <c r="F132" s="15" t="n">
        <v>427239.46</v>
      </c>
      <c r="G132" s="15" t="n">
        <f aca="false">E132-D132</f>
        <v>29358</v>
      </c>
      <c r="H132" s="15" t="n">
        <f aca="false">F132-D132</f>
        <v>188370</v>
      </c>
    </row>
    <row r="133" customFormat="false" ht="15" hidden="false" customHeight="false" outlineLevel="0" collapsed="false">
      <c r="A133" s="38" t="n">
        <v>45800</v>
      </c>
      <c r="B133" s="11" t="n">
        <v>3</v>
      </c>
      <c r="C133" s="38" t="n">
        <v>45817</v>
      </c>
      <c r="D133" s="15" t="n">
        <v>294525.89</v>
      </c>
      <c r="E133" s="15" t="n">
        <v>357205.89</v>
      </c>
      <c r="F133" s="15" t="n">
        <v>540927.89</v>
      </c>
      <c r="G133" s="15" t="n">
        <f aca="false">E133-D133</f>
        <v>62680</v>
      </c>
      <c r="H133" s="15" t="n">
        <f aca="false">F133-D133</f>
        <v>246402</v>
      </c>
    </row>
    <row r="134" customFormat="false" ht="15" hidden="false" customHeight="false" outlineLevel="0" collapsed="false">
      <c r="A134" s="38" t="n">
        <v>45800</v>
      </c>
      <c r="B134" s="11" t="n">
        <v>4</v>
      </c>
      <c r="C134" s="38" t="n">
        <v>45824</v>
      </c>
      <c r="D134" s="15" t="n">
        <v>289454.93</v>
      </c>
      <c r="E134" s="15" t="n">
        <v>292292.93</v>
      </c>
      <c r="F134" s="15" t="n">
        <v>534974.93</v>
      </c>
      <c r="G134" s="15" t="n">
        <f aca="false">E134-D134</f>
        <v>2838</v>
      </c>
      <c r="H134" s="15" t="n">
        <f aca="false">F134-D134</f>
        <v>245520</v>
      </c>
    </row>
    <row r="135" customFormat="false" ht="15" hidden="false" customHeight="false" outlineLevel="0" collapsed="false">
      <c r="A135" s="38" t="n">
        <v>45800</v>
      </c>
      <c r="B135" s="11" t="n">
        <v>5</v>
      </c>
      <c r="C135" s="38" t="n">
        <v>45831</v>
      </c>
      <c r="D135" s="15" t="n">
        <v>240598.9</v>
      </c>
      <c r="E135" s="15" t="n">
        <v>235628.9</v>
      </c>
      <c r="F135" s="15" t="n">
        <v>492488.9</v>
      </c>
      <c r="G135" s="15" t="n">
        <f aca="false">E135-D135</f>
        <v>-4970</v>
      </c>
      <c r="H135" s="15" t="n">
        <f aca="false">F135-D135</f>
        <v>251890</v>
      </c>
    </row>
    <row r="136" customFormat="false" ht="15" hidden="false" customHeight="false" outlineLevel="0" collapsed="false">
      <c r="A136" s="38" t="n">
        <v>45800</v>
      </c>
      <c r="B136" s="11" t="n">
        <v>6</v>
      </c>
      <c r="C136" s="38" t="n">
        <v>45838</v>
      </c>
      <c r="D136" s="15" t="n">
        <v>65052.07</v>
      </c>
      <c r="E136" s="15" t="n">
        <v>134160.07</v>
      </c>
      <c r="F136" s="15" t="n">
        <v>348120.07</v>
      </c>
      <c r="G136" s="15" t="n">
        <f aca="false">E136-D136</f>
        <v>69108</v>
      </c>
      <c r="H136" s="15" t="n">
        <f aca="false">F136-D136</f>
        <v>283068</v>
      </c>
    </row>
    <row r="137" customFormat="false" ht="15" hidden="false" customHeight="false" outlineLevel="0" collapsed="false">
      <c r="A137" s="38" t="n">
        <v>45800</v>
      </c>
      <c r="B137" s="11" t="n">
        <v>7</v>
      </c>
      <c r="C137" s="38" t="n">
        <v>45845</v>
      </c>
      <c r="D137" s="15" t="n">
        <v>42487.89</v>
      </c>
      <c r="E137" s="15" t="n">
        <v>108115.89</v>
      </c>
      <c r="F137" s="15" t="n">
        <v>456847.89</v>
      </c>
      <c r="G137" s="15" t="n">
        <f aca="false">E137-D137</f>
        <v>65628</v>
      </c>
      <c r="H137" s="15" t="n">
        <f aca="false">F137-D137</f>
        <v>414360</v>
      </c>
    </row>
    <row r="138" customFormat="false" ht="15" hidden="false" customHeight="false" outlineLevel="0" collapsed="false">
      <c r="A138" s="38" t="n">
        <v>45800</v>
      </c>
      <c r="B138" s="11" t="n">
        <v>8</v>
      </c>
      <c r="C138" s="38" t="n">
        <v>45852</v>
      </c>
      <c r="D138" s="15" t="n">
        <v>75293.83</v>
      </c>
      <c r="E138" s="15" t="n">
        <v>272465.83</v>
      </c>
      <c r="F138" s="15" t="n">
        <v>440189.83</v>
      </c>
      <c r="G138" s="15" t="n">
        <f aca="false">E138-D138</f>
        <v>197172</v>
      </c>
      <c r="H138" s="15" t="n">
        <f aca="false">F138-D138</f>
        <v>364896</v>
      </c>
    </row>
    <row r="139" customFormat="false" ht="15" hidden="false" customHeight="false" outlineLevel="0" collapsed="false">
      <c r="A139" s="38" t="n">
        <v>45800</v>
      </c>
      <c r="B139" s="11" t="n">
        <v>9</v>
      </c>
      <c r="C139" s="38" t="n">
        <v>45859</v>
      </c>
      <c r="D139" s="15" t="n">
        <v>82704.02</v>
      </c>
      <c r="E139" s="15" t="n">
        <v>327420.02</v>
      </c>
      <c r="F139" s="15" t="n">
        <v>555444.02</v>
      </c>
      <c r="G139" s="15" t="n">
        <f aca="false">E139-D139</f>
        <v>244716</v>
      </c>
      <c r="H139" s="15" t="n">
        <f aca="false">F139-D139</f>
        <v>472740</v>
      </c>
    </row>
    <row r="140" customFormat="false" ht="15" hidden="false" customHeight="false" outlineLevel="0" collapsed="false">
      <c r="A140" s="38" t="n">
        <v>45800</v>
      </c>
      <c r="B140" s="11" t="n">
        <v>10</v>
      </c>
      <c r="C140" s="38" t="n">
        <v>45866</v>
      </c>
      <c r="D140" s="15" t="n">
        <v>-38211</v>
      </c>
      <c r="E140" s="15" t="n">
        <v>197997</v>
      </c>
      <c r="F140" s="15" t="n">
        <v>435873</v>
      </c>
      <c r="G140" s="15" t="n">
        <f aca="false">E140-D140</f>
        <v>236208</v>
      </c>
      <c r="H140" s="15" t="n">
        <f aca="false">F140-D140</f>
        <v>474084</v>
      </c>
    </row>
    <row r="141" customFormat="false" ht="15" hidden="false" customHeight="false" outlineLevel="0" collapsed="false">
      <c r="A141" s="38" t="n">
        <v>45800</v>
      </c>
      <c r="B141" s="11" t="n">
        <v>11</v>
      </c>
      <c r="C141" s="38" t="n">
        <v>45873</v>
      </c>
      <c r="D141" s="15" t="n">
        <v>101592.15</v>
      </c>
      <c r="E141" s="15" t="n">
        <v>297540.15</v>
      </c>
      <c r="F141" s="15" t="n">
        <v>627036.15</v>
      </c>
      <c r="G141" s="15" t="n">
        <f aca="false">E141-D141</f>
        <v>195948</v>
      </c>
      <c r="H141" s="15" t="n">
        <f aca="false">F141-D141</f>
        <v>525444</v>
      </c>
    </row>
    <row r="142" customFormat="false" ht="15" hidden="false" customHeight="false" outlineLevel="0" collapsed="false">
      <c r="A142" s="38" t="n">
        <v>45800</v>
      </c>
      <c r="B142" s="11" t="n">
        <v>12</v>
      </c>
      <c r="C142" s="38" t="n">
        <v>45880</v>
      </c>
      <c r="D142" s="15" t="n">
        <v>152791.11</v>
      </c>
      <c r="E142" s="15" t="n">
        <v>396499.11</v>
      </c>
      <c r="F142" s="15" t="n">
        <v>629983.11</v>
      </c>
      <c r="G142" s="15" t="n">
        <f aca="false">E142-D142</f>
        <v>243708</v>
      </c>
      <c r="H142" s="15" t="n">
        <f aca="false">F142-D142</f>
        <v>477192</v>
      </c>
    </row>
    <row r="143" customFormat="false" ht="15" hidden="false" customHeight="false" outlineLevel="0" collapsed="false">
      <c r="A143" s="38" t="n">
        <v>45800</v>
      </c>
      <c r="B143" s="11" t="n">
        <v>13</v>
      </c>
      <c r="C143" s="38" t="n">
        <v>45887</v>
      </c>
      <c r="D143" s="15" t="n">
        <v>362826.39</v>
      </c>
      <c r="E143" s="15" t="n">
        <v>469938.39</v>
      </c>
      <c r="F143" s="15" t="n">
        <v>680856.39</v>
      </c>
      <c r="G143" s="15" t="n">
        <f aca="false">E143-D143</f>
        <v>107112</v>
      </c>
      <c r="H143" s="15" t="n">
        <f aca="false">F143-D143</f>
        <v>318030</v>
      </c>
    </row>
    <row r="144" customFormat="false" ht="15" hidden="false" customHeight="false" outlineLevel="0" collapsed="false">
      <c r="A144" s="38" t="n">
        <v>45807</v>
      </c>
      <c r="B144" s="11" t="n">
        <v>1</v>
      </c>
      <c r="C144" s="38" t="n">
        <v>45810</v>
      </c>
      <c r="D144" s="15" t="n">
        <v>238869.46</v>
      </c>
      <c r="E144" s="15" t="n">
        <v>194685.46</v>
      </c>
      <c r="F144" s="15" t="n">
        <v>427239.46</v>
      </c>
      <c r="G144" s="15" t="n">
        <f aca="false">E144-D144</f>
        <v>-44184</v>
      </c>
      <c r="H144" s="15" t="n">
        <f aca="false">F144-D144</f>
        <v>188370</v>
      </c>
    </row>
    <row r="145" customFormat="false" ht="15" hidden="false" customHeight="false" outlineLevel="0" collapsed="false">
      <c r="A145" s="38" t="n">
        <v>45807</v>
      </c>
      <c r="B145" s="11" t="n">
        <v>2</v>
      </c>
      <c r="C145" s="38" t="n">
        <v>45817</v>
      </c>
      <c r="D145" s="15" t="n">
        <v>294525.89</v>
      </c>
      <c r="E145" s="15" t="n">
        <v>333205.89</v>
      </c>
      <c r="F145" s="15" t="n">
        <v>540927.89</v>
      </c>
      <c r="G145" s="15" t="n">
        <f aca="false">E145-D145</f>
        <v>38680</v>
      </c>
      <c r="H145" s="15" t="n">
        <f aca="false">F145-D145</f>
        <v>246402</v>
      </c>
    </row>
    <row r="146" customFormat="false" ht="15" hidden="false" customHeight="false" outlineLevel="0" collapsed="false">
      <c r="A146" s="38" t="n">
        <v>45807</v>
      </c>
      <c r="B146" s="11" t="n">
        <v>3</v>
      </c>
      <c r="C146" s="38" t="n">
        <v>45824</v>
      </c>
      <c r="D146" s="15" t="n">
        <v>289454.93</v>
      </c>
      <c r="E146" s="15" t="n">
        <v>292292.93</v>
      </c>
      <c r="F146" s="15" t="n">
        <v>534974.93</v>
      </c>
      <c r="G146" s="15" t="n">
        <f aca="false">E146-D146</f>
        <v>2838</v>
      </c>
      <c r="H146" s="15" t="n">
        <f aca="false">F146-D146</f>
        <v>245520</v>
      </c>
    </row>
    <row r="147" customFormat="false" ht="15" hidden="false" customHeight="false" outlineLevel="0" collapsed="false">
      <c r="A147" s="38" t="n">
        <v>45807</v>
      </c>
      <c r="B147" s="11" t="n">
        <v>4</v>
      </c>
      <c r="C147" s="38" t="n">
        <v>45831</v>
      </c>
      <c r="D147" s="15" t="n">
        <v>240598.9</v>
      </c>
      <c r="E147" s="15" t="n">
        <v>235628.9</v>
      </c>
      <c r="F147" s="15" t="n">
        <v>492488.9</v>
      </c>
      <c r="G147" s="15" t="n">
        <f aca="false">E147-D147</f>
        <v>-4970</v>
      </c>
      <c r="H147" s="15" t="n">
        <f aca="false">F147-D147</f>
        <v>251890</v>
      </c>
    </row>
    <row r="148" customFormat="false" ht="15" hidden="false" customHeight="false" outlineLevel="0" collapsed="false">
      <c r="A148" s="38" t="n">
        <v>45807</v>
      </c>
      <c r="B148" s="11" t="n">
        <v>5</v>
      </c>
      <c r="C148" s="38" t="n">
        <v>45838</v>
      </c>
      <c r="D148" s="15" t="n">
        <v>65052.07</v>
      </c>
      <c r="E148" s="15" t="n">
        <v>126972.07</v>
      </c>
      <c r="F148" s="15" t="n">
        <v>348120.07</v>
      </c>
      <c r="G148" s="15" t="n">
        <f aca="false">E148-D148</f>
        <v>61920</v>
      </c>
      <c r="H148" s="15" t="n">
        <f aca="false">F148-D148</f>
        <v>283068</v>
      </c>
    </row>
    <row r="149" customFormat="false" ht="15" hidden="false" customHeight="false" outlineLevel="0" collapsed="false">
      <c r="A149" s="38" t="n">
        <v>45807</v>
      </c>
      <c r="B149" s="11" t="n">
        <v>6</v>
      </c>
      <c r="C149" s="38" t="n">
        <v>45845</v>
      </c>
      <c r="D149" s="15" t="n">
        <v>42487.89</v>
      </c>
      <c r="E149" s="15" t="n">
        <v>108115.89</v>
      </c>
      <c r="F149" s="15" t="n">
        <v>456847.89</v>
      </c>
      <c r="G149" s="15" t="n">
        <f aca="false">E149-D149</f>
        <v>65628</v>
      </c>
      <c r="H149" s="15" t="n">
        <f aca="false">F149-D149</f>
        <v>414360</v>
      </c>
    </row>
    <row r="150" customFormat="false" ht="15" hidden="false" customHeight="false" outlineLevel="0" collapsed="false">
      <c r="A150" s="38" t="n">
        <v>45807</v>
      </c>
      <c r="B150" s="11" t="n">
        <v>7</v>
      </c>
      <c r="C150" s="38" t="n">
        <v>45852</v>
      </c>
      <c r="D150" s="15" t="n">
        <v>75293.83</v>
      </c>
      <c r="E150" s="15" t="n">
        <v>267269.83</v>
      </c>
      <c r="F150" s="15" t="n">
        <v>440189.83</v>
      </c>
      <c r="G150" s="15" t="n">
        <f aca="false">E150-D150</f>
        <v>191976</v>
      </c>
      <c r="H150" s="15" t="n">
        <f aca="false">F150-D150</f>
        <v>364896</v>
      </c>
    </row>
    <row r="151" customFormat="false" ht="15" hidden="false" customHeight="false" outlineLevel="0" collapsed="false">
      <c r="A151" s="38" t="n">
        <v>45807</v>
      </c>
      <c r="B151" s="11" t="n">
        <v>8</v>
      </c>
      <c r="C151" s="38" t="n">
        <v>45859</v>
      </c>
      <c r="D151" s="15" t="n">
        <v>82704.02</v>
      </c>
      <c r="E151" s="15" t="n">
        <v>327420.02</v>
      </c>
      <c r="F151" s="15" t="n">
        <v>555444.02</v>
      </c>
      <c r="G151" s="15" t="n">
        <f aca="false">E151-D151</f>
        <v>244716</v>
      </c>
      <c r="H151" s="15" t="n">
        <f aca="false">F151-D151</f>
        <v>472740</v>
      </c>
    </row>
    <row r="152" customFormat="false" ht="15" hidden="false" customHeight="false" outlineLevel="0" collapsed="false">
      <c r="A152" s="38" t="n">
        <v>45807</v>
      </c>
      <c r="B152" s="11" t="n">
        <v>9</v>
      </c>
      <c r="C152" s="38" t="n">
        <v>45866</v>
      </c>
      <c r="D152" s="15" t="n">
        <v>-38211</v>
      </c>
      <c r="E152" s="15" t="n">
        <v>197997</v>
      </c>
      <c r="F152" s="15" t="n">
        <v>435873</v>
      </c>
      <c r="G152" s="15" t="n">
        <f aca="false">E152-D152</f>
        <v>236208</v>
      </c>
      <c r="H152" s="15" t="n">
        <f aca="false">F152-D152</f>
        <v>474084</v>
      </c>
    </row>
    <row r="153" customFormat="false" ht="15" hidden="false" customHeight="false" outlineLevel="0" collapsed="false">
      <c r="A153" s="38" t="n">
        <v>45807</v>
      </c>
      <c r="B153" s="11" t="n">
        <v>10</v>
      </c>
      <c r="C153" s="38" t="n">
        <v>45873</v>
      </c>
      <c r="D153" s="15" t="n">
        <v>101592.15</v>
      </c>
      <c r="E153" s="15" t="n">
        <v>289812.15</v>
      </c>
      <c r="F153" s="15" t="n">
        <v>627036.15</v>
      </c>
      <c r="G153" s="15" t="n">
        <f aca="false">E153-D153</f>
        <v>188220</v>
      </c>
      <c r="H153" s="15" t="n">
        <f aca="false">F153-D153</f>
        <v>525444</v>
      </c>
    </row>
    <row r="154" customFormat="false" ht="15" hidden="false" customHeight="false" outlineLevel="0" collapsed="false">
      <c r="A154" s="38" t="n">
        <v>45807</v>
      </c>
      <c r="B154" s="11" t="n">
        <v>11</v>
      </c>
      <c r="C154" s="38" t="n">
        <v>45880</v>
      </c>
      <c r="D154" s="15" t="n">
        <v>152791.11</v>
      </c>
      <c r="E154" s="15" t="n">
        <v>391855.11</v>
      </c>
      <c r="F154" s="15" t="n">
        <v>629983.11</v>
      </c>
      <c r="G154" s="15" t="n">
        <f aca="false">E154-D154</f>
        <v>239064</v>
      </c>
      <c r="H154" s="15" t="n">
        <f aca="false">F154-D154</f>
        <v>477192</v>
      </c>
    </row>
    <row r="155" customFormat="false" ht="15" hidden="false" customHeight="false" outlineLevel="0" collapsed="false">
      <c r="A155" s="38" t="n">
        <v>45807</v>
      </c>
      <c r="B155" s="11" t="n">
        <v>12</v>
      </c>
      <c r="C155" s="38" t="n">
        <v>45887</v>
      </c>
      <c r="D155" s="15" t="n">
        <v>362826.39</v>
      </c>
      <c r="E155" s="15" t="n">
        <v>469938.39</v>
      </c>
      <c r="F155" s="15" t="n">
        <v>680856.39</v>
      </c>
      <c r="G155" s="15" t="n">
        <f aca="false">E155-D155</f>
        <v>107112</v>
      </c>
      <c r="H155" s="15" t="n">
        <f aca="false">F155-D155</f>
        <v>318030</v>
      </c>
    </row>
    <row r="156" customFormat="false" ht="15" hidden="false" customHeight="false" outlineLevel="0" collapsed="false">
      <c r="A156" s="38" t="n">
        <v>45807</v>
      </c>
      <c r="B156" s="11" t="n">
        <v>13</v>
      </c>
      <c r="C156" s="38" t="n">
        <v>45894</v>
      </c>
      <c r="D156" s="15" t="n">
        <v>311687.57</v>
      </c>
      <c r="E156" s="15" t="n">
        <v>437207.57</v>
      </c>
      <c r="F156" s="15" t="n">
        <v>614023.57</v>
      </c>
      <c r="G156" s="15" t="n">
        <f aca="false">E156-D156</f>
        <v>125520</v>
      </c>
      <c r="H156" s="15" t="n">
        <f aca="false">F156-D156</f>
        <v>302336</v>
      </c>
    </row>
    <row r="157" customFormat="false" ht="15" hidden="false" customHeight="false" outlineLevel="0" collapsed="false">
      <c r="A157" s="38" t="n">
        <v>45814</v>
      </c>
      <c r="B157" s="11" t="n">
        <v>1</v>
      </c>
      <c r="C157" s="38" t="n">
        <v>45817</v>
      </c>
      <c r="D157" s="15" t="n">
        <v>294525.89</v>
      </c>
      <c r="E157" s="15" t="n">
        <v>327775.89</v>
      </c>
      <c r="F157" s="15" t="n">
        <v>540927.89</v>
      </c>
      <c r="G157" s="15" t="n">
        <f aca="false">E157-D157</f>
        <v>33250</v>
      </c>
      <c r="H157" s="15" t="n">
        <f aca="false">F157-D157</f>
        <v>246402</v>
      </c>
    </row>
    <row r="158" customFormat="false" ht="15" hidden="false" customHeight="false" outlineLevel="0" collapsed="false">
      <c r="A158" s="38" t="n">
        <v>45814</v>
      </c>
      <c r="B158" s="11" t="n">
        <v>2</v>
      </c>
      <c r="C158" s="38" t="n">
        <v>45824</v>
      </c>
      <c r="D158" s="15" t="n">
        <v>289454.93</v>
      </c>
      <c r="E158" s="15" t="n">
        <v>312656.93</v>
      </c>
      <c r="F158" s="15" t="n">
        <v>534974.93</v>
      </c>
      <c r="G158" s="15" t="n">
        <f aca="false">E158-D158</f>
        <v>23202</v>
      </c>
      <c r="H158" s="15" t="n">
        <f aca="false">F158-D158</f>
        <v>245520</v>
      </c>
    </row>
    <row r="159" customFormat="false" ht="15" hidden="false" customHeight="false" outlineLevel="0" collapsed="false">
      <c r="A159" s="38" t="n">
        <v>45814</v>
      </c>
      <c r="B159" s="11" t="n">
        <v>3</v>
      </c>
      <c r="C159" s="38" t="n">
        <v>45831</v>
      </c>
      <c r="D159" s="15" t="n">
        <v>240598.9</v>
      </c>
      <c r="E159" s="15" t="n">
        <v>235628.9</v>
      </c>
      <c r="F159" s="15" t="n">
        <v>492488.9</v>
      </c>
      <c r="G159" s="15" t="n">
        <f aca="false">E159-D159</f>
        <v>-4970</v>
      </c>
      <c r="H159" s="15" t="n">
        <f aca="false">F159-D159</f>
        <v>251890</v>
      </c>
    </row>
    <row r="160" customFormat="false" ht="15" hidden="false" customHeight="false" outlineLevel="0" collapsed="false">
      <c r="A160" s="38" t="n">
        <v>45814</v>
      </c>
      <c r="B160" s="11" t="n">
        <v>4</v>
      </c>
      <c r="C160" s="38" t="n">
        <v>45838</v>
      </c>
      <c r="D160" s="15" t="n">
        <v>65052.07</v>
      </c>
      <c r="E160" s="15" t="n">
        <v>126972.07</v>
      </c>
      <c r="F160" s="15" t="n">
        <v>348120.07</v>
      </c>
      <c r="G160" s="15" t="n">
        <f aca="false">E160-D160</f>
        <v>61920</v>
      </c>
      <c r="H160" s="15" t="n">
        <f aca="false">F160-D160</f>
        <v>283068</v>
      </c>
    </row>
    <row r="161" customFormat="false" ht="15" hidden="false" customHeight="false" outlineLevel="0" collapsed="false">
      <c r="A161" s="38" t="n">
        <v>45814</v>
      </c>
      <c r="B161" s="11" t="n">
        <v>5</v>
      </c>
      <c r="C161" s="38" t="n">
        <v>45845</v>
      </c>
      <c r="D161" s="15" t="n">
        <v>42487.89</v>
      </c>
      <c r="E161" s="15" t="n">
        <v>108115.89</v>
      </c>
      <c r="F161" s="15" t="n">
        <v>456847.89</v>
      </c>
      <c r="G161" s="15" t="n">
        <f aca="false">E161-D161</f>
        <v>65628</v>
      </c>
      <c r="H161" s="15" t="n">
        <f aca="false">F161-D161</f>
        <v>414360</v>
      </c>
    </row>
    <row r="162" customFormat="false" ht="15" hidden="false" customHeight="false" outlineLevel="0" collapsed="false">
      <c r="A162" s="38" t="n">
        <v>45814</v>
      </c>
      <c r="B162" s="11" t="n">
        <v>6</v>
      </c>
      <c r="C162" s="38" t="n">
        <v>45852</v>
      </c>
      <c r="D162" s="15" t="n">
        <v>75293.83</v>
      </c>
      <c r="E162" s="15" t="n">
        <v>267269.83</v>
      </c>
      <c r="F162" s="15" t="n">
        <v>440189.83</v>
      </c>
      <c r="G162" s="15" t="n">
        <f aca="false">E162-D162</f>
        <v>191976</v>
      </c>
      <c r="H162" s="15" t="n">
        <f aca="false">F162-D162</f>
        <v>364896</v>
      </c>
    </row>
    <row r="163" customFormat="false" ht="15" hidden="false" customHeight="false" outlineLevel="0" collapsed="false">
      <c r="A163" s="38" t="n">
        <v>45814</v>
      </c>
      <c r="B163" s="11" t="n">
        <v>7</v>
      </c>
      <c r="C163" s="38" t="n">
        <v>45859</v>
      </c>
      <c r="D163" s="15" t="n">
        <v>82704.02</v>
      </c>
      <c r="E163" s="15" t="n">
        <v>327420.02</v>
      </c>
      <c r="F163" s="15" t="n">
        <v>555444.02</v>
      </c>
      <c r="G163" s="15" t="n">
        <f aca="false">E163-D163</f>
        <v>244716</v>
      </c>
      <c r="H163" s="15" t="n">
        <f aca="false">F163-D163</f>
        <v>472740</v>
      </c>
    </row>
    <row r="164" customFormat="false" ht="15" hidden="false" customHeight="false" outlineLevel="0" collapsed="false">
      <c r="A164" s="38" t="n">
        <v>45814</v>
      </c>
      <c r="B164" s="11" t="n">
        <v>8</v>
      </c>
      <c r="C164" s="38" t="n">
        <v>45866</v>
      </c>
      <c r="D164" s="15" t="n">
        <v>-38211</v>
      </c>
      <c r="E164" s="15" t="n">
        <v>197997</v>
      </c>
      <c r="F164" s="15" t="n">
        <v>435873</v>
      </c>
      <c r="G164" s="15" t="n">
        <f aca="false">E164-D164</f>
        <v>236208</v>
      </c>
      <c r="H164" s="15" t="n">
        <f aca="false">F164-D164</f>
        <v>474084</v>
      </c>
    </row>
    <row r="165" customFormat="false" ht="15" hidden="false" customHeight="false" outlineLevel="0" collapsed="false">
      <c r="A165" s="38" t="n">
        <v>45814</v>
      </c>
      <c r="B165" s="11" t="n">
        <v>9</v>
      </c>
      <c r="C165" s="38" t="n">
        <v>45873</v>
      </c>
      <c r="D165" s="15" t="n">
        <v>101592.15</v>
      </c>
      <c r="E165" s="15" t="n">
        <v>289812.15</v>
      </c>
      <c r="F165" s="15" t="n">
        <v>627036.15</v>
      </c>
      <c r="G165" s="15" t="n">
        <f aca="false">E165-D165</f>
        <v>188220</v>
      </c>
      <c r="H165" s="15" t="n">
        <f aca="false">F165-D165</f>
        <v>525444</v>
      </c>
    </row>
    <row r="166" customFormat="false" ht="15" hidden="false" customHeight="false" outlineLevel="0" collapsed="false">
      <c r="A166" s="38" t="n">
        <v>45814</v>
      </c>
      <c r="B166" s="11" t="n">
        <v>10</v>
      </c>
      <c r="C166" s="38" t="n">
        <v>45880</v>
      </c>
      <c r="D166" s="15" t="n">
        <v>152791.11</v>
      </c>
      <c r="E166" s="15" t="n">
        <v>391855.11</v>
      </c>
      <c r="F166" s="15" t="n">
        <v>629983.11</v>
      </c>
      <c r="G166" s="15" t="n">
        <f aca="false">E166-D166</f>
        <v>239064</v>
      </c>
      <c r="H166" s="15" t="n">
        <f aca="false">F166-D166</f>
        <v>477192</v>
      </c>
    </row>
    <row r="167" customFormat="false" ht="15" hidden="false" customHeight="false" outlineLevel="0" collapsed="false">
      <c r="A167" s="38" t="n">
        <v>45814</v>
      </c>
      <c r="B167" s="11" t="n">
        <v>11</v>
      </c>
      <c r="C167" s="38" t="n">
        <v>45887</v>
      </c>
      <c r="D167" s="15" t="n">
        <v>362826.39</v>
      </c>
      <c r="E167" s="15" t="n">
        <v>469938.39</v>
      </c>
      <c r="F167" s="15" t="n">
        <v>680856.39</v>
      </c>
      <c r="G167" s="15" t="n">
        <f aca="false">E167-D167</f>
        <v>107112</v>
      </c>
      <c r="H167" s="15" t="n">
        <f aca="false">F167-D167</f>
        <v>318030</v>
      </c>
    </row>
    <row r="168" customFormat="false" ht="15" hidden="false" customHeight="false" outlineLevel="0" collapsed="false">
      <c r="A168" s="38" t="n">
        <v>45814</v>
      </c>
      <c r="B168" s="11" t="n">
        <v>12</v>
      </c>
      <c r="C168" s="38" t="n">
        <v>45894</v>
      </c>
      <c r="D168" s="15" t="n">
        <v>311687.57</v>
      </c>
      <c r="E168" s="15" t="n">
        <v>437207.57</v>
      </c>
      <c r="F168" s="15" t="n">
        <v>614023.57</v>
      </c>
      <c r="G168" s="15" t="n">
        <f aca="false">E168-D168</f>
        <v>125520</v>
      </c>
      <c r="H168" s="15" t="n">
        <f aca="false">F168-D168</f>
        <v>302336</v>
      </c>
    </row>
    <row r="169" customFormat="false" ht="15" hidden="false" customHeight="false" outlineLevel="0" collapsed="false">
      <c r="A169" s="38" t="n">
        <v>45814</v>
      </c>
      <c r="B169" s="11" t="n">
        <v>13</v>
      </c>
      <c r="C169" s="38" t="n">
        <v>45901</v>
      </c>
      <c r="D169" s="15" t="n">
        <v>270125.1</v>
      </c>
      <c r="E169" s="15" t="n">
        <v>408233.1</v>
      </c>
      <c r="F169" s="15" t="n">
        <v>507101.1</v>
      </c>
      <c r="G169" s="15" t="n">
        <f aca="false">E169-D169</f>
        <v>138108</v>
      </c>
      <c r="H169" s="15" t="n">
        <f aca="false">F169-D169</f>
        <v>236976</v>
      </c>
    </row>
    <row r="170" customFormat="false" ht="15" hidden="false" customHeight="false" outlineLevel="0" collapsed="false">
      <c r="A170" s="38" t="n">
        <v>45821</v>
      </c>
      <c r="B170" s="11" t="n">
        <v>1</v>
      </c>
      <c r="C170" s="38" t="n">
        <v>45824</v>
      </c>
      <c r="D170" s="15" t="n">
        <v>289454.93</v>
      </c>
      <c r="E170" s="15" t="n">
        <v>221198.93</v>
      </c>
      <c r="F170" s="15" t="n">
        <v>534974.93</v>
      </c>
      <c r="G170" s="15" t="n">
        <f aca="false">E170-D170</f>
        <v>-68256</v>
      </c>
      <c r="H170" s="15" t="n">
        <f aca="false">F170-D170</f>
        <v>245520</v>
      </c>
    </row>
    <row r="171" customFormat="false" ht="15" hidden="false" customHeight="false" outlineLevel="0" collapsed="false">
      <c r="A171" s="38" t="n">
        <v>45821</v>
      </c>
      <c r="B171" s="11" t="n">
        <v>2</v>
      </c>
      <c r="C171" s="38" t="n">
        <v>45831</v>
      </c>
      <c r="D171" s="15" t="n">
        <v>240598.9</v>
      </c>
      <c r="E171" s="15" t="n">
        <v>235628.9</v>
      </c>
      <c r="F171" s="15" t="n">
        <v>492488.9</v>
      </c>
      <c r="G171" s="15" t="n">
        <f aca="false">E171-D171</f>
        <v>-4970</v>
      </c>
      <c r="H171" s="15" t="n">
        <f aca="false">F171-D171</f>
        <v>251890</v>
      </c>
    </row>
    <row r="172" customFormat="false" ht="15" hidden="false" customHeight="false" outlineLevel="0" collapsed="false">
      <c r="A172" s="38" t="n">
        <v>45821</v>
      </c>
      <c r="B172" s="11" t="n">
        <v>3</v>
      </c>
      <c r="C172" s="38" t="n">
        <v>45838</v>
      </c>
      <c r="D172" s="15" t="n">
        <v>65052.07</v>
      </c>
      <c r="E172" s="15" t="n">
        <v>126972.07</v>
      </c>
      <c r="F172" s="15" t="n">
        <v>348120.07</v>
      </c>
      <c r="G172" s="15" t="n">
        <f aca="false">E172-D172</f>
        <v>61920</v>
      </c>
      <c r="H172" s="15" t="n">
        <f aca="false">F172-D172</f>
        <v>283068</v>
      </c>
    </row>
    <row r="173" customFormat="false" ht="15" hidden="false" customHeight="false" outlineLevel="0" collapsed="false">
      <c r="A173" s="38" t="n">
        <v>45821</v>
      </c>
      <c r="B173" s="11" t="n">
        <v>4</v>
      </c>
      <c r="C173" s="38" t="n">
        <v>45845</v>
      </c>
      <c r="D173" s="15" t="n">
        <v>42487.89</v>
      </c>
      <c r="E173" s="15" t="n">
        <v>108115.89</v>
      </c>
      <c r="F173" s="15" t="n">
        <v>456847.89</v>
      </c>
      <c r="G173" s="15" t="n">
        <f aca="false">E173-D173</f>
        <v>65628</v>
      </c>
      <c r="H173" s="15" t="n">
        <f aca="false">F173-D173</f>
        <v>414360</v>
      </c>
    </row>
    <row r="174" customFormat="false" ht="15" hidden="false" customHeight="false" outlineLevel="0" collapsed="false">
      <c r="A174" s="38" t="n">
        <v>45821</v>
      </c>
      <c r="B174" s="11" t="n">
        <v>5</v>
      </c>
      <c r="C174" s="38" t="n">
        <v>45852</v>
      </c>
      <c r="D174" s="15" t="n">
        <v>75293.83</v>
      </c>
      <c r="E174" s="15" t="n">
        <v>267269.83</v>
      </c>
      <c r="F174" s="15" t="n">
        <v>440189.83</v>
      </c>
      <c r="G174" s="15" t="n">
        <f aca="false">E174-D174</f>
        <v>191976</v>
      </c>
      <c r="H174" s="15" t="n">
        <f aca="false">F174-D174</f>
        <v>364896</v>
      </c>
    </row>
    <row r="175" customFormat="false" ht="15" hidden="false" customHeight="false" outlineLevel="0" collapsed="false">
      <c r="A175" s="38" t="n">
        <v>45821</v>
      </c>
      <c r="B175" s="11" t="n">
        <v>6</v>
      </c>
      <c r="C175" s="38" t="n">
        <v>45859</v>
      </c>
      <c r="D175" s="15" t="n">
        <v>82704.02</v>
      </c>
      <c r="E175" s="15" t="n">
        <v>327420.02</v>
      </c>
      <c r="F175" s="15" t="n">
        <v>555444.02</v>
      </c>
      <c r="G175" s="15" t="n">
        <f aca="false">E175-D175</f>
        <v>244716</v>
      </c>
      <c r="H175" s="15" t="n">
        <f aca="false">F175-D175</f>
        <v>472740</v>
      </c>
    </row>
    <row r="176" customFormat="false" ht="15" hidden="false" customHeight="false" outlineLevel="0" collapsed="false">
      <c r="A176" s="38" t="n">
        <v>45821</v>
      </c>
      <c r="B176" s="11" t="n">
        <v>7</v>
      </c>
      <c r="C176" s="38" t="n">
        <v>45866</v>
      </c>
      <c r="D176" s="15" t="n">
        <v>-38211</v>
      </c>
      <c r="E176" s="15" t="n">
        <v>197997</v>
      </c>
      <c r="F176" s="15" t="n">
        <v>435873</v>
      </c>
      <c r="G176" s="15" t="n">
        <f aca="false">E176-D176</f>
        <v>236208</v>
      </c>
      <c r="H176" s="15" t="n">
        <f aca="false">F176-D176</f>
        <v>474084</v>
      </c>
    </row>
    <row r="177" customFormat="false" ht="15" hidden="false" customHeight="false" outlineLevel="0" collapsed="false">
      <c r="A177" s="38" t="n">
        <v>45821</v>
      </c>
      <c r="B177" s="11" t="n">
        <v>8</v>
      </c>
      <c r="C177" s="38" t="n">
        <v>45873</v>
      </c>
      <c r="D177" s="15" t="n">
        <v>101592.15</v>
      </c>
      <c r="E177" s="15" t="n">
        <v>289812.15</v>
      </c>
      <c r="F177" s="15" t="n">
        <v>627036.15</v>
      </c>
      <c r="G177" s="15" t="n">
        <f aca="false">E177-D177</f>
        <v>188220</v>
      </c>
      <c r="H177" s="15" t="n">
        <f aca="false">F177-D177</f>
        <v>525444</v>
      </c>
    </row>
    <row r="178" customFormat="false" ht="15" hidden="false" customHeight="false" outlineLevel="0" collapsed="false">
      <c r="A178" s="38" t="n">
        <v>45821</v>
      </c>
      <c r="B178" s="11" t="n">
        <v>9</v>
      </c>
      <c r="C178" s="38" t="n">
        <v>45880</v>
      </c>
      <c r="D178" s="15" t="n">
        <v>152791.11</v>
      </c>
      <c r="E178" s="15" t="n">
        <v>391855.11</v>
      </c>
      <c r="F178" s="15" t="n">
        <v>629983.11</v>
      </c>
      <c r="G178" s="15" t="n">
        <f aca="false">E178-D178</f>
        <v>239064</v>
      </c>
      <c r="H178" s="15" t="n">
        <f aca="false">F178-D178</f>
        <v>477192</v>
      </c>
    </row>
    <row r="179" customFormat="false" ht="15" hidden="false" customHeight="false" outlineLevel="0" collapsed="false">
      <c r="A179" s="38" t="n">
        <v>45821</v>
      </c>
      <c r="B179" s="11" t="n">
        <v>10</v>
      </c>
      <c r="C179" s="38" t="n">
        <v>45887</v>
      </c>
      <c r="D179" s="15" t="n">
        <v>362826.39</v>
      </c>
      <c r="E179" s="15" t="n">
        <v>469938.39</v>
      </c>
      <c r="F179" s="15" t="n">
        <v>680856.39</v>
      </c>
      <c r="G179" s="15" t="n">
        <f aca="false">E179-D179</f>
        <v>107112</v>
      </c>
      <c r="H179" s="15" t="n">
        <f aca="false">F179-D179</f>
        <v>318030</v>
      </c>
    </row>
    <row r="180" customFormat="false" ht="15" hidden="false" customHeight="false" outlineLevel="0" collapsed="false">
      <c r="A180" s="38" t="n">
        <v>45821</v>
      </c>
      <c r="B180" s="11" t="n">
        <v>11</v>
      </c>
      <c r="C180" s="38" t="n">
        <v>45894</v>
      </c>
      <c r="D180" s="15" t="n">
        <v>311687.57</v>
      </c>
      <c r="E180" s="15" t="n">
        <v>437207.57</v>
      </c>
      <c r="F180" s="15" t="n">
        <v>614023.57</v>
      </c>
      <c r="G180" s="15" t="n">
        <f aca="false">E180-D180</f>
        <v>125520</v>
      </c>
      <c r="H180" s="15" t="n">
        <f aca="false">F180-D180</f>
        <v>302336</v>
      </c>
    </row>
    <row r="181" customFormat="false" ht="15" hidden="false" customHeight="false" outlineLevel="0" collapsed="false">
      <c r="A181" s="38" t="n">
        <v>45821</v>
      </c>
      <c r="B181" s="11" t="n">
        <v>12</v>
      </c>
      <c r="C181" s="38" t="n">
        <v>45901</v>
      </c>
      <c r="D181" s="15" t="n">
        <v>270125.1</v>
      </c>
      <c r="E181" s="15" t="n">
        <v>408233.1</v>
      </c>
      <c r="F181" s="15" t="n">
        <v>507101.1</v>
      </c>
      <c r="G181" s="15" t="n">
        <f aca="false">E181-D181</f>
        <v>138108</v>
      </c>
      <c r="H181" s="15" t="n">
        <f aca="false">F181-D181</f>
        <v>236976</v>
      </c>
    </row>
    <row r="182" customFormat="false" ht="15" hidden="false" customHeight="false" outlineLevel="0" collapsed="false">
      <c r="A182" s="38" t="n">
        <v>45821</v>
      </c>
      <c r="B182" s="11" t="n">
        <v>13</v>
      </c>
      <c r="C182" s="38" t="n">
        <v>45908</v>
      </c>
      <c r="D182" s="15" t="n">
        <v>416656.35</v>
      </c>
      <c r="E182" s="15" t="n">
        <v>447232.35</v>
      </c>
      <c r="F182" s="15" t="n">
        <v>635396.35</v>
      </c>
      <c r="G182" s="15" t="n">
        <f aca="false">E182-D182</f>
        <v>30576</v>
      </c>
      <c r="H182" s="15" t="n">
        <f aca="false">F182-D182</f>
        <v>218740</v>
      </c>
    </row>
    <row r="183" customFormat="false" ht="15" hidden="false" customHeight="false" outlineLevel="0" collapsed="false">
      <c r="A183" s="38" t="n">
        <v>45828</v>
      </c>
      <c r="B183" s="11" t="n">
        <v>1</v>
      </c>
      <c r="C183" s="38" t="n">
        <v>45831</v>
      </c>
      <c r="D183" s="15" t="n">
        <v>240598.9</v>
      </c>
      <c r="E183" s="15" t="n">
        <v>204278.9</v>
      </c>
      <c r="F183" s="15" t="n">
        <v>492488.9</v>
      </c>
      <c r="G183" s="15" t="n">
        <f aca="false">E183-D183</f>
        <v>-36320</v>
      </c>
      <c r="H183" s="15" t="n">
        <f aca="false">F183-D183</f>
        <v>251890</v>
      </c>
    </row>
    <row r="184" customFormat="false" ht="15" hidden="false" customHeight="false" outlineLevel="0" collapsed="false">
      <c r="A184" s="38" t="n">
        <v>45828</v>
      </c>
      <c r="B184" s="11" t="n">
        <v>2</v>
      </c>
      <c r="C184" s="38" t="n">
        <v>45838</v>
      </c>
      <c r="D184" s="15" t="n">
        <v>65052.07</v>
      </c>
      <c r="E184" s="15" t="n">
        <v>126972.07</v>
      </c>
      <c r="F184" s="15" t="n">
        <v>348120.07</v>
      </c>
      <c r="G184" s="15" t="n">
        <f aca="false">E184-D184</f>
        <v>61920</v>
      </c>
      <c r="H184" s="15" t="n">
        <f aca="false">F184-D184</f>
        <v>283068</v>
      </c>
    </row>
    <row r="185" customFormat="false" ht="15" hidden="false" customHeight="false" outlineLevel="0" collapsed="false">
      <c r="A185" s="38" t="n">
        <v>45828</v>
      </c>
      <c r="B185" s="11" t="n">
        <v>3</v>
      </c>
      <c r="C185" s="38" t="n">
        <v>45845</v>
      </c>
      <c r="D185" s="15" t="n">
        <v>42487.89</v>
      </c>
      <c r="E185" s="15" t="n">
        <v>108115.89</v>
      </c>
      <c r="F185" s="15" t="n">
        <v>456847.89</v>
      </c>
      <c r="G185" s="15" t="n">
        <f aca="false">E185-D185</f>
        <v>65628</v>
      </c>
      <c r="H185" s="15" t="n">
        <f aca="false">F185-D185</f>
        <v>414360</v>
      </c>
    </row>
    <row r="186" customFormat="false" ht="15" hidden="false" customHeight="false" outlineLevel="0" collapsed="false">
      <c r="A186" s="38" t="n">
        <v>45828</v>
      </c>
      <c r="B186" s="11" t="n">
        <v>4</v>
      </c>
      <c r="C186" s="38" t="n">
        <v>45852</v>
      </c>
      <c r="D186" s="15" t="n">
        <v>75293.83</v>
      </c>
      <c r="E186" s="15" t="n">
        <v>267269.83</v>
      </c>
      <c r="F186" s="15" t="n">
        <v>440189.83</v>
      </c>
      <c r="G186" s="15" t="n">
        <f aca="false">E186-D186</f>
        <v>191976</v>
      </c>
      <c r="H186" s="15" t="n">
        <f aca="false">F186-D186</f>
        <v>364896</v>
      </c>
    </row>
    <row r="187" customFormat="false" ht="15" hidden="false" customHeight="false" outlineLevel="0" collapsed="false">
      <c r="A187" s="38" t="n">
        <v>45828</v>
      </c>
      <c r="B187" s="11" t="n">
        <v>5</v>
      </c>
      <c r="C187" s="38" t="n">
        <v>45859</v>
      </c>
      <c r="D187" s="15" t="n">
        <v>82704.02</v>
      </c>
      <c r="E187" s="15" t="n">
        <v>327420.02</v>
      </c>
      <c r="F187" s="15" t="n">
        <v>555444.02</v>
      </c>
      <c r="G187" s="15" t="n">
        <f aca="false">E187-D187</f>
        <v>244716</v>
      </c>
      <c r="H187" s="15" t="n">
        <f aca="false">F187-D187</f>
        <v>472740</v>
      </c>
    </row>
    <row r="188" customFormat="false" ht="15" hidden="false" customHeight="false" outlineLevel="0" collapsed="false">
      <c r="A188" s="38" t="n">
        <v>45828</v>
      </c>
      <c r="B188" s="11" t="n">
        <v>6</v>
      </c>
      <c r="C188" s="38" t="n">
        <v>45866</v>
      </c>
      <c r="D188" s="15" t="n">
        <v>-38211</v>
      </c>
      <c r="E188" s="15" t="n">
        <v>197997</v>
      </c>
      <c r="F188" s="15" t="n">
        <v>435873</v>
      </c>
      <c r="G188" s="15" t="n">
        <f aca="false">E188-D188</f>
        <v>236208</v>
      </c>
      <c r="H188" s="15" t="n">
        <f aca="false">F188-D188</f>
        <v>474084</v>
      </c>
    </row>
    <row r="189" customFormat="false" ht="15" hidden="false" customHeight="false" outlineLevel="0" collapsed="false">
      <c r="A189" s="38" t="n">
        <v>45828</v>
      </c>
      <c r="B189" s="11" t="n">
        <v>7</v>
      </c>
      <c r="C189" s="38" t="n">
        <v>45873</v>
      </c>
      <c r="D189" s="15" t="n">
        <v>101592.15</v>
      </c>
      <c r="E189" s="15" t="n">
        <v>289812.15</v>
      </c>
      <c r="F189" s="15" t="n">
        <v>627036.15</v>
      </c>
      <c r="G189" s="15" t="n">
        <f aca="false">E189-D189</f>
        <v>188220</v>
      </c>
      <c r="H189" s="15" t="n">
        <f aca="false">F189-D189</f>
        <v>525444</v>
      </c>
    </row>
    <row r="190" customFormat="false" ht="15" hidden="false" customHeight="false" outlineLevel="0" collapsed="false">
      <c r="A190" s="38" t="n">
        <v>45828</v>
      </c>
      <c r="B190" s="11" t="n">
        <v>8</v>
      </c>
      <c r="C190" s="38" t="n">
        <v>45880</v>
      </c>
      <c r="D190" s="15" t="n">
        <v>152791.11</v>
      </c>
      <c r="E190" s="15" t="n">
        <v>391855.11</v>
      </c>
      <c r="F190" s="15" t="n">
        <v>629983.11</v>
      </c>
      <c r="G190" s="15" t="n">
        <f aca="false">E190-D190</f>
        <v>239064</v>
      </c>
      <c r="H190" s="15" t="n">
        <f aca="false">F190-D190</f>
        <v>477192</v>
      </c>
    </row>
    <row r="191" customFormat="false" ht="15" hidden="false" customHeight="false" outlineLevel="0" collapsed="false">
      <c r="A191" s="38" t="n">
        <v>45828</v>
      </c>
      <c r="B191" s="11" t="n">
        <v>9</v>
      </c>
      <c r="C191" s="38" t="n">
        <v>45887</v>
      </c>
      <c r="D191" s="15" t="n">
        <v>362826.39</v>
      </c>
      <c r="E191" s="15" t="n">
        <v>469938.39</v>
      </c>
      <c r="F191" s="15" t="n">
        <v>680856.39</v>
      </c>
      <c r="G191" s="15" t="n">
        <f aca="false">E191-D191</f>
        <v>107112</v>
      </c>
      <c r="H191" s="15" t="n">
        <f aca="false">F191-D191</f>
        <v>318030</v>
      </c>
    </row>
    <row r="192" customFormat="false" ht="15" hidden="false" customHeight="false" outlineLevel="0" collapsed="false">
      <c r="A192" s="38" t="n">
        <v>45828</v>
      </c>
      <c r="B192" s="11" t="n">
        <v>10</v>
      </c>
      <c r="C192" s="38" t="n">
        <v>45894</v>
      </c>
      <c r="D192" s="15" t="n">
        <v>311687.57</v>
      </c>
      <c r="E192" s="15" t="n">
        <v>437207.57</v>
      </c>
      <c r="F192" s="15" t="n">
        <v>614023.57</v>
      </c>
      <c r="G192" s="15" t="n">
        <f aca="false">E192-D192</f>
        <v>125520</v>
      </c>
      <c r="H192" s="15" t="n">
        <f aca="false">F192-D192</f>
        <v>302336</v>
      </c>
    </row>
    <row r="193" customFormat="false" ht="15" hidden="false" customHeight="false" outlineLevel="0" collapsed="false">
      <c r="A193" s="38" t="n">
        <v>45828</v>
      </c>
      <c r="B193" s="11" t="n">
        <v>11</v>
      </c>
      <c r="C193" s="38" t="n">
        <v>45901</v>
      </c>
      <c r="D193" s="15" t="n">
        <v>270125.1</v>
      </c>
      <c r="E193" s="15" t="n">
        <v>408233.1</v>
      </c>
      <c r="F193" s="15" t="n">
        <v>507101.1</v>
      </c>
      <c r="G193" s="15" t="n">
        <f aca="false">E193-D193</f>
        <v>138108</v>
      </c>
      <c r="H193" s="15" t="n">
        <f aca="false">F193-D193</f>
        <v>236976</v>
      </c>
    </row>
    <row r="194" customFormat="false" ht="15" hidden="false" customHeight="false" outlineLevel="0" collapsed="false">
      <c r="A194" s="38" t="n">
        <v>45828</v>
      </c>
      <c r="B194" s="11" t="n">
        <v>12</v>
      </c>
      <c r="C194" s="38" t="n">
        <v>45908</v>
      </c>
      <c r="D194" s="15" t="n">
        <v>416656.35</v>
      </c>
      <c r="E194" s="15" t="n">
        <v>447232.35</v>
      </c>
      <c r="F194" s="15" t="n">
        <v>635396.35</v>
      </c>
      <c r="G194" s="15" t="n">
        <f aca="false">E194-D194</f>
        <v>30576</v>
      </c>
      <c r="H194" s="15" t="n">
        <f aca="false">F194-D194</f>
        <v>218740</v>
      </c>
    </row>
    <row r="195" customFormat="false" ht="15" hidden="false" customHeight="false" outlineLevel="0" collapsed="false">
      <c r="A195" s="38" t="n">
        <v>45828</v>
      </c>
      <c r="B195" s="11" t="n">
        <v>13</v>
      </c>
      <c r="C195" s="38" t="n">
        <v>45915</v>
      </c>
      <c r="D195" s="15" t="n">
        <v>344089.59</v>
      </c>
      <c r="E195" s="15" t="n">
        <v>398593.59</v>
      </c>
      <c r="F195" s="15" t="n">
        <v>590881.59</v>
      </c>
      <c r="G195" s="15" t="n">
        <f aca="false">E195-D195</f>
        <v>54504</v>
      </c>
      <c r="H195" s="15" t="n">
        <f aca="false">F195-D195</f>
        <v>246792</v>
      </c>
    </row>
    <row r="196" customFormat="false" ht="15" hidden="false" customHeight="false" outlineLevel="0" collapsed="false">
      <c r="A196" s="38" t="n">
        <v>45835</v>
      </c>
      <c r="B196" s="11" t="n">
        <v>1</v>
      </c>
      <c r="C196" s="38" t="n">
        <v>45838</v>
      </c>
      <c r="D196" s="15" t="n">
        <v>65052.07</v>
      </c>
      <c r="E196" s="15" t="n">
        <v>110766.07</v>
      </c>
      <c r="F196" s="15" t="n">
        <v>348120.07</v>
      </c>
      <c r="G196" s="15" t="n">
        <f aca="false">E196-D196</f>
        <v>45714</v>
      </c>
      <c r="H196" s="15" t="n">
        <f aca="false">F196-D196</f>
        <v>283068</v>
      </c>
    </row>
    <row r="197" customFormat="false" ht="15" hidden="false" customHeight="false" outlineLevel="0" collapsed="false">
      <c r="A197" s="38" t="n">
        <v>45835</v>
      </c>
      <c r="B197" s="11" t="n">
        <v>2</v>
      </c>
      <c r="C197" s="38" t="n">
        <v>45845</v>
      </c>
      <c r="D197" s="15" t="n">
        <v>42487.89</v>
      </c>
      <c r="E197" s="15" t="n">
        <v>101383.89</v>
      </c>
      <c r="F197" s="15" t="n">
        <v>456847.89</v>
      </c>
      <c r="G197" s="15" t="n">
        <f aca="false">E197-D197</f>
        <v>58896</v>
      </c>
      <c r="H197" s="15" t="n">
        <f aca="false">F197-D197</f>
        <v>414360</v>
      </c>
    </row>
    <row r="198" customFormat="false" ht="15" hidden="false" customHeight="false" outlineLevel="0" collapsed="false">
      <c r="A198" s="38" t="n">
        <v>45835</v>
      </c>
      <c r="B198" s="11" t="n">
        <v>3</v>
      </c>
      <c r="C198" s="38" t="n">
        <v>45852</v>
      </c>
      <c r="D198" s="15" t="n">
        <v>75293.83</v>
      </c>
      <c r="E198" s="15" t="n">
        <v>293681.83</v>
      </c>
      <c r="F198" s="15" t="n">
        <v>440189.83</v>
      </c>
      <c r="G198" s="15" t="n">
        <f aca="false">E198-D198</f>
        <v>218388</v>
      </c>
      <c r="H198" s="15" t="n">
        <f aca="false">F198-D198</f>
        <v>364896</v>
      </c>
    </row>
    <row r="199" customFormat="false" ht="15" hidden="false" customHeight="false" outlineLevel="0" collapsed="false">
      <c r="A199" s="38" t="n">
        <v>45835</v>
      </c>
      <c r="B199" s="11" t="n">
        <v>4</v>
      </c>
      <c r="C199" s="38" t="n">
        <v>45859</v>
      </c>
      <c r="D199" s="15" t="n">
        <v>82704.02</v>
      </c>
      <c r="E199" s="15" t="n">
        <v>327420.02</v>
      </c>
      <c r="F199" s="15" t="n">
        <v>555444.02</v>
      </c>
      <c r="G199" s="15" t="n">
        <f aca="false">E199-D199</f>
        <v>244716</v>
      </c>
      <c r="H199" s="15" t="n">
        <f aca="false">F199-D199</f>
        <v>472740</v>
      </c>
    </row>
    <row r="200" customFormat="false" ht="15" hidden="false" customHeight="false" outlineLevel="0" collapsed="false">
      <c r="A200" s="38" t="n">
        <v>45835</v>
      </c>
      <c r="B200" s="11" t="n">
        <v>5</v>
      </c>
      <c r="C200" s="38" t="n">
        <v>45866</v>
      </c>
      <c r="D200" s="15" t="n">
        <v>-38211</v>
      </c>
      <c r="E200" s="15" t="n">
        <v>212229</v>
      </c>
      <c r="F200" s="15" t="n">
        <v>435873</v>
      </c>
      <c r="G200" s="15" t="n">
        <f aca="false">E200-D200</f>
        <v>250440</v>
      </c>
      <c r="H200" s="15" t="n">
        <f aca="false">F200-D200</f>
        <v>474084</v>
      </c>
    </row>
    <row r="201" customFormat="false" ht="15" hidden="false" customHeight="false" outlineLevel="0" collapsed="false">
      <c r="A201" s="38" t="n">
        <v>45835</v>
      </c>
      <c r="B201" s="11" t="n">
        <v>6</v>
      </c>
      <c r="C201" s="38" t="n">
        <v>45873</v>
      </c>
      <c r="D201" s="15" t="n">
        <v>101592.15</v>
      </c>
      <c r="E201" s="15" t="n">
        <v>289812.15</v>
      </c>
      <c r="F201" s="15" t="n">
        <v>627036.15</v>
      </c>
      <c r="G201" s="15" t="n">
        <f aca="false">E201-D201</f>
        <v>188220</v>
      </c>
      <c r="H201" s="15" t="n">
        <f aca="false">F201-D201</f>
        <v>525444</v>
      </c>
    </row>
    <row r="202" customFormat="false" ht="15" hidden="false" customHeight="false" outlineLevel="0" collapsed="false">
      <c r="A202" s="38" t="n">
        <v>45835</v>
      </c>
      <c r="B202" s="11" t="n">
        <v>7</v>
      </c>
      <c r="C202" s="38" t="n">
        <v>45880</v>
      </c>
      <c r="D202" s="15" t="n">
        <v>152791.11</v>
      </c>
      <c r="E202" s="15" t="n">
        <v>435439.11</v>
      </c>
      <c r="F202" s="15" t="n">
        <v>629983.11</v>
      </c>
      <c r="G202" s="15" t="n">
        <f aca="false">E202-D202</f>
        <v>282648</v>
      </c>
      <c r="H202" s="15" t="n">
        <f aca="false">F202-D202</f>
        <v>477192</v>
      </c>
    </row>
    <row r="203" customFormat="false" ht="15" hidden="false" customHeight="false" outlineLevel="0" collapsed="false">
      <c r="A203" s="38" t="n">
        <v>45835</v>
      </c>
      <c r="B203" s="11" t="n">
        <v>8</v>
      </c>
      <c r="C203" s="38" t="n">
        <v>45887</v>
      </c>
      <c r="D203" s="15" t="n">
        <v>362826.39</v>
      </c>
      <c r="E203" s="15" t="n">
        <v>475422.39</v>
      </c>
      <c r="F203" s="15" t="n">
        <v>680856.39</v>
      </c>
      <c r="G203" s="15" t="n">
        <f aca="false">E203-D203</f>
        <v>112596</v>
      </c>
      <c r="H203" s="15" t="n">
        <f aca="false">F203-D203</f>
        <v>318030</v>
      </c>
    </row>
    <row r="204" customFormat="false" ht="15" hidden="false" customHeight="false" outlineLevel="0" collapsed="false">
      <c r="A204" s="38" t="n">
        <v>45835</v>
      </c>
      <c r="B204" s="11" t="n">
        <v>9</v>
      </c>
      <c r="C204" s="38" t="n">
        <v>45894</v>
      </c>
      <c r="D204" s="15" t="n">
        <v>311687.57</v>
      </c>
      <c r="E204" s="15" t="n">
        <v>457967.57</v>
      </c>
      <c r="F204" s="15" t="n">
        <v>614023.57</v>
      </c>
      <c r="G204" s="15" t="n">
        <f aca="false">E204-D204</f>
        <v>146280</v>
      </c>
      <c r="H204" s="15" t="n">
        <f aca="false">F204-D204</f>
        <v>302336</v>
      </c>
    </row>
    <row r="205" customFormat="false" ht="15" hidden="false" customHeight="false" outlineLevel="0" collapsed="false">
      <c r="A205" s="38" t="n">
        <v>45835</v>
      </c>
      <c r="B205" s="11" t="n">
        <v>10</v>
      </c>
      <c r="C205" s="38" t="n">
        <v>45901</v>
      </c>
      <c r="D205" s="15" t="n">
        <v>270125.1</v>
      </c>
      <c r="E205" s="15" t="n">
        <v>449621.1</v>
      </c>
      <c r="F205" s="15" t="n">
        <v>507101.1</v>
      </c>
      <c r="G205" s="15" t="n">
        <f aca="false">E205-D205</f>
        <v>179496</v>
      </c>
      <c r="H205" s="15" t="n">
        <f aca="false">F205-D205</f>
        <v>236976</v>
      </c>
    </row>
    <row r="206" customFormat="false" ht="15" hidden="false" customHeight="false" outlineLevel="0" collapsed="false">
      <c r="A206" s="38" t="n">
        <v>45835</v>
      </c>
      <c r="B206" s="11" t="n">
        <v>11</v>
      </c>
      <c r="C206" s="38" t="n">
        <v>45908</v>
      </c>
      <c r="D206" s="15" t="n">
        <v>416656.35</v>
      </c>
      <c r="E206" s="15" t="n">
        <v>460636.35</v>
      </c>
      <c r="F206" s="15" t="n">
        <v>635396.35</v>
      </c>
      <c r="G206" s="15" t="n">
        <f aca="false">E206-D206</f>
        <v>43980</v>
      </c>
      <c r="H206" s="15" t="n">
        <f aca="false">F206-D206</f>
        <v>218740</v>
      </c>
    </row>
    <row r="207" customFormat="false" ht="15" hidden="false" customHeight="false" outlineLevel="0" collapsed="false">
      <c r="A207" s="38" t="n">
        <v>45835</v>
      </c>
      <c r="B207" s="11" t="n">
        <v>12</v>
      </c>
      <c r="C207" s="38" t="n">
        <v>45915</v>
      </c>
      <c r="D207" s="15" t="n">
        <v>344089.59</v>
      </c>
      <c r="E207" s="15" t="n">
        <v>421189.59</v>
      </c>
      <c r="F207" s="15" t="n">
        <v>590881.59</v>
      </c>
      <c r="G207" s="15" t="n">
        <f aca="false">E207-D207</f>
        <v>77100</v>
      </c>
      <c r="H207" s="15" t="n">
        <f aca="false">F207-D207</f>
        <v>246792</v>
      </c>
    </row>
    <row r="208" customFormat="false" ht="15" hidden="false" customHeight="false" outlineLevel="0" collapsed="false">
      <c r="A208" s="38" t="n">
        <v>45835</v>
      </c>
      <c r="B208" s="11" t="n">
        <v>13</v>
      </c>
      <c r="C208" s="38" t="n">
        <v>45922</v>
      </c>
      <c r="D208" s="15" t="n">
        <v>461741.36</v>
      </c>
      <c r="E208" s="15" t="n">
        <v>506129.36</v>
      </c>
      <c r="F208" s="15" t="n">
        <v>661829.36</v>
      </c>
      <c r="G208" s="15" t="n">
        <f aca="false">E208-D208</f>
        <v>44388</v>
      </c>
      <c r="H208" s="15" t="n">
        <f aca="false">F208-D208</f>
        <v>200088</v>
      </c>
    </row>
    <row r="209" customFormat="false" ht="15" hidden="false" customHeight="false" outlineLevel="0" collapsed="false">
      <c r="A209" s="38" t="n">
        <v>45842</v>
      </c>
      <c r="B209" s="11" t="n">
        <v>1</v>
      </c>
      <c r="C209" s="38" t="n">
        <v>45845</v>
      </c>
      <c r="D209" s="15" t="n">
        <v>42487.89</v>
      </c>
      <c r="E209" s="15" t="n">
        <v>98935.89</v>
      </c>
      <c r="F209" s="15" t="n">
        <v>456847.89</v>
      </c>
      <c r="G209" s="15" t="n">
        <f aca="false">E209-D209</f>
        <v>56448</v>
      </c>
      <c r="H209" s="15" t="n">
        <f aca="false">F209-D209</f>
        <v>414360</v>
      </c>
    </row>
    <row r="210" customFormat="false" ht="15" hidden="false" customHeight="false" outlineLevel="0" collapsed="false">
      <c r="A210" s="38" t="n">
        <v>45842</v>
      </c>
      <c r="B210" s="11" t="n">
        <v>2</v>
      </c>
      <c r="C210" s="38" t="n">
        <v>45852</v>
      </c>
      <c r="D210" s="15" t="n">
        <v>75293.83</v>
      </c>
      <c r="E210" s="15" t="n">
        <v>230405.83</v>
      </c>
      <c r="F210" s="15" t="n">
        <v>440189.83</v>
      </c>
      <c r="G210" s="15" t="n">
        <f aca="false">E210-D210</f>
        <v>155112</v>
      </c>
      <c r="H210" s="15" t="n">
        <f aca="false">F210-D210</f>
        <v>364896</v>
      </c>
    </row>
    <row r="211" customFormat="false" ht="15" hidden="false" customHeight="false" outlineLevel="0" collapsed="false">
      <c r="A211" s="38" t="n">
        <v>45842</v>
      </c>
      <c r="B211" s="11" t="n">
        <v>3</v>
      </c>
      <c r="C211" s="38" t="n">
        <v>45859</v>
      </c>
      <c r="D211" s="15" t="n">
        <v>82704.02</v>
      </c>
      <c r="E211" s="15" t="n">
        <v>327420.02</v>
      </c>
      <c r="F211" s="15" t="n">
        <v>555444.02</v>
      </c>
      <c r="G211" s="15" t="n">
        <f aca="false">E211-D211</f>
        <v>244716</v>
      </c>
      <c r="H211" s="15" t="n">
        <f aca="false">F211-D211</f>
        <v>472740</v>
      </c>
    </row>
    <row r="212" customFormat="false" ht="15" hidden="false" customHeight="false" outlineLevel="0" collapsed="false">
      <c r="A212" s="38" t="n">
        <v>45842</v>
      </c>
      <c r="B212" s="11" t="n">
        <v>4</v>
      </c>
      <c r="C212" s="38" t="n">
        <v>45866</v>
      </c>
      <c r="D212" s="15" t="n">
        <v>-38211</v>
      </c>
      <c r="E212" s="15" t="n">
        <v>212229</v>
      </c>
      <c r="F212" s="15" t="n">
        <v>435873</v>
      </c>
      <c r="G212" s="15" t="n">
        <f aca="false">E212-D212</f>
        <v>250440</v>
      </c>
      <c r="H212" s="15" t="n">
        <f aca="false">F212-D212</f>
        <v>474084</v>
      </c>
    </row>
    <row r="213" customFormat="false" ht="15" hidden="false" customHeight="false" outlineLevel="0" collapsed="false">
      <c r="A213" s="38" t="n">
        <v>45842</v>
      </c>
      <c r="B213" s="11" t="n">
        <v>5</v>
      </c>
      <c r="C213" s="38" t="n">
        <v>45873</v>
      </c>
      <c r="D213" s="15" t="n">
        <v>101592.15</v>
      </c>
      <c r="E213" s="15" t="n">
        <v>289812.15</v>
      </c>
      <c r="F213" s="15" t="n">
        <v>627036.15</v>
      </c>
      <c r="G213" s="15" t="n">
        <f aca="false">E213-D213</f>
        <v>188220</v>
      </c>
      <c r="H213" s="15" t="n">
        <f aca="false">F213-D213</f>
        <v>525444</v>
      </c>
    </row>
    <row r="214" customFormat="false" ht="15" hidden="false" customHeight="false" outlineLevel="0" collapsed="false">
      <c r="A214" s="38" t="n">
        <v>45842</v>
      </c>
      <c r="B214" s="11" t="n">
        <v>6</v>
      </c>
      <c r="C214" s="38" t="n">
        <v>45880</v>
      </c>
      <c r="D214" s="15" t="n">
        <v>152791.11</v>
      </c>
      <c r="E214" s="15" t="n">
        <v>430123.11</v>
      </c>
      <c r="F214" s="15" t="n">
        <v>629983.11</v>
      </c>
      <c r="G214" s="15" t="n">
        <f aca="false">E214-D214</f>
        <v>277332</v>
      </c>
      <c r="H214" s="15" t="n">
        <f aca="false">F214-D214</f>
        <v>477192</v>
      </c>
    </row>
    <row r="215" customFormat="false" ht="15" hidden="false" customHeight="false" outlineLevel="0" collapsed="false">
      <c r="A215" s="38" t="n">
        <v>45842</v>
      </c>
      <c r="B215" s="11" t="n">
        <v>7</v>
      </c>
      <c r="C215" s="38" t="n">
        <v>45887</v>
      </c>
      <c r="D215" s="15" t="n">
        <v>362826.39</v>
      </c>
      <c r="E215" s="15" t="n">
        <v>466962.39</v>
      </c>
      <c r="F215" s="15" t="n">
        <v>680856.39</v>
      </c>
      <c r="G215" s="15" t="n">
        <f aca="false">E215-D215</f>
        <v>104136</v>
      </c>
      <c r="H215" s="15" t="n">
        <f aca="false">F215-D215</f>
        <v>318030</v>
      </c>
    </row>
    <row r="216" customFormat="false" ht="15" hidden="false" customHeight="false" outlineLevel="0" collapsed="false">
      <c r="A216" s="38" t="n">
        <v>45842</v>
      </c>
      <c r="B216" s="11" t="n">
        <v>8</v>
      </c>
      <c r="C216" s="38" t="n">
        <v>45894</v>
      </c>
      <c r="D216" s="15" t="n">
        <v>311687.57</v>
      </c>
      <c r="E216" s="15" t="n">
        <v>451547.57</v>
      </c>
      <c r="F216" s="15" t="n">
        <v>614023.57</v>
      </c>
      <c r="G216" s="15" t="n">
        <f aca="false">E216-D216</f>
        <v>139860</v>
      </c>
      <c r="H216" s="15" t="n">
        <f aca="false">F216-D216</f>
        <v>302336</v>
      </c>
    </row>
    <row r="217" customFormat="false" ht="15" hidden="false" customHeight="false" outlineLevel="0" collapsed="false">
      <c r="A217" s="38" t="n">
        <v>45842</v>
      </c>
      <c r="B217" s="11" t="n">
        <v>9</v>
      </c>
      <c r="C217" s="38" t="n">
        <v>45901</v>
      </c>
      <c r="D217" s="15" t="n">
        <v>270125.1</v>
      </c>
      <c r="E217" s="15" t="n">
        <v>444173.1</v>
      </c>
      <c r="F217" s="15" t="n">
        <v>507101.1</v>
      </c>
      <c r="G217" s="15" t="n">
        <f aca="false">E217-D217</f>
        <v>174048</v>
      </c>
      <c r="H217" s="15" t="n">
        <f aca="false">F217-D217</f>
        <v>236976</v>
      </c>
    </row>
    <row r="218" customFormat="false" ht="15" hidden="false" customHeight="false" outlineLevel="0" collapsed="false">
      <c r="A218" s="38" t="n">
        <v>45842</v>
      </c>
      <c r="B218" s="11" t="n">
        <v>10</v>
      </c>
      <c r="C218" s="38" t="n">
        <v>45908</v>
      </c>
      <c r="D218" s="15" t="n">
        <v>416656.35</v>
      </c>
      <c r="E218" s="15" t="n">
        <v>457108.35</v>
      </c>
      <c r="F218" s="15" t="n">
        <v>635396.35</v>
      </c>
      <c r="G218" s="15" t="n">
        <f aca="false">E218-D218</f>
        <v>40452</v>
      </c>
      <c r="H218" s="15" t="n">
        <f aca="false">F218-D218</f>
        <v>218740</v>
      </c>
    </row>
    <row r="219" customFormat="false" ht="15" hidden="false" customHeight="false" outlineLevel="0" collapsed="false">
      <c r="A219" s="38" t="n">
        <v>45842</v>
      </c>
      <c r="B219" s="11" t="n">
        <v>11</v>
      </c>
      <c r="C219" s="38" t="n">
        <v>45915</v>
      </c>
      <c r="D219" s="15" t="n">
        <v>344089.59</v>
      </c>
      <c r="E219" s="15" t="n">
        <v>421189.59</v>
      </c>
      <c r="F219" s="15" t="n">
        <v>590881.59</v>
      </c>
      <c r="G219" s="15" t="n">
        <f aca="false">E219-D219</f>
        <v>77100</v>
      </c>
      <c r="H219" s="15" t="n">
        <f aca="false">F219-D219</f>
        <v>246792</v>
      </c>
    </row>
    <row r="220" customFormat="false" ht="15" hidden="false" customHeight="false" outlineLevel="0" collapsed="false">
      <c r="A220" s="38" t="n">
        <v>45842</v>
      </c>
      <c r="B220" s="11" t="n">
        <v>12</v>
      </c>
      <c r="C220" s="38" t="n">
        <v>45922</v>
      </c>
      <c r="D220" s="15" t="n">
        <v>461741.36</v>
      </c>
      <c r="E220" s="15" t="n">
        <v>501473.36</v>
      </c>
      <c r="F220" s="15" t="n">
        <v>661829.36</v>
      </c>
      <c r="G220" s="15" t="n">
        <f aca="false">E220-D220</f>
        <v>39732</v>
      </c>
      <c r="H220" s="15" t="n">
        <f aca="false">F220-D220</f>
        <v>200088</v>
      </c>
    </row>
    <row r="221" customFormat="false" ht="15" hidden="false" customHeight="false" outlineLevel="0" collapsed="false">
      <c r="A221" s="38" t="n">
        <v>45842</v>
      </c>
      <c r="B221" s="11" t="n">
        <v>13</v>
      </c>
      <c r="C221" s="38" t="n">
        <v>45929</v>
      </c>
      <c r="D221" s="15" t="n">
        <v>243560.28</v>
      </c>
      <c r="E221" s="15" t="n">
        <v>271220.28</v>
      </c>
      <c r="F221" s="15" t="n">
        <v>416964.28</v>
      </c>
      <c r="G221" s="15" t="n">
        <f aca="false">E221-D221</f>
        <v>27660</v>
      </c>
      <c r="H221" s="15" t="n">
        <f aca="false">F221-D221</f>
        <v>173404</v>
      </c>
    </row>
    <row r="222" customFormat="false" ht="15" hidden="false" customHeight="false" outlineLevel="0" collapsed="false">
      <c r="A222" s="38" t="n">
        <v>45849</v>
      </c>
      <c r="B222" s="11" t="n">
        <v>1</v>
      </c>
      <c r="C222" s="38" t="n">
        <v>45852</v>
      </c>
      <c r="D222" s="15" t="n">
        <v>75293.83</v>
      </c>
      <c r="E222" s="15" t="n">
        <v>195989.83</v>
      </c>
      <c r="F222" s="15" t="n">
        <v>440189.83</v>
      </c>
      <c r="G222" s="15" t="n">
        <f aca="false">E222-D222</f>
        <v>120696</v>
      </c>
      <c r="H222" s="15" t="n">
        <f aca="false">F222-D222</f>
        <v>364896</v>
      </c>
    </row>
    <row r="223" customFormat="false" ht="15" hidden="false" customHeight="false" outlineLevel="0" collapsed="false">
      <c r="A223" s="38" t="n">
        <v>45849</v>
      </c>
      <c r="B223" s="11" t="n">
        <v>2</v>
      </c>
      <c r="C223" s="38" t="n">
        <v>45859</v>
      </c>
      <c r="D223" s="15" t="n">
        <v>82704.02</v>
      </c>
      <c r="E223" s="15" t="n">
        <v>307512.02</v>
      </c>
      <c r="F223" s="15" t="n">
        <v>555444.02</v>
      </c>
      <c r="G223" s="15" t="n">
        <f aca="false">E223-D223</f>
        <v>224808</v>
      </c>
      <c r="H223" s="15" t="n">
        <f aca="false">F223-D223</f>
        <v>472740</v>
      </c>
    </row>
    <row r="224" customFormat="false" ht="15" hidden="false" customHeight="false" outlineLevel="0" collapsed="false">
      <c r="A224" s="38" t="n">
        <v>45849</v>
      </c>
      <c r="B224" s="11" t="n">
        <v>3</v>
      </c>
      <c r="C224" s="38" t="n">
        <v>45866</v>
      </c>
      <c r="D224" s="15" t="n">
        <v>-38211</v>
      </c>
      <c r="E224" s="15" t="n">
        <v>203613</v>
      </c>
      <c r="F224" s="15" t="n">
        <v>435873</v>
      </c>
      <c r="G224" s="15" t="n">
        <f aca="false">E224-D224</f>
        <v>241824</v>
      </c>
      <c r="H224" s="15" t="n">
        <f aca="false">F224-D224</f>
        <v>474084</v>
      </c>
    </row>
    <row r="225" customFormat="false" ht="15" hidden="false" customHeight="false" outlineLevel="0" collapsed="false">
      <c r="A225" s="38" t="n">
        <v>45849</v>
      </c>
      <c r="B225" s="11" t="n">
        <v>4</v>
      </c>
      <c r="C225" s="38" t="n">
        <v>45873</v>
      </c>
      <c r="D225" s="15" t="n">
        <v>101592.15</v>
      </c>
      <c r="E225" s="15" t="n">
        <v>289812.15</v>
      </c>
      <c r="F225" s="15" t="n">
        <v>627036.15</v>
      </c>
      <c r="G225" s="15" t="n">
        <f aca="false">E225-D225</f>
        <v>188220</v>
      </c>
      <c r="H225" s="15" t="n">
        <f aca="false">F225-D225</f>
        <v>525444</v>
      </c>
    </row>
    <row r="226" customFormat="false" ht="15" hidden="false" customHeight="false" outlineLevel="0" collapsed="false">
      <c r="A226" s="38" t="n">
        <v>45849</v>
      </c>
      <c r="B226" s="11" t="n">
        <v>5</v>
      </c>
      <c r="C226" s="38" t="n">
        <v>45880</v>
      </c>
      <c r="D226" s="15" t="n">
        <v>152791.11</v>
      </c>
      <c r="E226" s="15" t="n">
        <v>410791.11</v>
      </c>
      <c r="F226" s="15" t="n">
        <v>629983.11</v>
      </c>
      <c r="G226" s="15" t="n">
        <f aca="false">E226-D226</f>
        <v>258000</v>
      </c>
      <c r="H226" s="15" t="n">
        <f aca="false">F226-D226</f>
        <v>477192</v>
      </c>
    </row>
    <row r="227" customFormat="false" ht="15" hidden="false" customHeight="false" outlineLevel="0" collapsed="false">
      <c r="A227" s="38" t="n">
        <v>45849</v>
      </c>
      <c r="B227" s="11" t="n">
        <v>6</v>
      </c>
      <c r="C227" s="38" t="n">
        <v>45887</v>
      </c>
      <c r="D227" s="15" t="n">
        <v>362826.39</v>
      </c>
      <c r="E227" s="15" t="n">
        <v>466962.39</v>
      </c>
      <c r="F227" s="15" t="n">
        <v>680856.39</v>
      </c>
      <c r="G227" s="15" t="n">
        <f aca="false">E227-D227</f>
        <v>104136</v>
      </c>
      <c r="H227" s="15" t="n">
        <f aca="false">F227-D227</f>
        <v>318030</v>
      </c>
    </row>
    <row r="228" customFormat="false" ht="15" hidden="false" customHeight="false" outlineLevel="0" collapsed="false">
      <c r="A228" s="38" t="n">
        <v>45849</v>
      </c>
      <c r="B228" s="11" t="n">
        <v>7</v>
      </c>
      <c r="C228" s="38" t="n">
        <v>45894</v>
      </c>
      <c r="D228" s="15" t="n">
        <v>311687.57</v>
      </c>
      <c r="E228" s="15" t="n">
        <v>430787.57</v>
      </c>
      <c r="F228" s="15" t="n">
        <v>614023.57</v>
      </c>
      <c r="G228" s="15" t="n">
        <f aca="false">E228-D228</f>
        <v>119100</v>
      </c>
      <c r="H228" s="15" t="n">
        <f aca="false">F228-D228</f>
        <v>302336</v>
      </c>
    </row>
    <row r="229" customFormat="false" ht="15" hidden="false" customHeight="false" outlineLevel="0" collapsed="false">
      <c r="A229" s="38" t="n">
        <v>45849</v>
      </c>
      <c r="B229" s="11" t="n">
        <v>8</v>
      </c>
      <c r="C229" s="38" t="n">
        <v>45901</v>
      </c>
      <c r="D229" s="15" t="n">
        <v>270125.1</v>
      </c>
      <c r="E229" s="15" t="n">
        <v>414869.1</v>
      </c>
      <c r="F229" s="15" t="n">
        <v>507101.1</v>
      </c>
      <c r="G229" s="15" t="n">
        <f aca="false">E229-D229</f>
        <v>144744</v>
      </c>
      <c r="H229" s="15" t="n">
        <f aca="false">F229-D229</f>
        <v>236976</v>
      </c>
    </row>
    <row r="230" customFormat="false" ht="15" hidden="false" customHeight="false" outlineLevel="0" collapsed="false">
      <c r="A230" s="38" t="n">
        <v>45849</v>
      </c>
      <c r="B230" s="11" t="n">
        <v>9</v>
      </c>
      <c r="C230" s="38" t="n">
        <v>45908</v>
      </c>
      <c r="D230" s="15" t="n">
        <v>416656.35</v>
      </c>
      <c r="E230" s="15" t="n">
        <v>457108.35</v>
      </c>
      <c r="F230" s="15" t="n">
        <v>635396.35</v>
      </c>
      <c r="G230" s="15" t="n">
        <f aca="false">E230-D230</f>
        <v>40452</v>
      </c>
      <c r="H230" s="15" t="n">
        <f aca="false">F230-D230</f>
        <v>218740</v>
      </c>
    </row>
    <row r="231" customFormat="false" ht="15" hidden="false" customHeight="false" outlineLevel="0" collapsed="false">
      <c r="A231" s="38" t="n">
        <v>45849</v>
      </c>
      <c r="B231" s="11" t="n">
        <v>10</v>
      </c>
      <c r="C231" s="38" t="n">
        <v>45915</v>
      </c>
      <c r="D231" s="15" t="n">
        <v>344089.59</v>
      </c>
      <c r="E231" s="15" t="n">
        <v>398593.59</v>
      </c>
      <c r="F231" s="15" t="n">
        <v>590881.59</v>
      </c>
      <c r="G231" s="15" t="n">
        <f aca="false">E231-D231</f>
        <v>54504</v>
      </c>
      <c r="H231" s="15" t="n">
        <f aca="false">F231-D231</f>
        <v>246792</v>
      </c>
    </row>
    <row r="232" customFormat="false" ht="15" hidden="false" customHeight="false" outlineLevel="0" collapsed="false">
      <c r="A232" s="38" t="n">
        <v>45849</v>
      </c>
      <c r="B232" s="11" t="n">
        <v>11</v>
      </c>
      <c r="C232" s="38" t="n">
        <v>45922</v>
      </c>
      <c r="D232" s="15" t="n">
        <v>461741.36</v>
      </c>
      <c r="E232" s="15" t="n">
        <v>475073.36</v>
      </c>
      <c r="F232" s="15" t="n">
        <v>661829.36</v>
      </c>
      <c r="G232" s="15" t="n">
        <f aca="false">E232-D232</f>
        <v>13332</v>
      </c>
      <c r="H232" s="15" t="n">
        <f aca="false">F232-D232</f>
        <v>200088</v>
      </c>
    </row>
    <row r="233" customFormat="false" ht="15" hidden="false" customHeight="false" outlineLevel="0" collapsed="false">
      <c r="A233" s="38" t="n">
        <v>45849</v>
      </c>
      <c r="B233" s="11" t="n">
        <v>12</v>
      </c>
      <c r="C233" s="38" t="n">
        <v>45929</v>
      </c>
      <c r="D233" s="15" t="n">
        <v>243560.28</v>
      </c>
      <c r="E233" s="15" t="n">
        <v>265064.28</v>
      </c>
      <c r="F233" s="15" t="n">
        <v>416964.28</v>
      </c>
      <c r="G233" s="15" t="n">
        <f aca="false">E233-D233</f>
        <v>21504</v>
      </c>
      <c r="H233" s="15" t="n">
        <f aca="false">F233-D233</f>
        <v>173404</v>
      </c>
    </row>
    <row r="234" customFormat="false" ht="15" hidden="false" customHeight="false" outlineLevel="0" collapsed="false">
      <c r="A234" s="38" t="n">
        <v>45849</v>
      </c>
      <c r="B234" s="11" t="n">
        <v>13</v>
      </c>
      <c r="C234" s="38" t="n">
        <v>45936</v>
      </c>
      <c r="D234" s="15" t="n">
        <v>209761.94</v>
      </c>
      <c r="E234" s="15" t="n">
        <v>269677.94</v>
      </c>
      <c r="F234" s="15" t="n">
        <v>414207.94</v>
      </c>
      <c r="G234" s="15" t="n">
        <f aca="false">E234-D234</f>
        <v>59916</v>
      </c>
      <c r="H234" s="15" t="n">
        <f aca="false">F234-D234</f>
        <v>204446</v>
      </c>
    </row>
    <row r="235" customFormat="false" ht="15" hidden="false" customHeight="false" outlineLevel="0" collapsed="false">
      <c r="A235" s="38" t="n">
        <v>45856</v>
      </c>
      <c r="B235" s="11" t="n">
        <v>1</v>
      </c>
      <c r="C235" s="38" t="n">
        <v>45859</v>
      </c>
      <c r="D235" s="15" t="n">
        <v>82704.02</v>
      </c>
      <c r="E235" s="15" t="n">
        <v>293004.02</v>
      </c>
      <c r="F235" s="15" t="n">
        <v>555444.02</v>
      </c>
      <c r="G235" s="15" t="n">
        <f aca="false">E235-D235</f>
        <v>210300</v>
      </c>
      <c r="H235" s="15" t="n">
        <f aca="false">F235-D235</f>
        <v>472740</v>
      </c>
    </row>
    <row r="236" customFormat="false" ht="15" hidden="false" customHeight="false" outlineLevel="0" collapsed="false">
      <c r="A236" s="38" t="n">
        <v>45856</v>
      </c>
      <c r="B236" s="11" t="n">
        <v>2</v>
      </c>
      <c r="C236" s="38" t="n">
        <v>45866</v>
      </c>
      <c r="D236" s="15" t="n">
        <v>-38211</v>
      </c>
      <c r="E236" s="15" t="n">
        <v>178785</v>
      </c>
      <c r="F236" s="15" t="n">
        <v>435873</v>
      </c>
      <c r="G236" s="15" t="n">
        <f aca="false">E236-D236</f>
        <v>216996</v>
      </c>
      <c r="H236" s="15" t="n">
        <f aca="false">F236-D236</f>
        <v>474084</v>
      </c>
    </row>
    <row r="237" customFormat="false" ht="15" hidden="false" customHeight="false" outlineLevel="0" collapsed="false">
      <c r="A237" s="38" t="n">
        <v>45856</v>
      </c>
      <c r="B237" s="11" t="n">
        <v>3</v>
      </c>
      <c r="C237" s="38" t="n">
        <v>45873</v>
      </c>
      <c r="D237" s="15" t="n">
        <v>101592.15</v>
      </c>
      <c r="E237" s="15" t="n">
        <v>289812.15</v>
      </c>
      <c r="F237" s="15" t="n">
        <v>627036.15</v>
      </c>
      <c r="G237" s="15" t="n">
        <f aca="false">E237-D237</f>
        <v>188220</v>
      </c>
      <c r="H237" s="15" t="n">
        <f aca="false">F237-D237</f>
        <v>525444</v>
      </c>
    </row>
    <row r="238" customFormat="false" ht="15" hidden="false" customHeight="false" outlineLevel="0" collapsed="false">
      <c r="A238" s="38" t="n">
        <v>45856</v>
      </c>
      <c r="B238" s="11" t="n">
        <v>4</v>
      </c>
      <c r="C238" s="38" t="n">
        <v>45880</v>
      </c>
      <c r="D238" s="15" t="n">
        <v>152791.11</v>
      </c>
      <c r="E238" s="15" t="n">
        <v>410791.11</v>
      </c>
      <c r="F238" s="15" t="n">
        <v>629983.11</v>
      </c>
      <c r="G238" s="15" t="n">
        <f aca="false">E238-D238</f>
        <v>258000</v>
      </c>
      <c r="H238" s="15" t="n">
        <f aca="false">F238-D238</f>
        <v>477192</v>
      </c>
    </row>
    <row r="239" customFormat="false" ht="15" hidden="false" customHeight="false" outlineLevel="0" collapsed="false">
      <c r="A239" s="38" t="n">
        <v>45856</v>
      </c>
      <c r="B239" s="11" t="n">
        <v>5</v>
      </c>
      <c r="C239" s="38" t="n">
        <v>45887</v>
      </c>
      <c r="D239" s="15" t="n">
        <v>362826.39</v>
      </c>
      <c r="E239" s="15" t="n">
        <v>457434.39</v>
      </c>
      <c r="F239" s="15" t="n">
        <v>680856.39</v>
      </c>
      <c r="G239" s="15" t="n">
        <f aca="false">E239-D239</f>
        <v>94608</v>
      </c>
      <c r="H239" s="15" t="n">
        <f aca="false">F239-D239</f>
        <v>318030</v>
      </c>
    </row>
    <row r="240" customFormat="false" ht="15" hidden="false" customHeight="false" outlineLevel="0" collapsed="false">
      <c r="A240" s="38" t="n">
        <v>45856</v>
      </c>
      <c r="B240" s="11" t="n">
        <v>6</v>
      </c>
      <c r="C240" s="38" t="n">
        <v>45894</v>
      </c>
      <c r="D240" s="15" t="n">
        <v>311687.57</v>
      </c>
      <c r="E240" s="15" t="n">
        <v>430787.57</v>
      </c>
      <c r="F240" s="15" t="n">
        <v>614023.57</v>
      </c>
      <c r="G240" s="15" t="n">
        <f aca="false">E240-D240</f>
        <v>119100</v>
      </c>
      <c r="H240" s="15" t="n">
        <f aca="false">F240-D240</f>
        <v>302336</v>
      </c>
    </row>
    <row r="241" customFormat="false" ht="15" hidden="false" customHeight="false" outlineLevel="0" collapsed="false">
      <c r="A241" s="38" t="n">
        <v>45856</v>
      </c>
      <c r="B241" s="11" t="n">
        <v>7</v>
      </c>
      <c r="C241" s="38" t="n">
        <v>45901</v>
      </c>
      <c r="D241" s="15" t="n">
        <v>270125.1</v>
      </c>
      <c r="E241" s="15" t="n">
        <v>404609.1</v>
      </c>
      <c r="F241" s="15" t="n">
        <v>507101.1</v>
      </c>
      <c r="G241" s="15" t="n">
        <f aca="false">E241-D241</f>
        <v>134484</v>
      </c>
      <c r="H241" s="15" t="n">
        <f aca="false">F241-D241</f>
        <v>236976</v>
      </c>
    </row>
    <row r="242" customFormat="false" ht="15" hidden="false" customHeight="false" outlineLevel="0" collapsed="false">
      <c r="A242" s="38" t="n">
        <v>45856</v>
      </c>
      <c r="B242" s="11" t="n">
        <v>8</v>
      </c>
      <c r="C242" s="38" t="n">
        <v>45908</v>
      </c>
      <c r="D242" s="15" t="n">
        <v>416656.35</v>
      </c>
      <c r="E242" s="15" t="n">
        <v>457108.35</v>
      </c>
      <c r="F242" s="15" t="n">
        <v>635396.35</v>
      </c>
      <c r="G242" s="15" t="n">
        <f aca="false">E242-D242</f>
        <v>40452</v>
      </c>
      <c r="H242" s="15" t="n">
        <f aca="false">F242-D242</f>
        <v>218740</v>
      </c>
    </row>
    <row r="243" customFormat="false" ht="15" hidden="false" customHeight="false" outlineLevel="0" collapsed="false">
      <c r="A243" s="38" t="n">
        <v>45856</v>
      </c>
      <c r="B243" s="11" t="n">
        <v>9</v>
      </c>
      <c r="C243" s="38" t="n">
        <v>45915</v>
      </c>
      <c r="D243" s="15" t="n">
        <v>344089.59</v>
      </c>
      <c r="E243" s="15" t="n">
        <v>398593.59</v>
      </c>
      <c r="F243" s="15" t="n">
        <v>590881.59</v>
      </c>
      <c r="G243" s="15" t="n">
        <f aca="false">E243-D243</f>
        <v>54504</v>
      </c>
      <c r="H243" s="15" t="n">
        <f aca="false">F243-D243</f>
        <v>246792</v>
      </c>
    </row>
    <row r="244" customFormat="false" ht="15" hidden="false" customHeight="false" outlineLevel="0" collapsed="false">
      <c r="A244" s="38" t="n">
        <v>45856</v>
      </c>
      <c r="B244" s="11" t="n">
        <v>10</v>
      </c>
      <c r="C244" s="38" t="n">
        <v>45922</v>
      </c>
      <c r="D244" s="15" t="n">
        <v>461741.36</v>
      </c>
      <c r="E244" s="15" t="n">
        <v>451721.36</v>
      </c>
      <c r="F244" s="15" t="n">
        <v>661829.36</v>
      </c>
      <c r="G244" s="15" t="n">
        <f aca="false">E244-D244</f>
        <v>-10020</v>
      </c>
      <c r="H244" s="15" t="n">
        <f aca="false">F244-D244</f>
        <v>200088</v>
      </c>
    </row>
    <row r="245" customFormat="false" ht="15" hidden="false" customHeight="false" outlineLevel="0" collapsed="false">
      <c r="A245" s="38" t="n">
        <v>45856</v>
      </c>
      <c r="B245" s="11" t="n">
        <v>11</v>
      </c>
      <c r="C245" s="38" t="n">
        <v>45929</v>
      </c>
      <c r="D245" s="15" t="n">
        <v>243560.28</v>
      </c>
      <c r="E245" s="15" t="n">
        <v>265064.28</v>
      </c>
      <c r="F245" s="15" t="n">
        <v>416964.28</v>
      </c>
      <c r="G245" s="15" t="n">
        <f aca="false">E245-D245</f>
        <v>21504</v>
      </c>
      <c r="H245" s="15" t="n">
        <f aca="false">F245-D245</f>
        <v>173404</v>
      </c>
    </row>
    <row r="246" customFormat="false" ht="15" hidden="false" customHeight="false" outlineLevel="0" collapsed="false">
      <c r="A246" s="38" t="n">
        <v>45856</v>
      </c>
      <c r="B246" s="11" t="n">
        <v>12</v>
      </c>
      <c r="C246" s="38" t="n">
        <v>45936</v>
      </c>
      <c r="D246" s="15" t="n">
        <v>209761.94</v>
      </c>
      <c r="E246" s="15" t="n">
        <v>269677.94</v>
      </c>
      <c r="F246" s="15" t="n">
        <v>414207.94</v>
      </c>
      <c r="G246" s="15" t="n">
        <f aca="false">E246-D246</f>
        <v>59916</v>
      </c>
      <c r="H246" s="15" t="n">
        <f aca="false">F246-D246</f>
        <v>204446</v>
      </c>
    </row>
    <row r="247" customFormat="false" ht="15" hidden="false" customHeight="false" outlineLevel="0" collapsed="false">
      <c r="A247" s="38" t="n">
        <v>45856</v>
      </c>
      <c r="B247" s="11" t="n">
        <v>13</v>
      </c>
      <c r="C247" s="38" t="n">
        <v>45943</v>
      </c>
      <c r="D247" s="15" t="n">
        <v>201727.8</v>
      </c>
      <c r="E247" s="15" t="n">
        <v>204235.8</v>
      </c>
      <c r="F247" s="15" t="n">
        <v>343987.8</v>
      </c>
      <c r="G247" s="15" t="n">
        <f aca="false">E247-D247</f>
        <v>2508</v>
      </c>
      <c r="H247" s="15" t="n">
        <f aca="false">F247-D247</f>
        <v>142260</v>
      </c>
    </row>
    <row r="248" customFormat="false" ht="15" hidden="false" customHeight="false" outlineLevel="0" collapsed="false">
      <c r="A248" s="38" t="n">
        <v>45863</v>
      </c>
      <c r="B248" s="11" t="n">
        <v>1</v>
      </c>
      <c r="C248" s="38" t="n">
        <v>45866</v>
      </c>
      <c r="D248" s="15" t="n">
        <v>-38211</v>
      </c>
      <c r="E248" s="15" t="n">
        <v>150789</v>
      </c>
      <c r="F248" s="15" t="n">
        <v>435873</v>
      </c>
      <c r="G248" s="15" t="n">
        <f aca="false">E248-D248</f>
        <v>189000</v>
      </c>
      <c r="H248" s="15" t="n">
        <f aca="false">F248-D248</f>
        <v>474084</v>
      </c>
    </row>
    <row r="249" customFormat="false" ht="15" hidden="false" customHeight="false" outlineLevel="0" collapsed="false">
      <c r="A249" s="38" t="n">
        <v>45863</v>
      </c>
      <c r="B249" s="11" t="n">
        <v>2</v>
      </c>
      <c r="C249" s="38" t="n">
        <v>45873</v>
      </c>
      <c r="D249" s="15" t="n">
        <v>101592.15</v>
      </c>
      <c r="E249" s="15" t="n">
        <v>295296.15</v>
      </c>
      <c r="F249" s="15" t="n">
        <v>627036.15</v>
      </c>
      <c r="G249" s="15" t="n">
        <f aca="false">E249-D249</f>
        <v>193704</v>
      </c>
      <c r="H249" s="15" t="n">
        <f aca="false">F249-D249</f>
        <v>525444</v>
      </c>
    </row>
    <row r="250" customFormat="false" ht="15" hidden="false" customHeight="false" outlineLevel="0" collapsed="false">
      <c r="A250" s="38" t="n">
        <v>45863</v>
      </c>
      <c r="B250" s="11" t="n">
        <v>3</v>
      </c>
      <c r="C250" s="38" t="n">
        <v>45880</v>
      </c>
      <c r="D250" s="15" t="n">
        <v>152791.11</v>
      </c>
      <c r="E250" s="15" t="n">
        <v>416275.11</v>
      </c>
      <c r="F250" s="15" t="n">
        <v>629983.11</v>
      </c>
      <c r="G250" s="15" t="n">
        <f aca="false">E250-D250</f>
        <v>263484</v>
      </c>
      <c r="H250" s="15" t="n">
        <f aca="false">F250-D250</f>
        <v>477192</v>
      </c>
    </row>
    <row r="251" customFormat="false" ht="15" hidden="false" customHeight="false" outlineLevel="0" collapsed="false">
      <c r="A251" s="38" t="n">
        <v>45863</v>
      </c>
      <c r="B251" s="11" t="n">
        <v>4</v>
      </c>
      <c r="C251" s="38" t="n">
        <v>45887</v>
      </c>
      <c r="D251" s="15" t="n">
        <v>362826.39</v>
      </c>
      <c r="E251" s="15" t="n">
        <v>459810.39</v>
      </c>
      <c r="F251" s="15" t="n">
        <v>680856.39</v>
      </c>
      <c r="G251" s="15" t="n">
        <f aca="false">E251-D251</f>
        <v>96984</v>
      </c>
      <c r="H251" s="15" t="n">
        <f aca="false">F251-D251</f>
        <v>318030</v>
      </c>
    </row>
    <row r="252" customFormat="false" ht="15" hidden="false" customHeight="false" outlineLevel="0" collapsed="false">
      <c r="A252" s="38" t="n">
        <v>45863</v>
      </c>
      <c r="B252" s="11" t="n">
        <v>5</v>
      </c>
      <c r="C252" s="38" t="n">
        <v>45894</v>
      </c>
      <c r="D252" s="15" t="n">
        <v>311687.57</v>
      </c>
      <c r="E252" s="15" t="n">
        <v>442871.57</v>
      </c>
      <c r="F252" s="15" t="n">
        <v>614023.57</v>
      </c>
      <c r="G252" s="15" t="n">
        <f aca="false">E252-D252</f>
        <v>131184</v>
      </c>
      <c r="H252" s="15" t="n">
        <f aca="false">F252-D252</f>
        <v>302336</v>
      </c>
    </row>
    <row r="253" customFormat="false" ht="15" hidden="false" customHeight="false" outlineLevel="0" collapsed="false">
      <c r="A253" s="38" t="n">
        <v>45863</v>
      </c>
      <c r="B253" s="11" t="n">
        <v>6</v>
      </c>
      <c r="C253" s="38" t="n">
        <v>45901</v>
      </c>
      <c r="D253" s="15" t="n">
        <v>270125.1</v>
      </c>
      <c r="E253" s="15" t="n">
        <v>404609.1</v>
      </c>
      <c r="F253" s="15" t="n">
        <v>507101.1</v>
      </c>
      <c r="G253" s="15" t="n">
        <f aca="false">E253-D253</f>
        <v>134484</v>
      </c>
      <c r="H253" s="15" t="n">
        <f aca="false">F253-D253</f>
        <v>236976</v>
      </c>
    </row>
    <row r="254" customFormat="false" ht="15" hidden="false" customHeight="false" outlineLevel="0" collapsed="false">
      <c r="A254" s="38" t="n">
        <v>45863</v>
      </c>
      <c r="B254" s="11" t="n">
        <v>7</v>
      </c>
      <c r="C254" s="38" t="n">
        <v>45908</v>
      </c>
      <c r="D254" s="15" t="n">
        <v>416656.35</v>
      </c>
      <c r="E254" s="15" t="n">
        <v>457108.35</v>
      </c>
      <c r="F254" s="15" t="n">
        <v>635396.35</v>
      </c>
      <c r="G254" s="15" t="n">
        <f aca="false">E254-D254</f>
        <v>40452</v>
      </c>
      <c r="H254" s="15" t="n">
        <f aca="false">F254-D254</f>
        <v>218740</v>
      </c>
    </row>
    <row r="255" customFormat="false" ht="15" hidden="false" customHeight="false" outlineLevel="0" collapsed="false">
      <c r="A255" s="38" t="n">
        <v>45863</v>
      </c>
      <c r="B255" s="11" t="n">
        <v>8</v>
      </c>
      <c r="C255" s="38" t="n">
        <v>45915</v>
      </c>
      <c r="D255" s="15" t="n">
        <v>344089.59</v>
      </c>
      <c r="E255" s="15" t="n">
        <v>398593.59</v>
      </c>
      <c r="F255" s="15" t="n">
        <v>590881.59</v>
      </c>
      <c r="G255" s="15" t="n">
        <f aca="false">E255-D255</f>
        <v>54504</v>
      </c>
      <c r="H255" s="15" t="n">
        <f aca="false">F255-D255</f>
        <v>246792</v>
      </c>
    </row>
    <row r="256" customFormat="false" ht="15" hidden="false" customHeight="false" outlineLevel="0" collapsed="false">
      <c r="A256" s="38" t="n">
        <v>45863</v>
      </c>
      <c r="B256" s="11" t="n">
        <v>9</v>
      </c>
      <c r="C256" s="38" t="n">
        <v>45922</v>
      </c>
      <c r="D256" s="15" t="n">
        <v>461741.36</v>
      </c>
      <c r="E256" s="15" t="n">
        <v>451721.36</v>
      </c>
      <c r="F256" s="15" t="n">
        <v>661829.36</v>
      </c>
      <c r="G256" s="15" t="n">
        <f aca="false">E256-D256</f>
        <v>-10020</v>
      </c>
      <c r="H256" s="15" t="n">
        <f aca="false">F256-D256</f>
        <v>200088</v>
      </c>
    </row>
    <row r="257" customFormat="false" ht="15" hidden="false" customHeight="false" outlineLevel="0" collapsed="false">
      <c r="A257" s="38" t="n">
        <v>45863</v>
      </c>
      <c r="B257" s="11" t="n">
        <v>10</v>
      </c>
      <c r="C257" s="38" t="n">
        <v>45929</v>
      </c>
      <c r="D257" s="15" t="n">
        <v>243560.28</v>
      </c>
      <c r="E257" s="15" t="n">
        <v>280640.28</v>
      </c>
      <c r="F257" s="15" t="n">
        <v>416964.28</v>
      </c>
      <c r="G257" s="15" t="n">
        <f aca="false">E257-D257</f>
        <v>37080</v>
      </c>
      <c r="H257" s="15" t="n">
        <f aca="false">F257-D257</f>
        <v>173404</v>
      </c>
    </row>
    <row r="258" customFormat="false" ht="15" hidden="false" customHeight="false" outlineLevel="0" collapsed="false">
      <c r="A258" s="38" t="n">
        <v>45863</v>
      </c>
      <c r="B258" s="11" t="n">
        <v>11</v>
      </c>
      <c r="C258" s="38" t="n">
        <v>45936</v>
      </c>
      <c r="D258" s="15" t="n">
        <v>209761.94</v>
      </c>
      <c r="E258" s="15" t="n">
        <v>269677.94</v>
      </c>
      <c r="F258" s="15" t="n">
        <v>414207.94</v>
      </c>
      <c r="G258" s="15" t="n">
        <f aca="false">E258-D258</f>
        <v>59916</v>
      </c>
      <c r="H258" s="15" t="n">
        <f aca="false">F258-D258</f>
        <v>204446</v>
      </c>
    </row>
    <row r="259" customFormat="false" ht="15" hidden="false" customHeight="false" outlineLevel="0" collapsed="false">
      <c r="A259" s="38" t="n">
        <v>45863</v>
      </c>
      <c r="B259" s="11" t="n">
        <v>12</v>
      </c>
      <c r="C259" s="38" t="n">
        <v>45943</v>
      </c>
      <c r="D259" s="15" t="n">
        <v>201727.8</v>
      </c>
      <c r="E259" s="15" t="n">
        <v>209203.8</v>
      </c>
      <c r="F259" s="15" t="n">
        <v>343987.8</v>
      </c>
      <c r="G259" s="15" t="n">
        <f aca="false">E259-D259</f>
        <v>7476</v>
      </c>
      <c r="H259" s="15" t="n">
        <f aca="false">F259-D259</f>
        <v>142260</v>
      </c>
    </row>
    <row r="260" customFormat="false" ht="15" hidden="false" customHeight="false" outlineLevel="0" collapsed="false">
      <c r="A260" s="38" t="n">
        <v>45863</v>
      </c>
      <c r="B260" s="11" t="n">
        <v>13</v>
      </c>
      <c r="C260" s="38" t="n">
        <v>45950</v>
      </c>
      <c r="D260" s="15" t="n">
        <v>154962.55</v>
      </c>
      <c r="E260" s="15" t="n">
        <v>243726.55</v>
      </c>
      <c r="F260" s="15" t="n">
        <v>377454.55</v>
      </c>
      <c r="G260" s="15" t="n">
        <f aca="false">E260-D260</f>
        <v>88764</v>
      </c>
      <c r="H260" s="15" t="n">
        <f aca="false">F260-D260</f>
        <v>222492</v>
      </c>
    </row>
    <row r="261" customFormat="false" ht="15" hidden="false" customHeight="false" outlineLevel="0" collapsed="false">
      <c r="A261" s="38" t="n">
        <v>45870</v>
      </c>
      <c r="B261" s="11" t="n">
        <v>1</v>
      </c>
      <c r="C261" s="38" t="n">
        <v>45873</v>
      </c>
      <c r="D261" s="15" t="n">
        <v>101592.15</v>
      </c>
      <c r="E261" s="15" t="n">
        <v>221988.15</v>
      </c>
      <c r="F261" s="15" t="n">
        <v>627036.15</v>
      </c>
      <c r="G261" s="15" t="n">
        <f aca="false">E261-D261</f>
        <v>120396</v>
      </c>
      <c r="H261" s="15" t="n">
        <f aca="false">F261-D261</f>
        <v>525444</v>
      </c>
    </row>
    <row r="262" customFormat="false" ht="15" hidden="false" customHeight="false" outlineLevel="0" collapsed="false">
      <c r="A262" s="38" t="n">
        <v>45870</v>
      </c>
      <c r="B262" s="11" t="n">
        <v>2</v>
      </c>
      <c r="C262" s="38" t="n">
        <v>45880</v>
      </c>
      <c r="D262" s="15" t="n">
        <v>152791.11</v>
      </c>
      <c r="E262" s="15" t="n">
        <v>332587.11</v>
      </c>
      <c r="F262" s="15" t="n">
        <v>629983.11</v>
      </c>
      <c r="G262" s="15" t="n">
        <f aca="false">E262-D262</f>
        <v>179796</v>
      </c>
      <c r="H262" s="15" t="n">
        <f aca="false">F262-D262</f>
        <v>477192</v>
      </c>
    </row>
    <row r="263" customFormat="false" ht="15" hidden="false" customHeight="false" outlineLevel="0" collapsed="false">
      <c r="A263" s="38" t="n">
        <v>45870</v>
      </c>
      <c r="B263" s="11" t="n">
        <v>3</v>
      </c>
      <c r="C263" s="38" t="n">
        <v>45887</v>
      </c>
      <c r="D263" s="15" t="n">
        <v>362826.39</v>
      </c>
      <c r="E263" s="15" t="n">
        <v>457434.39</v>
      </c>
      <c r="F263" s="15" t="n">
        <v>680856.39</v>
      </c>
      <c r="G263" s="15" t="n">
        <f aca="false">E263-D263</f>
        <v>94608</v>
      </c>
      <c r="H263" s="15" t="n">
        <f aca="false">F263-D263</f>
        <v>318030</v>
      </c>
    </row>
    <row r="264" customFormat="false" ht="15" hidden="false" customHeight="false" outlineLevel="0" collapsed="false">
      <c r="A264" s="38" t="n">
        <v>45870</v>
      </c>
      <c r="B264" s="11" t="n">
        <v>4</v>
      </c>
      <c r="C264" s="38" t="n">
        <v>45894</v>
      </c>
      <c r="D264" s="15" t="n">
        <v>311687.57</v>
      </c>
      <c r="E264" s="15" t="n">
        <v>442871.57</v>
      </c>
      <c r="F264" s="15" t="n">
        <v>614023.57</v>
      </c>
      <c r="G264" s="15" t="n">
        <f aca="false">E264-D264</f>
        <v>131184</v>
      </c>
      <c r="H264" s="15" t="n">
        <f aca="false">F264-D264</f>
        <v>302336</v>
      </c>
    </row>
    <row r="265" customFormat="false" ht="15" hidden="false" customHeight="false" outlineLevel="0" collapsed="false">
      <c r="A265" s="38" t="n">
        <v>45870</v>
      </c>
      <c r="B265" s="11" t="n">
        <v>5</v>
      </c>
      <c r="C265" s="38" t="n">
        <v>45901</v>
      </c>
      <c r="D265" s="15" t="n">
        <v>270125.1</v>
      </c>
      <c r="E265" s="15" t="n">
        <v>404609.1</v>
      </c>
      <c r="F265" s="15" t="n">
        <v>507101.1</v>
      </c>
      <c r="G265" s="15" t="n">
        <f aca="false">E265-D265</f>
        <v>134484</v>
      </c>
      <c r="H265" s="15" t="n">
        <f aca="false">F265-D265</f>
        <v>236976</v>
      </c>
    </row>
    <row r="266" customFormat="false" ht="15" hidden="false" customHeight="false" outlineLevel="0" collapsed="false">
      <c r="A266" s="38" t="n">
        <v>45870</v>
      </c>
      <c r="B266" s="11" t="n">
        <v>6</v>
      </c>
      <c r="C266" s="38" t="n">
        <v>45908</v>
      </c>
      <c r="D266" s="15" t="n">
        <v>416656.35</v>
      </c>
      <c r="E266" s="15" t="n">
        <v>457108.35</v>
      </c>
      <c r="F266" s="15" t="n">
        <v>635396.35</v>
      </c>
      <c r="G266" s="15" t="n">
        <f aca="false">E266-D266</f>
        <v>40452</v>
      </c>
      <c r="H266" s="15" t="n">
        <f aca="false">F266-D266</f>
        <v>218740</v>
      </c>
    </row>
    <row r="267" customFormat="false" ht="15" hidden="false" customHeight="false" outlineLevel="0" collapsed="false">
      <c r="A267" s="38" t="n">
        <v>45870</v>
      </c>
      <c r="B267" s="11" t="n">
        <v>7</v>
      </c>
      <c r="C267" s="38" t="n">
        <v>45915</v>
      </c>
      <c r="D267" s="15" t="n">
        <v>344089.59</v>
      </c>
      <c r="E267" s="15" t="n">
        <v>398593.59</v>
      </c>
      <c r="F267" s="15" t="n">
        <v>590881.59</v>
      </c>
      <c r="G267" s="15" t="n">
        <f aca="false">E267-D267</f>
        <v>54504</v>
      </c>
      <c r="H267" s="15" t="n">
        <f aca="false">F267-D267</f>
        <v>246792</v>
      </c>
    </row>
    <row r="268" customFormat="false" ht="15" hidden="false" customHeight="false" outlineLevel="0" collapsed="false">
      <c r="A268" s="38" t="n">
        <v>45870</v>
      </c>
      <c r="B268" s="11" t="n">
        <v>8</v>
      </c>
      <c r="C268" s="38" t="n">
        <v>45922</v>
      </c>
      <c r="D268" s="15" t="n">
        <v>461741.36</v>
      </c>
      <c r="E268" s="15" t="n">
        <v>451721.36</v>
      </c>
      <c r="F268" s="15" t="n">
        <v>661829.36</v>
      </c>
      <c r="G268" s="15" t="n">
        <f aca="false">E268-D268</f>
        <v>-10020</v>
      </c>
      <c r="H268" s="15" t="n">
        <f aca="false">F268-D268</f>
        <v>200088</v>
      </c>
    </row>
    <row r="269" customFormat="false" ht="15" hidden="false" customHeight="false" outlineLevel="0" collapsed="false">
      <c r="A269" s="38" t="n">
        <v>45870</v>
      </c>
      <c r="B269" s="11" t="n">
        <v>9</v>
      </c>
      <c r="C269" s="38" t="n">
        <v>45929</v>
      </c>
      <c r="D269" s="15" t="n">
        <v>243560.28</v>
      </c>
      <c r="E269" s="15" t="n">
        <v>280640.28</v>
      </c>
      <c r="F269" s="15" t="n">
        <v>416964.28</v>
      </c>
      <c r="G269" s="15" t="n">
        <f aca="false">E269-D269</f>
        <v>37080</v>
      </c>
      <c r="H269" s="15" t="n">
        <f aca="false">F269-D269</f>
        <v>173404</v>
      </c>
    </row>
    <row r="270" customFormat="false" ht="15" hidden="false" customHeight="false" outlineLevel="0" collapsed="false">
      <c r="A270" s="38" t="n">
        <v>45870</v>
      </c>
      <c r="B270" s="11" t="n">
        <v>10</v>
      </c>
      <c r="C270" s="38" t="n">
        <v>45936</v>
      </c>
      <c r="D270" s="15" t="n">
        <v>209761.94</v>
      </c>
      <c r="E270" s="15" t="n">
        <v>269677.94</v>
      </c>
      <c r="F270" s="15" t="n">
        <v>414207.94</v>
      </c>
      <c r="G270" s="15" t="n">
        <f aca="false">E270-D270</f>
        <v>59916</v>
      </c>
      <c r="H270" s="15" t="n">
        <f aca="false">F270-D270</f>
        <v>204446</v>
      </c>
    </row>
    <row r="271" customFormat="false" ht="15" hidden="false" customHeight="false" outlineLevel="0" collapsed="false">
      <c r="A271" s="38" t="n">
        <v>45870</v>
      </c>
      <c r="B271" s="11" t="n">
        <v>11</v>
      </c>
      <c r="C271" s="38" t="n">
        <v>45943</v>
      </c>
      <c r="D271" s="15" t="n">
        <v>201727.8</v>
      </c>
      <c r="E271" s="15" t="n">
        <v>204235.8</v>
      </c>
      <c r="F271" s="15" t="n">
        <v>343987.8</v>
      </c>
      <c r="G271" s="15" t="n">
        <f aca="false">E271-D271</f>
        <v>2508</v>
      </c>
      <c r="H271" s="15" t="n">
        <f aca="false">F271-D271</f>
        <v>142260</v>
      </c>
    </row>
    <row r="272" customFormat="false" ht="15" hidden="false" customHeight="false" outlineLevel="0" collapsed="false">
      <c r="A272" s="38" t="n">
        <v>45870</v>
      </c>
      <c r="B272" s="11" t="n">
        <v>12</v>
      </c>
      <c r="C272" s="38" t="n">
        <v>45950</v>
      </c>
      <c r="D272" s="15" t="n">
        <v>154962.55</v>
      </c>
      <c r="E272" s="15" t="n">
        <v>243726.55</v>
      </c>
      <c r="F272" s="15" t="n">
        <v>377454.55</v>
      </c>
      <c r="G272" s="15" t="n">
        <f aca="false">E272-D272</f>
        <v>88764</v>
      </c>
      <c r="H272" s="15" t="n">
        <f aca="false">F272-D272</f>
        <v>222492</v>
      </c>
    </row>
    <row r="273" customFormat="false" ht="15" hidden="false" customHeight="false" outlineLevel="0" collapsed="false">
      <c r="A273" s="38" t="n">
        <v>45870</v>
      </c>
      <c r="B273" s="11" t="n">
        <v>13</v>
      </c>
      <c r="C273" s="38" t="n">
        <v>45957</v>
      </c>
      <c r="D273" s="15" t="n">
        <v>1502.51</v>
      </c>
      <c r="E273" s="15" t="n">
        <v>38042.51</v>
      </c>
      <c r="F273" s="15" t="n">
        <v>259538.51</v>
      </c>
      <c r="G273" s="15" t="n">
        <f aca="false">E273-D273</f>
        <v>36540</v>
      </c>
      <c r="H273" s="15" t="n">
        <f aca="false">F273-D273</f>
        <v>258036</v>
      </c>
    </row>
    <row r="274" customFormat="false" ht="15" hidden="false" customHeight="false" outlineLevel="0" collapsed="false">
      <c r="A274" s="38" t="n">
        <v>45877</v>
      </c>
      <c r="B274" s="11" t="n">
        <v>1</v>
      </c>
      <c r="C274" s="38" t="n">
        <v>45880</v>
      </c>
      <c r="D274" s="15" t="n">
        <v>152791.11</v>
      </c>
      <c r="E274" s="15" t="n">
        <v>274039.11</v>
      </c>
      <c r="F274" s="15" t="n">
        <v>629983.11</v>
      </c>
      <c r="G274" s="15" t="n">
        <f aca="false">E274-D274</f>
        <v>121248</v>
      </c>
      <c r="H274" s="15" t="n">
        <f aca="false">F274-D274</f>
        <v>477192</v>
      </c>
    </row>
    <row r="275" customFormat="false" ht="15" hidden="false" customHeight="false" outlineLevel="0" collapsed="false">
      <c r="A275" s="38" t="n">
        <v>45877</v>
      </c>
      <c r="B275" s="11" t="n">
        <v>2</v>
      </c>
      <c r="C275" s="38" t="n">
        <v>45887</v>
      </c>
      <c r="D275" s="15" t="n">
        <v>362826.39</v>
      </c>
      <c r="E275" s="15" t="n">
        <v>418470.39</v>
      </c>
      <c r="F275" s="15" t="n">
        <v>680856.39</v>
      </c>
      <c r="G275" s="15" t="n">
        <f aca="false">E275-D275</f>
        <v>55644</v>
      </c>
      <c r="H275" s="15" t="n">
        <f aca="false">F275-D275</f>
        <v>318030</v>
      </c>
    </row>
    <row r="276" customFormat="false" ht="15" hidden="false" customHeight="false" outlineLevel="0" collapsed="false">
      <c r="A276" s="38" t="n">
        <v>45877</v>
      </c>
      <c r="B276" s="11" t="n">
        <v>3</v>
      </c>
      <c r="C276" s="38" t="n">
        <v>45894</v>
      </c>
      <c r="D276" s="15" t="n">
        <v>311687.57</v>
      </c>
      <c r="E276" s="15" t="n">
        <v>430787.57</v>
      </c>
      <c r="F276" s="15" t="n">
        <v>614023.57</v>
      </c>
      <c r="G276" s="15" t="n">
        <f aca="false">E276-D276</f>
        <v>119100</v>
      </c>
      <c r="H276" s="15" t="n">
        <f aca="false">F276-D276</f>
        <v>302336</v>
      </c>
    </row>
    <row r="277" customFormat="false" ht="15" hidden="false" customHeight="false" outlineLevel="0" collapsed="false">
      <c r="A277" s="38" t="n">
        <v>45877</v>
      </c>
      <c r="B277" s="11" t="n">
        <v>4</v>
      </c>
      <c r="C277" s="38" t="n">
        <v>45901</v>
      </c>
      <c r="D277" s="15" t="n">
        <v>270125.1</v>
      </c>
      <c r="E277" s="15" t="n">
        <v>404609.1</v>
      </c>
      <c r="F277" s="15" t="n">
        <v>507101.1</v>
      </c>
      <c r="G277" s="15" t="n">
        <f aca="false">E277-D277</f>
        <v>134484</v>
      </c>
      <c r="H277" s="15" t="n">
        <f aca="false">F277-D277</f>
        <v>236976</v>
      </c>
    </row>
    <row r="278" customFormat="false" ht="15" hidden="false" customHeight="false" outlineLevel="0" collapsed="false">
      <c r="A278" s="38" t="n">
        <v>45877</v>
      </c>
      <c r="B278" s="11" t="n">
        <v>5</v>
      </c>
      <c r="C278" s="38" t="n">
        <v>45908</v>
      </c>
      <c r="D278" s="15" t="n">
        <v>416656.35</v>
      </c>
      <c r="E278" s="15" t="n">
        <v>457108.35</v>
      </c>
      <c r="F278" s="15" t="n">
        <v>635396.35</v>
      </c>
      <c r="G278" s="15" t="n">
        <f aca="false">E278-D278</f>
        <v>40452</v>
      </c>
      <c r="H278" s="15" t="n">
        <f aca="false">F278-D278</f>
        <v>218740</v>
      </c>
    </row>
    <row r="279" customFormat="false" ht="15" hidden="false" customHeight="false" outlineLevel="0" collapsed="false">
      <c r="A279" s="38" t="n">
        <v>45877</v>
      </c>
      <c r="B279" s="11" t="n">
        <v>6</v>
      </c>
      <c r="C279" s="38" t="n">
        <v>45915</v>
      </c>
      <c r="D279" s="15" t="n">
        <v>344089.59</v>
      </c>
      <c r="E279" s="15" t="n">
        <v>398593.59</v>
      </c>
      <c r="F279" s="15" t="n">
        <v>590881.59</v>
      </c>
      <c r="G279" s="15" t="n">
        <f aca="false">E279-D279</f>
        <v>54504</v>
      </c>
      <c r="H279" s="15" t="n">
        <f aca="false">F279-D279</f>
        <v>246792</v>
      </c>
    </row>
    <row r="280" customFormat="false" ht="15" hidden="false" customHeight="false" outlineLevel="0" collapsed="false">
      <c r="A280" s="38" t="n">
        <v>45877</v>
      </c>
      <c r="B280" s="11" t="n">
        <v>7</v>
      </c>
      <c r="C280" s="38" t="n">
        <v>45922</v>
      </c>
      <c r="D280" s="15" t="n">
        <v>461741.36</v>
      </c>
      <c r="E280" s="15" t="n">
        <v>451721.36</v>
      </c>
      <c r="F280" s="15" t="n">
        <v>661829.36</v>
      </c>
      <c r="G280" s="15" t="n">
        <f aca="false">E280-D280</f>
        <v>-10020</v>
      </c>
      <c r="H280" s="15" t="n">
        <f aca="false">F280-D280</f>
        <v>200088</v>
      </c>
    </row>
    <row r="281" customFormat="false" ht="15" hidden="false" customHeight="false" outlineLevel="0" collapsed="false">
      <c r="A281" s="38" t="n">
        <v>45877</v>
      </c>
      <c r="B281" s="11" t="n">
        <v>8</v>
      </c>
      <c r="C281" s="38" t="n">
        <v>45929</v>
      </c>
      <c r="D281" s="15" t="n">
        <v>243560.28</v>
      </c>
      <c r="E281" s="15" t="n">
        <v>265064.28</v>
      </c>
      <c r="F281" s="15" t="n">
        <v>416964.28</v>
      </c>
      <c r="G281" s="15" t="n">
        <f aca="false">E281-D281</f>
        <v>21504</v>
      </c>
      <c r="H281" s="15" t="n">
        <f aca="false">F281-D281</f>
        <v>173404</v>
      </c>
    </row>
    <row r="282" customFormat="false" ht="15" hidden="false" customHeight="false" outlineLevel="0" collapsed="false">
      <c r="A282" s="38" t="n">
        <v>45877</v>
      </c>
      <c r="B282" s="11" t="n">
        <v>9</v>
      </c>
      <c r="C282" s="38" t="n">
        <v>45936</v>
      </c>
      <c r="D282" s="15" t="n">
        <v>209761.94</v>
      </c>
      <c r="E282" s="15" t="n">
        <v>269677.94</v>
      </c>
      <c r="F282" s="15" t="n">
        <v>414207.94</v>
      </c>
      <c r="G282" s="15" t="n">
        <f aca="false">E282-D282</f>
        <v>59916</v>
      </c>
      <c r="H282" s="15" t="n">
        <f aca="false">F282-D282</f>
        <v>204446</v>
      </c>
    </row>
    <row r="283" customFormat="false" ht="15" hidden="false" customHeight="false" outlineLevel="0" collapsed="false">
      <c r="A283" s="38" t="n">
        <v>45877</v>
      </c>
      <c r="B283" s="11" t="n">
        <v>10</v>
      </c>
      <c r="C283" s="38" t="n">
        <v>45943</v>
      </c>
      <c r="D283" s="15" t="n">
        <v>201727.8</v>
      </c>
      <c r="E283" s="15" t="n">
        <v>204235.8</v>
      </c>
      <c r="F283" s="15" t="n">
        <v>343987.8</v>
      </c>
      <c r="G283" s="15" t="n">
        <f aca="false">E283-D283</f>
        <v>2508</v>
      </c>
      <c r="H283" s="15" t="n">
        <f aca="false">F283-D283</f>
        <v>142260</v>
      </c>
    </row>
    <row r="284" customFormat="false" ht="15" hidden="false" customHeight="false" outlineLevel="0" collapsed="false">
      <c r="A284" s="38" t="n">
        <v>45877</v>
      </c>
      <c r="B284" s="11" t="n">
        <v>11</v>
      </c>
      <c r="C284" s="38" t="n">
        <v>45950</v>
      </c>
      <c r="D284" s="15" t="n">
        <v>154962.55</v>
      </c>
      <c r="E284" s="15" t="n">
        <v>243726.55</v>
      </c>
      <c r="F284" s="15" t="n">
        <v>377454.55</v>
      </c>
      <c r="G284" s="15" t="n">
        <f aca="false">E284-D284</f>
        <v>88764</v>
      </c>
      <c r="H284" s="15" t="n">
        <f aca="false">F284-D284</f>
        <v>222492</v>
      </c>
    </row>
    <row r="285" customFormat="false" ht="15" hidden="false" customHeight="false" outlineLevel="0" collapsed="false">
      <c r="A285" s="38" t="n">
        <v>45877</v>
      </c>
      <c r="B285" s="11" t="n">
        <v>12</v>
      </c>
      <c r="C285" s="38" t="n">
        <v>45957</v>
      </c>
      <c r="D285" s="15" t="n">
        <v>1502.51</v>
      </c>
      <c r="E285" s="15" t="n">
        <v>38042.51</v>
      </c>
      <c r="F285" s="15" t="n">
        <v>259538.51</v>
      </c>
      <c r="G285" s="15" t="n">
        <f aca="false">E285-D285</f>
        <v>36540</v>
      </c>
      <c r="H285" s="15" t="n">
        <f aca="false">F285-D285</f>
        <v>258036</v>
      </c>
    </row>
    <row r="286" customFormat="false" ht="15" hidden="false" customHeight="false" outlineLevel="0" collapsed="false">
      <c r="A286" s="38" t="n">
        <v>45877</v>
      </c>
      <c r="B286" s="11" t="n">
        <v>13</v>
      </c>
      <c r="C286" s="38" t="n">
        <v>45964</v>
      </c>
      <c r="D286" s="15" t="n">
        <v>60636.04</v>
      </c>
      <c r="E286" s="15" t="n">
        <v>101760.04</v>
      </c>
      <c r="F286" s="15" t="n">
        <v>550576.04</v>
      </c>
      <c r="G286" s="15" t="n">
        <f aca="false">E286-D286</f>
        <v>41124</v>
      </c>
      <c r="H286" s="15" t="n">
        <f aca="false">F286-D286</f>
        <v>489940</v>
      </c>
    </row>
    <row r="287" customFormat="false" ht="15" hidden="false" customHeight="false" outlineLevel="0" collapsed="false">
      <c r="A287" s="38" t="n">
        <v>45884</v>
      </c>
      <c r="B287" s="11" t="n">
        <v>1</v>
      </c>
      <c r="C287" s="38" t="n">
        <v>45887</v>
      </c>
      <c r="D287" s="15" t="n">
        <v>362826.39</v>
      </c>
      <c r="E287" s="15" t="n">
        <v>236628.39</v>
      </c>
      <c r="F287" s="15" t="n">
        <v>680856.39</v>
      </c>
      <c r="G287" s="15" t="n">
        <f aca="false">E287-D287</f>
        <v>-126198</v>
      </c>
      <c r="H287" s="15" t="n">
        <f aca="false">F287-D287</f>
        <v>318030</v>
      </c>
    </row>
    <row r="288" customFormat="false" ht="15" hidden="false" customHeight="false" outlineLevel="0" collapsed="false">
      <c r="A288" s="38" t="n">
        <v>45884</v>
      </c>
      <c r="B288" s="11" t="n">
        <v>2</v>
      </c>
      <c r="C288" s="38" t="n">
        <v>45894</v>
      </c>
      <c r="D288" s="15" t="n">
        <v>311687.57</v>
      </c>
      <c r="E288" s="15" t="n">
        <v>398987.57</v>
      </c>
      <c r="F288" s="15" t="n">
        <v>614023.57</v>
      </c>
      <c r="G288" s="15" t="n">
        <f aca="false">E288-D288</f>
        <v>87300</v>
      </c>
      <c r="H288" s="15" t="n">
        <f aca="false">F288-D288</f>
        <v>302336</v>
      </c>
    </row>
    <row r="289" customFormat="false" ht="15" hidden="false" customHeight="false" outlineLevel="0" collapsed="false">
      <c r="A289" s="38" t="n">
        <v>45884</v>
      </c>
      <c r="B289" s="11" t="n">
        <v>3</v>
      </c>
      <c r="C289" s="38" t="n">
        <v>45901</v>
      </c>
      <c r="D289" s="15" t="n">
        <v>270125.1</v>
      </c>
      <c r="E289" s="15" t="n">
        <v>371585.1</v>
      </c>
      <c r="F289" s="15" t="n">
        <v>507101.1</v>
      </c>
      <c r="G289" s="15" t="n">
        <f aca="false">E289-D289</f>
        <v>101460</v>
      </c>
      <c r="H289" s="15" t="n">
        <f aca="false">F289-D289</f>
        <v>236976</v>
      </c>
    </row>
    <row r="290" customFormat="false" ht="15" hidden="false" customHeight="false" outlineLevel="0" collapsed="false">
      <c r="A290" s="38" t="n">
        <v>45884</v>
      </c>
      <c r="B290" s="11" t="n">
        <v>4</v>
      </c>
      <c r="C290" s="38" t="n">
        <v>45908</v>
      </c>
      <c r="D290" s="15" t="n">
        <v>416656.35</v>
      </c>
      <c r="E290" s="15" t="n">
        <v>457108.35</v>
      </c>
      <c r="F290" s="15" t="n">
        <v>635396.35</v>
      </c>
      <c r="G290" s="15" t="n">
        <f aca="false">E290-D290</f>
        <v>40452</v>
      </c>
      <c r="H290" s="15" t="n">
        <f aca="false">F290-D290</f>
        <v>218740</v>
      </c>
    </row>
    <row r="291" customFormat="false" ht="15" hidden="false" customHeight="false" outlineLevel="0" collapsed="false">
      <c r="A291" s="38" t="n">
        <v>45884</v>
      </c>
      <c r="B291" s="11" t="n">
        <v>5</v>
      </c>
      <c r="C291" s="38" t="n">
        <v>45915</v>
      </c>
      <c r="D291" s="15" t="n">
        <v>344089.59</v>
      </c>
      <c r="E291" s="15" t="n">
        <v>398593.59</v>
      </c>
      <c r="F291" s="15" t="n">
        <v>590881.59</v>
      </c>
      <c r="G291" s="15" t="n">
        <f aca="false">E291-D291</f>
        <v>54504</v>
      </c>
      <c r="H291" s="15" t="n">
        <f aca="false">F291-D291</f>
        <v>246792</v>
      </c>
    </row>
    <row r="292" customFormat="false" ht="15" hidden="false" customHeight="false" outlineLevel="0" collapsed="false">
      <c r="A292" s="38" t="n">
        <v>45884</v>
      </c>
      <c r="B292" s="11" t="n">
        <v>6</v>
      </c>
      <c r="C292" s="38" t="n">
        <v>45922</v>
      </c>
      <c r="D292" s="15" t="n">
        <v>461741.36</v>
      </c>
      <c r="E292" s="15" t="n">
        <v>451721.36</v>
      </c>
      <c r="F292" s="15" t="n">
        <v>661829.36</v>
      </c>
      <c r="G292" s="15" t="n">
        <f aca="false">E292-D292</f>
        <v>-10020</v>
      </c>
      <c r="H292" s="15" t="n">
        <f aca="false">F292-D292</f>
        <v>200088</v>
      </c>
    </row>
    <row r="293" customFormat="false" ht="15" hidden="false" customHeight="false" outlineLevel="0" collapsed="false">
      <c r="A293" s="38" t="n">
        <v>45884</v>
      </c>
      <c r="B293" s="11" t="n">
        <v>7</v>
      </c>
      <c r="C293" s="38" t="n">
        <v>45929</v>
      </c>
      <c r="D293" s="15" t="n">
        <v>243560.28</v>
      </c>
      <c r="E293" s="15" t="n">
        <v>265064.28</v>
      </c>
      <c r="F293" s="15" t="n">
        <v>416964.28</v>
      </c>
      <c r="G293" s="15" t="n">
        <f aca="false">E293-D293</f>
        <v>21504</v>
      </c>
      <c r="H293" s="15" t="n">
        <f aca="false">F293-D293</f>
        <v>173404</v>
      </c>
    </row>
    <row r="294" customFormat="false" ht="15" hidden="false" customHeight="false" outlineLevel="0" collapsed="false">
      <c r="A294" s="38" t="n">
        <v>45884</v>
      </c>
      <c r="B294" s="11" t="n">
        <v>8</v>
      </c>
      <c r="C294" s="38" t="n">
        <v>45936</v>
      </c>
      <c r="D294" s="15" t="n">
        <v>209761.94</v>
      </c>
      <c r="E294" s="15" t="n">
        <v>269677.94</v>
      </c>
      <c r="F294" s="15" t="n">
        <v>414207.94</v>
      </c>
      <c r="G294" s="15" t="n">
        <f aca="false">E294-D294</f>
        <v>59916</v>
      </c>
      <c r="H294" s="15" t="n">
        <f aca="false">F294-D294</f>
        <v>204446</v>
      </c>
    </row>
    <row r="295" customFormat="false" ht="15" hidden="false" customHeight="false" outlineLevel="0" collapsed="false">
      <c r="A295" s="38" t="n">
        <v>45884</v>
      </c>
      <c r="B295" s="11" t="n">
        <v>9</v>
      </c>
      <c r="C295" s="38" t="n">
        <v>45943</v>
      </c>
      <c r="D295" s="15" t="n">
        <v>201727.8</v>
      </c>
      <c r="E295" s="15" t="n">
        <v>204235.8</v>
      </c>
      <c r="F295" s="15" t="n">
        <v>343987.8</v>
      </c>
      <c r="G295" s="15" t="n">
        <f aca="false">E295-D295</f>
        <v>2508</v>
      </c>
      <c r="H295" s="15" t="n">
        <f aca="false">F295-D295</f>
        <v>142260</v>
      </c>
    </row>
    <row r="296" customFormat="false" ht="15" hidden="false" customHeight="false" outlineLevel="0" collapsed="false">
      <c r="A296" s="38" t="n">
        <v>45884</v>
      </c>
      <c r="B296" s="11" t="n">
        <v>10</v>
      </c>
      <c r="C296" s="38" t="n">
        <v>45950</v>
      </c>
      <c r="D296" s="15" t="n">
        <v>154962.55</v>
      </c>
      <c r="E296" s="15" t="n">
        <v>243726.55</v>
      </c>
      <c r="F296" s="15" t="n">
        <v>377454.55</v>
      </c>
      <c r="G296" s="15" t="n">
        <f aca="false">E296-D296</f>
        <v>88764</v>
      </c>
      <c r="H296" s="15" t="n">
        <f aca="false">F296-D296</f>
        <v>222492</v>
      </c>
    </row>
    <row r="297" customFormat="false" ht="15" hidden="false" customHeight="false" outlineLevel="0" collapsed="false">
      <c r="A297" s="38" t="n">
        <v>45884</v>
      </c>
      <c r="B297" s="11" t="n">
        <v>11</v>
      </c>
      <c r="C297" s="38" t="n">
        <v>45957</v>
      </c>
      <c r="D297" s="15" t="n">
        <v>1502.51</v>
      </c>
      <c r="E297" s="15" t="n">
        <v>38042.51</v>
      </c>
      <c r="F297" s="15" t="n">
        <v>259538.51</v>
      </c>
      <c r="G297" s="15" t="n">
        <f aca="false">E297-D297</f>
        <v>36540</v>
      </c>
      <c r="H297" s="15" t="n">
        <f aca="false">F297-D297</f>
        <v>258036</v>
      </c>
    </row>
    <row r="298" customFormat="false" ht="15" hidden="false" customHeight="false" outlineLevel="0" collapsed="false">
      <c r="A298" s="38" t="n">
        <v>45884</v>
      </c>
      <c r="B298" s="11" t="n">
        <v>12</v>
      </c>
      <c r="C298" s="38" t="n">
        <v>45964</v>
      </c>
      <c r="D298" s="15" t="n">
        <v>60636.04</v>
      </c>
      <c r="E298" s="15" t="n">
        <v>101760.04</v>
      </c>
      <c r="F298" s="15" t="n">
        <v>550576.04</v>
      </c>
      <c r="G298" s="15" t="n">
        <f aca="false">E298-D298</f>
        <v>41124</v>
      </c>
      <c r="H298" s="15" t="n">
        <f aca="false">F298-D298</f>
        <v>489940</v>
      </c>
    </row>
    <row r="299" customFormat="false" ht="15" hidden="false" customHeight="false" outlineLevel="0" collapsed="false">
      <c r="A299" s="38" t="n">
        <v>45884</v>
      </c>
      <c r="B299" s="11" t="n">
        <v>13</v>
      </c>
      <c r="C299" s="38" t="n">
        <v>45971</v>
      </c>
      <c r="D299" s="15" t="n">
        <v>159413.74</v>
      </c>
      <c r="E299" s="15" t="n">
        <v>373709.74</v>
      </c>
      <c r="F299" s="15" t="n">
        <v>638609.74</v>
      </c>
      <c r="G299" s="15" t="n">
        <f aca="false">E299-D299</f>
        <v>214296</v>
      </c>
      <c r="H299" s="15" t="n">
        <f aca="false">F299-D299</f>
        <v>479196</v>
      </c>
    </row>
    <row r="300" customFormat="false" ht="15" hidden="false" customHeight="false" outlineLevel="0" collapsed="false">
      <c r="A300" s="38" t="n">
        <v>45891</v>
      </c>
      <c r="B300" s="11" t="n">
        <v>1</v>
      </c>
      <c r="C300" s="38" t="n">
        <v>45894</v>
      </c>
      <c r="D300" s="15" t="n">
        <v>311687.57</v>
      </c>
      <c r="E300" s="15" t="n">
        <v>343451.57</v>
      </c>
      <c r="F300" s="15" t="n">
        <v>614023.57</v>
      </c>
      <c r="G300" s="15" t="n">
        <f aca="false">E300-D300</f>
        <v>31764</v>
      </c>
      <c r="H300" s="15" t="n">
        <f aca="false">F300-D300</f>
        <v>302336</v>
      </c>
    </row>
    <row r="301" customFormat="false" ht="15" hidden="false" customHeight="false" outlineLevel="0" collapsed="false">
      <c r="A301" s="38" t="n">
        <v>45891</v>
      </c>
      <c r="B301" s="11" t="n">
        <v>2</v>
      </c>
      <c r="C301" s="38" t="n">
        <v>45901</v>
      </c>
      <c r="D301" s="15" t="n">
        <v>270125.1</v>
      </c>
      <c r="E301" s="15" t="n">
        <v>355361.1</v>
      </c>
      <c r="F301" s="15" t="n">
        <v>507101.1</v>
      </c>
      <c r="G301" s="15" t="n">
        <f aca="false">E301-D301</f>
        <v>85236</v>
      </c>
      <c r="H301" s="15" t="n">
        <f aca="false">F301-D301</f>
        <v>236976</v>
      </c>
    </row>
    <row r="302" customFormat="false" ht="15" hidden="false" customHeight="false" outlineLevel="0" collapsed="false">
      <c r="A302" s="38" t="n">
        <v>45891</v>
      </c>
      <c r="B302" s="11" t="n">
        <v>3</v>
      </c>
      <c r="C302" s="38" t="n">
        <v>45908</v>
      </c>
      <c r="D302" s="15" t="n">
        <v>416656.35</v>
      </c>
      <c r="E302" s="15" t="n">
        <v>443704.35</v>
      </c>
      <c r="F302" s="15" t="n">
        <v>635396.35</v>
      </c>
      <c r="G302" s="15" t="n">
        <f aca="false">E302-D302</f>
        <v>27048</v>
      </c>
      <c r="H302" s="15" t="n">
        <f aca="false">F302-D302</f>
        <v>218740</v>
      </c>
    </row>
    <row r="303" customFormat="false" ht="15" hidden="false" customHeight="false" outlineLevel="0" collapsed="false">
      <c r="A303" s="38" t="n">
        <v>45891</v>
      </c>
      <c r="B303" s="11" t="n">
        <v>4</v>
      </c>
      <c r="C303" s="38" t="n">
        <v>45915</v>
      </c>
      <c r="D303" s="15" t="n">
        <v>344089.59</v>
      </c>
      <c r="E303" s="15" t="n">
        <v>387013.59</v>
      </c>
      <c r="F303" s="15" t="n">
        <v>590881.59</v>
      </c>
      <c r="G303" s="15" t="n">
        <f aca="false">E303-D303</f>
        <v>42924</v>
      </c>
      <c r="H303" s="15" t="n">
        <f aca="false">F303-D303</f>
        <v>246792</v>
      </c>
    </row>
    <row r="304" customFormat="false" ht="15" hidden="false" customHeight="false" outlineLevel="0" collapsed="false">
      <c r="A304" s="38" t="n">
        <v>45891</v>
      </c>
      <c r="B304" s="11" t="n">
        <v>5</v>
      </c>
      <c r="C304" s="38" t="n">
        <v>45922</v>
      </c>
      <c r="D304" s="15" t="n">
        <v>461741.36</v>
      </c>
      <c r="E304" s="15" t="n">
        <v>451721.36</v>
      </c>
      <c r="F304" s="15" t="n">
        <v>661829.36</v>
      </c>
      <c r="G304" s="15" t="n">
        <f aca="false">E304-D304</f>
        <v>-10020</v>
      </c>
      <c r="H304" s="15" t="n">
        <f aca="false">F304-D304</f>
        <v>200088</v>
      </c>
    </row>
    <row r="305" customFormat="false" ht="15" hidden="false" customHeight="false" outlineLevel="0" collapsed="false">
      <c r="A305" s="38" t="n">
        <v>45891</v>
      </c>
      <c r="B305" s="11" t="n">
        <v>6</v>
      </c>
      <c r="C305" s="38" t="n">
        <v>45929</v>
      </c>
      <c r="D305" s="15" t="n">
        <v>243560.28</v>
      </c>
      <c r="E305" s="15" t="n">
        <v>265064.28</v>
      </c>
      <c r="F305" s="15" t="n">
        <v>416964.28</v>
      </c>
      <c r="G305" s="15" t="n">
        <f aca="false">E305-D305</f>
        <v>21504</v>
      </c>
      <c r="H305" s="15" t="n">
        <f aca="false">F305-D305</f>
        <v>173404</v>
      </c>
    </row>
    <row r="306" customFormat="false" ht="15" hidden="false" customHeight="false" outlineLevel="0" collapsed="false">
      <c r="A306" s="38" t="n">
        <v>45891</v>
      </c>
      <c r="B306" s="11" t="n">
        <v>7</v>
      </c>
      <c r="C306" s="38" t="n">
        <v>45936</v>
      </c>
      <c r="D306" s="15" t="n">
        <v>209761.94</v>
      </c>
      <c r="E306" s="15" t="n">
        <v>223297.94</v>
      </c>
      <c r="F306" s="15" t="n">
        <v>414207.94</v>
      </c>
      <c r="G306" s="15" t="n">
        <f aca="false">E306-D306</f>
        <v>13536</v>
      </c>
      <c r="H306" s="15" t="n">
        <f aca="false">F306-D306</f>
        <v>204446</v>
      </c>
    </row>
    <row r="307" customFormat="false" ht="15" hidden="false" customHeight="false" outlineLevel="0" collapsed="false">
      <c r="A307" s="38" t="n">
        <v>45891</v>
      </c>
      <c r="B307" s="11" t="n">
        <v>8</v>
      </c>
      <c r="C307" s="38" t="n">
        <v>45943</v>
      </c>
      <c r="D307" s="15" t="n">
        <v>201727.8</v>
      </c>
      <c r="E307" s="15" t="n">
        <v>204235.8</v>
      </c>
      <c r="F307" s="15" t="n">
        <v>343987.8</v>
      </c>
      <c r="G307" s="15" t="n">
        <f aca="false">E307-D307</f>
        <v>2508</v>
      </c>
      <c r="H307" s="15" t="n">
        <f aca="false">F307-D307</f>
        <v>142260</v>
      </c>
    </row>
    <row r="308" customFormat="false" ht="15" hidden="false" customHeight="false" outlineLevel="0" collapsed="false">
      <c r="A308" s="38" t="n">
        <v>45891</v>
      </c>
      <c r="B308" s="11" t="n">
        <v>9</v>
      </c>
      <c r="C308" s="38" t="n">
        <v>45950</v>
      </c>
      <c r="D308" s="15" t="n">
        <v>154962.55</v>
      </c>
      <c r="E308" s="15" t="n">
        <v>198258.55</v>
      </c>
      <c r="F308" s="15" t="n">
        <v>377454.55</v>
      </c>
      <c r="G308" s="15" t="n">
        <f aca="false">E308-D308</f>
        <v>43296</v>
      </c>
      <c r="H308" s="15" t="n">
        <f aca="false">F308-D308</f>
        <v>222492</v>
      </c>
    </row>
    <row r="309" customFormat="false" ht="15" hidden="false" customHeight="false" outlineLevel="0" collapsed="false">
      <c r="A309" s="38" t="n">
        <v>45891</v>
      </c>
      <c r="B309" s="11" t="n">
        <v>10</v>
      </c>
      <c r="C309" s="38" t="n">
        <v>45957</v>
      </c>
      <c r="D309" s="15" t="n">
        <v>1502.51</v>
      </c>
      <c r="E309" s="15" t="n">
        <v>38042.51</v>
      </c>
      <c r="F309" s="15" t="n">
        <v>259538.51</v>
      </c>
      <c r="G309" s="15" t="n">
        <f aca="false">E309-D309</f>
        <v>36540</v>
      </c>
      <c r="H309" s="15" t="n">
        <f aca="false">F309-D309</f>
        <v>258036</v>
      </c>
    </row>
    <row r="310" customFormat="false" ht="15" hidden="false" customHeight="false" outlineLevel="0" collapsed="false">
      <c r="A310" s="38" t="n">
        <v>45891</v>
      </c>
      <c r="B310" s="11" t="n">
        <v>11</v>
      </c>
      <c r="C310" s="38" t="n">
        <v>45964</v>
      </c>
      <c r="D310" s="15" t="n">
        <v>60636.04</v>
      </c>
      <c r="E310" s="15" t="n">
        <v>101760.04</v>
      </c>
      <c r="F310" s="15" t="n">
        <v>550576.04</v>
      </c>
      <c r="G310" s="15" t="n">
        <f aca="false">E310-D310</f>
        <v>41124</v>
      </c>
      <c r="H310" s="15" t="n">
        <f aca="false">F310-D310</f>
        <v>489940</v>
      </c>
    </row>
    <row r="311" customFormat="false" ht="15" hidden="false" customHeight="false" outlineLevel="0" collapsed="false">
      <c r="A311" s="38" t="n">
        <v>45891</v>
      </c>
      <c r="B311" s="11" t="n">
        <v>12</v>
      </c>
      <c r="C311" s="38" t="n">
        <v>45971</v>
      </c>
      <c r="D311" s="15" t="n">
        <v>159413.74</v>
      </c>
      <c r="E311" s="15" t="n">
        <v>186509.74</v>
      </c>
      <c r="F311" s="15" t="n">
        <v>638609.74</v>
      </c>
      <c r="G311" s="15" t="n">
        <f aca="false">E311-D311</f>
        <v>27096</v>
      </c>
      <c r="H311" s="15" t="n">
        <f aca="false">F311-D311</f>
        <v>479196</v>
      </c>
    </row>
    <row r="312" customFormat="false" ht="15" hidden="false" customHeight="false" outlineLevel="0" collapsed="false">
      <c r="A312" s="38" t="n">
        <v>45891</v>
      </c>
      <c r="B312" s="11" t="n">
        <v>13</v>
      </c>
      <c r="C312" s="38" t="n">
        <v>45978</v>
      </c>
      <c r="D312" s="15" t="n">
        <v>346678.09</v>
      </c>
      <c r="E312" s="15" t="n">
        <v>239470.09</v>
      </c>
      <c r="F312" s="15" t="n">
        <v>654358.09</v>
      </c>
      <c r="G312" s="15" t="n">
        <f aca="false">E312-D312</f>
        <v>-107208</v>
      </c>
      <c r="H312" s="15" t="n">
        <f aca="false">F312-D312</f>
        <v>307680</v>
      </c>
    </row>
    <row r="313" customFormat="false" ht="15" hidden="false" customHeight="false" outlineLevel="0" collapsed="false">
      <c r="A313" s="38" t="n">
        <v>45898</v>
      </c>
      <c r="B313" s="11" t="n">
        <v>1</v>
      </c>
      <c r="C313" s="38" t="n">
        <v>45901</v>
      </c>
      <c r="D313" s="15" t="n">
        <v>270125.1</v>
      </c>
      <c r="E313" s="15" t="n">
        <v>377897.1</v>
      </c>
      <c r="F313" s="15" t="n">
        <v>507101.1</v>
      </c>
      <c r="G313" s="15" t="n">
        <f aca="false">E313-D313</f>
        <v>107772</v>
      </c>
      <c r="H313" s="15" t="n">
        <f aca="false">F313-D313</f>
        <v>236976</v>
      </c>
    </row>
    <row r="314" customFormat="false" ht="15" hidden="false" customHeight="false" outlineLevel="0" collapsed="false">
      <c r="A314" s="38" t="n">
        <v>45898</v>
      </c>
      <c r="B314" s="11" t="n">
        <v>2</v>
      </c>
      <c r="C314" s="38" t="n">
        <v>45908</v>
      </c>
      <c r="D314" s="15" t="n">
        <v>416656.35</v>
      </c>
      <c r="E314" s="15" t="n">
        <v>457108.35</v>
      </c>
      <c r="F314" s="15" t="n">
        <v>635396.35</v>
      </c>
      <c r="G314" s="15" t="n">
        <f aca="false">E314-D314</f>
        <v>40452</v>
      </c>
      <c r="H314" s="15" t="n">
        <f aca="false">F314-D314</f>
        <v>218740</v>
      </c>
    </row>
    <row r="315" customFormat="false" ht="15" hidden="false" customHeight="false" outlineLevel="0" collapsed="false">
      <c r="A315" s="38" t="n">
        <v>45898</v>
      </c>
      <c r="B315" s="11" t="n">
        <v>3</v>
      </c>
      <c r="C315" s="38" t="n">
        <v>45915</v>
      </c>
      <c r="D315" s="15" t="n">
        <v>344089.59</v>
      </c>
      <c r="E315" s="15" t="n">
        <v>398593.59</v>
      </c>
      <c r="F315" s="15" t="n">
        <v>590881.59</v>
      </c>
      <c r="G315" s="15" t="n">
        <f aca="false">E315-D315</f>
        <v>54504</v>
      </c>
      <c r="H315" s="15" t="n">
        <f aca="false">F315-D315</f>
        <v>246792</v>
      </c>
    </row>
    <row r="316" customFormat="false" ht="15" hidden="false" customHeight="false" outlineLevel="0" collapsed="false">
      <c r="A316" s="38" t="n">
        <v>45898</v>
      </c>
      <c r="B316" s="11" t="n">
        <v>4</v>
      </c>
      <c r="C316" s="38" t="n">
        <v>45922</v>
      </c>
      <c r="D316" s="15" t="n">
        <v>461741.36</v>
      </c>
      <c r="E316" s="15" t="n">
        <v>451721.36</v>
      </c>
      <c r="F316" s="15" t="n">
        <v>661829.36</v>
      </c>
      <c r="G316" s="15" t="n">
        <f aca="false">E316-D316</f>
        <v>-10020</v>
      </c>
      <c r="H316" s="15" t="n">
        <f aca="false">F316-D316</f>
        <v>200088</v>
      </c>
    </row>
    <row r="317" customFormat="false" ht="15" hidden="false" customHeight="false" outlineLevel="0" collapsed="false">
      <c r="A317" s="38" t="n">
        <v>45898</v>
      </c>
      <c r="B317" s="11" t="n">
        <v>5</v>
      </c>
      <c r="C317" s="38" t="n">
        <v>45929</v>
      </c>
      <c r="D317" s="15" t="n">
        <v>243560.28</v>
      </c>
      <c r="E317" s="15" t="n">
        <v>265064.28</v>
      </c>
      <c r="F317" s="15" t="n">
        <v>416964.28</v>
      </c>
      <c r="G317" s="15" t="n">
        <f aca="false">E317-D317</f>
        <v>21504</v>
      </c>
      <c r="H317" s="15" t="n">
        <f aca="false">F317-D317</f>
        <v>173404</v>
      </c>
    </row>
    <row r="318" customFormat="false" ht="15" hidden="false" customHeight="false" outlineLevel="0" collapsed="false">
      <c r="A318" s="38" t="n">
        <v>45898</v>
      </c>
      <c r="B318" s="11" t="n">
        <v>6</v>
      </c>
      <c r="C318" s="38" t="n">
        <v>45936</v>
      </c>
      <c r="D318" s="15" t="n">
        <v>209761.94</v>
      </c>
      <c r="E318" s="15" t="n">
        <v>269677.94</v>
      </c>
      <c r="F318" s="15" t="n">
        <v>414207.94</v>
      </c>
      <c r="G318" s="15" t="n">
        <f aca="false">E318-D318</f>
        <v>59916</v>
      </c>
      <c r="H318" s="15" t="n">
        <f aca="false">F318-D318</f>
        <v>204446</v>
      </c>
    </row>
    <row r="319" customFormat="false" ht="15" hidden="false" customHeight="false" outlineLevel="0" collapsed="false">
      <c r="A319" s="38" t="n">
        <v>45898</v>
      </c>
      <c r="B319" s="11" t="n">
        <v>7</v>
      </c>
      <c r="C319" s="38" t="n">
        <v>45943</v>
      </c>
      <c r="D319" s="15" t="n">
        <v>201727.8</v>
      </c>
      <c r="E319" s="15" t="n">
        <v>204235.8</v>
      </c>
      <c r="F319" s="15" t="n">
        <v>343987.8</v>
      </c>
      <c r="G319" s="15" t="n">
        <f aca="false">E319-D319</f>
        <v>2508</v>
      </c>
      <c r="H319" s="15" t="n">
        <f aca="false">F319-D319</f>
        <v>142260</v>
      </c>
    </row>
    <row r="320" customFormat="false" ht="15" hidden="false" customHeight="false" outlineLevel="0" collapsed="false">
      <c r="A320" s="38" t="n">
        <v>45898</v>
      </c>
      <c r="B320" s="11" t="n">
        <v>8</v>
      </c>
      <c r="C320" s="38" t="n">
        <v>45950</v>
      </c>
      <c r="D320" s="15" t="n">
        <v>154962.55</v>
      </c>
      <c r="E320" s="15" t="n">
        <v>243726.55</v>
      </c>
      <c r="F320" s="15" t="n">
        <v>377454.55</v>
      </c>
      <c r="G320" s="15" t="n">
        <f aca="false">E320-D320</f>
        <v>88764</v>
      </c>
      <c r="H320" s="15" t="n">
        <f aca="false">F320-D320</f>
        <v>222492</v>
      </c>
    </row>
    <row r="321" customFormat="false" ht="15" hidden="false" customHeight="false" outlineLevel="0" collapsed="false">
      <c r="A321" s="38" t="n">
        <v>45898</v>
      </c>
      <c r="B321" s="11" t="n">
        <v>9</v>
      </c>
      <c r="C321" s="38" t="n">
        <v>45957</v>
      </c>
      <c r="D321" s="15" t="n">
        <v>1502.51</v>
      </c>
      <c r="E321" s="15" t="n">
        <v>38042.51</v>
      </c>
      <c r="F321" s="15" t="n">
        <v>259538.51</v>
      </c>
      <c r="G321" s="15" t="n">
        <f aca="false">E321-D321</f>
        <v>36540</v>
      </c>
      <c r="H321" s="15" t="n">
        <f aca="false">F321-D321</f>
        <v>258036</v>
      </c>
    </row>
    <row r="322" customFormat="false" ht="15" hidden="false" customHeight="false" outlineLevel="0" collapsed="false">
      <c r="A322" s="38" t="n">
        <v>45898</v>
      </c>
      <c r="B322" s="11" t="n">
        <v>10</v>
      </c>
      <c r="C322" s="38" t="n">
        <v>45964</v>
      </c>
      <c r="D322" s="15" t="n">
        <v>60636.04</v>
      </c>
      <c r="E322" s="15" t="n">
        <v>90396.04</v>
      </c>
      <c r="F322" s="15" t="n">
        <v>550576.04</v>
      </c>
      <c r="G322" s="15" t="n">
        <f aca="false">E322-D322</f>
        <v>29760</v>
      </c>
      <c r="H322" s="15" t="n">
        <f aca="false">F322-D322</f>
        <v>489940</v>
      </c>
    </row>
    <row r="323" customFormat="false" ht="15" hidden="false" customHeight="false" outlineLevel="0" collapsed="false">
      <c r="A323" s="38" t="n">
        <v>45898</v>
      </c>
      <c r="B323" s="11" t="n">
        <v>11</v>
      </c>
      <c r="C323" s="38" t="n">
        <v>45971</v>
      </c>
      <c r="D323" s="15" t="n">
        <v>159413.74</v>
      </c>
      <c r="E323" s="15" t="n">
        <v>186509.74</v>
      </c>
      <c r="F323" s="15" t="n">
        <v>638609.74</v>
      </c>
      <c r="G323" s="15" t="n">
        <f aca="false">E323-D323</f>
        <v>27096</v>
      </c>
      <c r="H323" s="15" t="n">
        <f aca="false">F323-D323</f>
        <v>479196</v>
      </c>
    </row>
    <row r="324" customFormat="false" ht="15" hidden="false" customHeight="false" outlineLevel="0" collapsed="false">
      <c r="A324" s="38" t="n">
        <v>45898</v>
      </c>
      <c r="B324" s="11" t="n">
        <v>12</v>
      </c>
      <c r="C324" s="38" t="n">
        <v>45978</v>
      </c>
      <c r="D324" s="15" t="n">
        <v>346678.09</v>
      </c>
      <c r="E324" s="15" t="n">
        <v>239470.09</v>
      </c>
      <c r="F324" s="15" t="n">
        <v>654358.09</v>
      </c>
      <c r="G324" s="15" t="n">
        <f aca="false">E324-D324</f>
        <v>-107208</v>
      </c>
      <c r="H324" s="15" t="n">
        <f aca="false">F324-D324</f>
        <v>307680</v>
      </c>
    </row>
    <row r="325" customFormat="false" ht="15" hidden="false" customHeight="false" outlineLevel="0" collapsed="false">
      <c r="A325" s="38" t="n">
        <v>45898</v>
      </c>
      <c r="B325" s="11" t="n">
        <v>13</v>
      </c>
      <c r="C325" s="38" t="n">
        <v>45985</v>
      </c>
      <c r="D325" s="15" t="n">
        <v>270581.09</v>
      </c>
      <c r="E325" s="15" t="n">
        <v>104501.09</v>
      </c>
      <c r="F325" s="15" t="n">
        <v>470263.09</v>
      </c>
      <c r="G325" s="15" t="n">
        <f aca="false">E325-D325</f>
        <v>-166080</v>
      </c>
      <c r="H325" s="15" t="n">
        <f aca="false">F325-D325</f>
        <v>199682</v>
      </c>
    </row>
    <row r="326" customFormat="false" ht="15" hidden="false" customHeight="false" outlineLevel="0" collapsed="false">
      <c r="A326" s="38" t="n">
        <v>45905</v>
      </c>
      <c r="B326" s="11" t="n">
        <v>1</v>
      </c>
      <c r="C326" s="38" t="n">
        <v>45908</v>
      </c>
      <c r="D326" s="15" t="n">
        <v>416656.35</v>
      </c>
      <c r="E326" s="15" t="n">
        <v>373168.35</v>
      </c>
      <c r="F326" s="15" t="n">
        <v>635396.35</v>
      </c>
      <c r="G326" s="15" t="n">
        <f aca="false">E326-D326</f>
        <v>-43488</v>
      </c>
      <c r="H326" s="15" t="n">
        <f aca="false">F326-D326</f>
        <v>218740</v>
      </c>
    </row>
    <row r="327" customFormat="false" ht="15" hidden="false" customHeight="false" outlineLevel="0" collapsed="false">
      <c r="A327" s="38" t="n">
        <v>45905</v>
      </c>
      <c r="B327" s="11" t="n">
        <v>2</v>
      </c>
      <c r="C327" s="38" t="n">
        <v>45915</v>
      </c>
      <c r="D327" s="15" t="n">
        <v>344089.59</v>
      </c>
      <c r="E327" s="15" t="n">
        <v>387013.59</v>
      </c>
      <c r="F327" s="15" t="n">
        <v>590881.59</v>
      </c>
      <c r="G327" s="15" t="n">
        <f aca="false">E327-D327</f>
        <v>42924</v>
      </c>
      <c r="H327" s="15" t="n">
        <f aca="false">F327-D327</f>
        <v>246792</v>
      </c>
    </row>
    <row r="328" customFormat="false" ht="15" hidden="false" customHeight="false" outlineLevel="0" collapsed="false">
      <c r="A328" s="38" t="n">
        <v>45905</v>
      </c>
      <c r="B328" s="11" t="n">
        <v>3</v>
      </c>
      <c r="C328" s="38" t="n">
        <v>45922</v>
      </c>
      <c r="D328" s="15" t="n">
        <v>461741.36</v>
      </c>
      <c r="E328" s="15" t="n">
        <v>451721.36</v>
      </c>
      <c r="F328" s="15" t="n">
        <v>661829.36</v>
      </c>
      <c r="G328" s="15" t="n">
        <f aca="false">E328-D328</f>
        <v>-10020</v>
      </c>
      <c r="H328" s="15" t="n">
        <f aca="false">F328-D328</f>
        <v>200088</v>
      </c>
    </row>
    <row r="329" customFormat="false" ht="15" hidden="false" customHeight="false" outlineLevel="0" collapsed="false">
      <c r="A329" s="38" t="n">
        <v>45905</v>
      </c>
      <c r="B329" s="11" t="n">
        <v>4</v>
      </c>
      <c r="C329" s="38" t="n">
        <v>45929</v>
      </c>
      <c r="D329" s="15" t="n">
        <v>243560.28</v>
      </c>
      <c r="E329" s="15" t="n">
        <v>265064.28</v>
      </c>
      <c r="F329" s="15" t="n">
        <v>416964.28</v>
      </c>
      <c r="G329" s="15" t="n">
        <f aca="false">E329-D329</f>
        <v>21504</v>
      </c>
      <c r="H329" s="15" t="n">
        <f aca="false">F329-D329</f>
        <v>173404</v>
      </c>
    </row>
    <row r="330" customFormat="false" ht="15" hidden="false" customHeight="false" outlineLevel="0" collapsed="false">
      <c r="A330" s="38" t="n">
        <v>45905</v>
      </c>
      <c r="B330" s="11" t="n">
        <v>5</v>
      </c>
      <c r="C330" s="38" t="n">
        <v>45936</v>
      </c>
      <c r="D330" s="15" t="n">
        <v>209761.94</v>
      </c>
      <c r="E330" s="15" t="n">
        <v>238873.94</v>
      </c>
      <c r="F330" s="15" t="n">
        <v>414207.94</v>
      </c>
      <c r="G330" s="15" t="n">
        <f aca="false">E330-D330</f>
        <v>29112</v>
      </c>
      <c r="H330" s="15" t="n">
        <f aca="false">F330-D330</f>
        <v>204446</v>
      </c>
    </row>
    <row r="331" customFormat="false" ht="15" hidden="false" customHeight="false" outlineLevel="0" collapsed="false">
      <c r="A331" s="38" t="n">
        <v>45905</v>
      </c>
      <c r="B331" s="11" t="n">
        <v>6</v>
      </c>
      <c r="C331" s="38" t="n">
        <v>45943</v>
      </c>
      <c r="D331" s="15" t="n">
        <v>201727.8</v>
      </c>
      <c r="E331" s="15" t="n">
        <v>204235.8</v>
      </c>
      <c r="F331" s="15" t="n">
        <v>343987.8</v>
      </c>
      <c r="G331" s="15" t="n">
        <f aca="false">E331-D331</f>
        <v>2508</v>
      </c>
      <c r="H331" s="15" t="n">
        <f aca="false">F331-D331</f>
        <v>142260</v>
      </c>
    </row>
    <row r="332" customFormat="false" ht="15" hidden="false" customHeight="false" outlineLevel="0" collapsed="false">
      <c r="A332" s="38" t="n">
        <v>45905</v>
      </c>
      <c r="B332" s="11" t="n">
        <v>7</v>
      </c>
      <c r="C332" s="38" t="n">
        <v>45950</v>
      </c>
      <c r="D332" s="15" t="n">
        <v>154962.55</v>
      </c>
      <c r="E332" s="15" t="n">
        <v>198258.55</v>
      </c>
      <c r="F332" s="15" t="n">
        <v>377454.55</v>
      </c>
      <c r="G332" s="15" t="n">
        <f aca="false">E332-D332</f>
        <v>43296</v>
      </c>
      <c r="H332" s="15" t="n">
        <f aca="false">F332-D332</f>
        <v>222492</v>
      </c>
    </row>
    <row r="333" customFormat="false" ht="15" hidden="false" customHeight="false" outlineLevel="0" collapsed="false">
      <c r="A333" s="38" t="n">
        <v>45905</v>
      </c>
      <c r="B333" s="11" t="n">
        <v>8</v>
      </c>
      <c r="C333" s="38" t="n">
        <v>45957</v>
      </c>
      <c r="D333" s="15" t="n">
        <v>1502.51</v>
      </c>
      <c r="E333" s="15" t="n">
        <v>38042.51</v>
      </c>
      <c r="F333" s="15" t="n">
        <v>259538.51</v>
      </c>
      <c r="G333" s="15" t="n">
        <f aca="false">E333-D333</f>
        <v>36540</v>
      </c>
      <c r="H333" s="15" t="n">
        <f aca="false">F333-D333</f>
        <v>258036</v>
      </c>
    </row>
    <row r="334" customFormat="false" ht="15" hidden="false" customHeight="false" outlineLevel="0" collapsed="false">
      <c r="A334" s="38" t="n">
        <v>45905</v>
      </c>
      <c r="B334" s="11" t="n">
        <v>9</v>
      </c>
      <c r="C334" s="38" t="n">
        <v>45964</v>
      </c>
      <c r="D334" s="15" t="n">
        <v>60636.04</v>
      </c>
      <c r="E334" s="15" t="n">
        <v>90396.04</v>
      </c>
      <c r="F334" s="15" t="n">
        <v>550576.04</v>
      </c>
      <c r="G334" s="15" t="n">
        <f aca="false">E334-D334</f>
        <v>29760</v>
      </c>
      <c r="H334" s="15" t="n">
        <f aca="false">F334-D334</f>
        <v>489940</v>
      </c>
    </row>
    <row r="335" customFormat="false" ht="15" hidden="false" customHeight="false" outlineLevel="0" collapsed="false">
      <c r="A335" s="38" t="n">
        <v>45905</v>
      </c>
      <c r="B335" s="11" t="n">
        <v>10</v>
      </c>
      <c r="C335" s="38" t="n">
        <v>45971</v>
      </c>
      <c r="D335" s="15" t="n">
        <v>159413.74</v>
      </c>
      <c r="E335" s="15" t="n">
        <v>200537.74</v>
      </c>
      <c r="F335" s="15" t="n">
        <v>638609.74</v>
      </c>
      <c r="G335" s="15" t="n">
        <f aca="false">E335-D335</f>
        <v>41124</v>
      </c>
      <c r="H335" s="15" t="n">
        <f aca="false">F335-D335</f>
        <v>479196</v>
      </c>
    </row>
    <row r="336" customFormat="false" ht="15" hidden="false" customHeight="false" outlineLevel="0" collapsed="false">
      <c r="A336" s="38" t="n">
        <v>45905</v>
      </c>
      <c r="B336" s="11" t="n">
        <v>11</v>
      </c>
      <c r="C336" s="38" t="n">
        <v>45978</v>
      </c>
      <c r="D336" s="15" t="n">
        <v>346678.09</v>
      </c>
      <c r="E336" s="15" t="n">
        <v>258010.09</v>
      </c>
      <c r="F336" s="15" t="n">
        <v>654358.09</v>
      </c>
      <c r="G336" s="15" t="n">
        <f aca="false">E336-D336</f>
        <v>-88668</v>
      </c>
      <c r="H336" s="15" t="n">
        <f aca="false">F336-D336</f>
        <v>307680</v>
      </c>
    </row>
    <row r="337" customFormat="false" ht="15" hidden="false" customHeight="false" outlineLevel="0" collapsed="false">
      <c r="A337" s="38" t="n">
        <v>45905</v>
      </c>
      <c r="B337" s="11" t="n">
        <v>12</v>
      </c>
      <c r="C337" s="38" t="n">
        <v>45985</v>
      </c>
      <c r="D337" s="15" t="n">
        <v>270581.09</v>
      </c>
      <c r="E337" s="15" t="n">
        <v>72677.09</v>
      </c>
      <c r="F337" s="15" t="n">
        <v>470263.09</v>
      </c>
      <c r="G337" s="15" t="n">
        <f aca="false">E337-D337</f>
        <v>-197904</v>
      </c>
      <c r="H337" s="15" t="n">
        <f aca="false">F337-D337</f>
        <v>199682</v>
      </c>
    </row>
    <row r="338" customFormat="false" ht="15" hidden="false" customHeight="false" outlineLevel="0" collapsed="false">
      <c r="A338" s="38" t="n">
        <v>45905</v>
      </c>
      <c r="B338" s="11" t="n">
        <v>13</v>
      </c>
      <c r="C338" s="38" t="n">
        <v>45992</v>
      </c>
      <c r="D338" s="15" t="n">
        <v>260824.72</v>
      </c>
      <c r="E338" s="15" t="n">
        <v>96592.72</v>
      </c>
      <c r="F338" s="15" t="n">
        <v>544636.72</v>
      </c>
      <c r="G338" s="15" t="n">
        <f aca="false">E338-D338</f>
        <v>-164232</v>
      </c>
      <c r="H338" s="15" t="n">
        <f aca="false">F338-D338</f>
        <v>283812</v>
      </c>
    </row>
    <row r="339" customFormat="false" ht="15" hidden="false" customHeight="false" outlineLevel="0" collapsed="false">
      <c r="A339" s="38" t="n">
        <v>45912</v>
      </c>
      <c r="B339" s="11" t="n">
        <v>1</v>
      </c>
      <c r="C339" s="38" t="n">
        <v>45915</v>
      </c>
      <c r="D339" s="15" t="n">
        <v>344089.59</v>
      </c>
      <c r="E339" s="15" t="n">
        <v>398437.59</v>
      </c>
      <c r="F339" s="15" t="n">
        <v>590881.59</v>
      </c>
      <c r="G339" s="15" t="n">
        <f aca="false">E339-D339</f>
        <v>54348</v>
      </c>
      <c r="H339" s="15" t="n">
        <f aca="false">F339-D339</f>
        <v>246792</v>
      </c>
    </row>
    <row r="340" customFormat="false" ht="15" hidden="false" customHeight="false" outlineLevel="0" collapsed="false">
      <c r="A340" s="38" t="n">
        <v>45912</v>
      </c>
      <c r="B340" s="11" t="n">
        <v>2</v>
      </c>
      <c r="C340" s="38" t="n">
        <v>45922</v>
      </c>
      <c r="D340" s="15" t="n">
        <v>461741.36</v>
      </c>
      <c r="E340" s="15" t="n">
        <v>451901.36</v>
      </c>
      <c r="F340" s="15" t="n">
        <v>661829.36</v>
      </c>
      <c r="G340" s="15" t="n">
        <f aca="false">E340-D340</f>
        <v>-9840</v>
      </c>
      <c r="H340" s="15" t="n">
        <f aca="false">F340-D340</f>
        <v>200088</v>
      </c>
    </row>
    <row r="341" customFormat="false" ht="15" hidden="false" customHeight="false" outlineLevel="0" collapsed="false">
      <c r="A341" s="38" t="n">
        <v>45912</v>
      </c>
      <c r="B341" s="11" t="n">
        <v>3</v>
      </c>
      <c r="C341" s="38" t="n">
        <v>45929</v>
      </c>
      <c r="D341" s="15" t="n">
        <v>243560.28</v>
      </c>
      <c r="E341" s="15" t="n">
        <v>265064.28</v>
      </c>
      <c r="F341" s="15" t="n">
        <v>416964.28</v>
      </c>
      <c r="G341" s="15" t="n">
        <f aca="false">E341-D341</f>
        <v>21504</v>
      </c>
      <c r="H341" s="15" t="n">
        <f aca="false">F341-D341</f>
        <v>173404</v>
      </c>
    </row>
    <row r="342" customFormat="false" ht="15" hidden="false" customHeight="false" outlineLevel="0" collapsed="false">
      <c r="A342" s="38" t="n">
        <v>45912</v>
      </c>
      <c r="B342" s="11" t="n">
        <v>4</v>
      </c>
      <c r="C342" s="38" t="n">
        <v>45936</v>
      </c>
      <c r="D342" s="15" t="n">
        <v>209761.94</v>
      </c>
      <c r="E342" s="15" t="n">
        <v>238873.94</v>
      </c>
      <c r="F342" s="15" t="n">
        <v>414207.94</v>
      </c>
      <c r="G342" s="15" t="n">
        <f aca="false">E342-D342</f>
        <v>29112</v>
      </c>
      <c r="H342" s="15" t="n">
        <f aca="false">F342-D342</f>
        <v>204446</v>
      </c>
    </row>
    <row r="343" customFormat="false" ht="15" hidden="false" customHeight="false" outlineLevel="0" collapsed="false">
      <c r="A343" s="38" t="n">
        <v>45912</v>
      </c>
      <c r="B343" s="11" t="n">
        <v>5</v>
      </c>
      <c r="C343" s="38" t="n">
        <v>45943</v>
      </c>
      <c r="D343" s="15" t="n">
        <v>201727.8</v>
      </c>
      <c r="E343" s="15" t="n">
        <v>188419.8</v>
      </c>
      <c r="F343" s="15" t="n">
        <v>343987.8</v>
      </c>
      <c r="G343" s="15" t="n">
        <f aca="false">E343-D343</f>
        <v>-13308</v>
      </c>
      <c r="H343" s="15" t="n">
        <f aca="false">F343-D343</f>
        <v>142260</v>
      </c>
    </row>
    <row r="344" customFormat="false" ht="15" hidden="false" customHeight="false" outlineLevel="0" collapsed="false">
      <c r="A344" s="38" t="n">
        <v>45912</v>
      </c>
      <c r="B344" s="11" t="n">
        <v>6</v>
      </c>
      <c r="C344" s="38" t="n">
        <v>45950</v>
      </c>
      <c r="D344" s="15" t="n">
        <v>154962.55</v>
      </c>
      <c r="E344" s="15" t="n">
        <v>198258.55</v>
      </c>
      <c r="F344" s="15" t="n">
        <v>377454.55</v>
      </c>
      <c r="G344" s="15" t="n">
        <f aca="false">E344-D344</f>
        <v>43296</v>
      </c>
      <c r="H344" s="15" t="n">
        <f aca="false">F344-D344</f>
        <v>222492</v>
      </c>
    </row>
    <row r="345" customFormat="false" ht="15" hidden="false" customHeight="false" outlineLevel="0" collapsed="false">
      <c r="A345" s="38" t="n">
        <v>45912</v>
      </c>
      <c r="B345" s="11" t="n">
        <v>7</v>
      </c>
      <c r="C345" s="38" t="n">
        <v>45957</v>
      </c>
      <c r="D345" s="15" t="n">
        <v>1502.51</v>
      </c>
      <c r="E345" s="15" t="n">
        <v>53930.51</v>
      </c>
      <c r="F345" s="15" t="n">
        <v>259538.51</v>
      </c>
      <c r="G345" s="15" t="n">
        <f aca="false">E345-D345</f>
        <v>52428</v>
      </c>
      <c r="H345" s="15" t="n">
        <f aca="false">F345-D345</f>
        <v>258036</v>
      </c>
    </row>
    <row r="346" customFormat="false" ht="15" hidden="false" customHeight="false" outlineLevel="0" collapsed="false">
      <c r="A346" s="38" t="n">
        <v>45912</v>
      </c>
      <c r="B346" s="11" t="n">
        <v>8</v>
      </c>
      <c r="C346" s="38" t="n">
        <v>45964</v>
      </c>
      <c r="D346" s="15" t="n">
        <v>60636.04</v>
      </c>
      <c r="E346" s="15" t="n">
        <v>99768.04</v>
      </c>
      <c r="F346" s="15" t="n">
        <v>550576.04</v>
      </c>
      <c r="G346" s="15" t="n">
        <f aca="false">E346-D346</f>
        <v>39132</v>
      </c>
      <c r="H346" s="15" t="n">
        <f aca="false">F346-D346</f>
        <v>489940</v>
      </c>
    </row>
    <row r="347" customFormat="false" ht="15" hidden="false" customHeight="false" outlineLevel="0" collapsed="false">
      <c r="A347" s="38" t="n">
        <v>45912</v>
      </c>
      <c r="B347" s="11" t="n">
        <v>9</v>
      </c>
      <c r="C347" s="38" t="n">
        <v>45971</v>
      </c>
      <c r="D347" s="15" t="n">
        <v>159413.74</v>
      </c>
      <c r="E347" s="15" t="n">
        <v>200537.74</v>
      </c>
      <c r="F347" s="15" t="n">
        <v>638609.74</v>
      </c>
      <c r="G347" s="15" t="n">
        <f aca="false">E347-D347</f>
        <v>41124</v>
      </c>
      <c r="H347" s="15" t="n">
        <f aca="false">F347-D347</f>
        <v>479196</v>
      </c>
    </row>
    <row r="348" customFormat="false" ht="15" hidden="false" customHeight="false" outlineLevel="0" collapsed="false">
      <c r="A348" s="38" t="n">
        <v>45912</v>
      </c>
      <c r="B348" s="11" t="n">
        <v>10</v>
      </c>
      <c r="C348" s="38" t="n">
        <v>45978</v>
      </c>
      <c r="D348" s="15" t="n">
        <v>346678.09</v>
      </c>
      <c r="E348" s="15" t="n">
        <v>215986.09</v>
      </c>
      <c r="F348" s="15" t="n">
        <v>654358.09</v>
      </c>
      <c r="G348" s="15" t="n">
        <f aca="false">E348-D348</f>
        <v>-130692</v>
      </c>
      <c r="H348" s="15" t="n">
        <f aca="false">F348-D348</f>
        <v>307680</v>
      </c>
    </row>
    <row r="349" customFormat="false" ht="15" hidden="false" customHeight="false" outlineLevel="0" collapsed="false">
      <c r="A349" s="38" t="n">
        <v>45912</v>
      </c>
      <c r="B349" s="11" t="n">
        <v>11</v>
      </c>
      <c r="C349" s="38" t="n">
        <v>45985</v>
      </c>
      <c r="D349" s="15" t="n">
        <v>270581.09</v>
      </c>
      <c r="E349" s="15" t="n">
        <v>72677.09</v>
      </c>
      <c r="F349" s="15" t="n">
        <v>470263.09</v>
      </c>
      <c r="G349" s="15" t="n">
        <f aca="false">E349-D349</f>
        <v>-197904</v>
      </c>
      <c r="H349" s="15" t="n">
        <f aca="false">F349-D349</f>
        <v>199682</v>
      </c>
    </row>
    <row r="350" customFormat="false" ht="15" hidden="false" customHeight="false" outlineLevel="0" collapsed="false">
      <c r="A350" s="38" t="n">
        <v>45912</v>
      </c>
      <c r="B350" s="11" t="n">
        <v>12</v>
      </c>
      <c r="C350" s="38" t="n">
        <v>45992</v>
      </c>
      <c r="D350" s="15" t="n">
        <v>260824.72</v>
      </c>
      <c r="E350" s="15" t="n">
        <v>109192.72</v>
      </c>
      <c r="F350" s="15" t="n">
        <v>544636.72</v>
      </c>
      <c r="G350" s="15" t="n">
        <f aca="false">E350-D350</f>
        <v>-151632</v>
      </c>
      <c r="H350" s="15" t="n">
        <f aca="false">F350-D350</f>
        <v>283812</v>
      </c>
    </row>
    <row r="351" customFormat="false" ht="15" hidden="false" customHeight="false" outlineLevel="0" collapsed="false">
      <c r="A351" s="38" t="n">
        <v>45912</v>
      </c>
      <c r="B351" s="11" t="n">
        <v>13</v>
      </c>
      <c r="C351" s="38" t="n">
        <v>45999</v>
      </c>
      <c r="D351" s="15" t="n">
        <v>328180.25</v>
      </c>
      <c r="E351" s="15" t="n">
        <v>216124.25</v>
      </c>
      <c r="F351" s="15" t="n">
        <v>648376.25</v>
      </c>
      <c r="G351" s="15" t="n">
        <f aca="false">E351-D351</f>
        <v>-112056</v>
      </c>
      <c r="H351" s="15" t="n">
        <f aca="false">F351-D351</f>
        <v>320196</v>
      </c>
    </row>
    <row r="352" customFormat="false" ht="15" hidden="false" customHeight="false" outlineLevel="0" collapsed="false">
      <c r="A352" s="38" t="n">
        <v>45919</v>
      </c>
      <c r="B352" s="11" t="n">
        <v>1</v>
      </c>
      <c r="C352" s="38" t="n">
        <v>45922</v>
      </c>
      <c r="D352" s="15" t="n">
        <v>461741.36</v>
      </c>
      <c r="E352" s="15" t="n">
        <v>436493.36</v>
      </c>
      <c r="F352" s="15" t="n">
        <v>661829.36</v>
      </c>
      <c r="G352" s="15" t="n">
        <f aca="false">E352-D352</f>
        <v>-25248</v>
      </c>
      <c r="H352" s="15" t="n">
        <f aca="false">F352-D352</f>
        <v>200088</v>
      </c>
    </row>
    <row r="353" customFormat="false" ht="15" hidden="false" customHeight="false" outlineLevel="0" collapsed="false">
      <c r="A353" s="38" t="n">
        <v>45919</v>
      </c>
      <c r="B353" s="11" t="n">
        <v>2</v>
      </c>
      <c r="C353" s="38" t="n">
        <v>45929</v>
      </c>
      <c r="D353" s="15" t="n">
        <v>243560.28</v>
      </c>
      <c r="E353" s="15" t="n">
        <v>265064.28</v>
      </c>
      <c r="F353" s="15" t="n">
        <v>416964.28</v>
      </c>
      <c r="G353" s="15" t="n">
        <f aca="false">E353-D353</f>
        <v>21504</v>
      </c>
      <c r="H353" s="15" t="n">
        <f aca="false">F353-D353</f>
        <v>173404</v>
      </c>
    </row>
    <row r="354" customFormat="false" ht="15" hidden="false" customHeight="false" outlineLevel="0" collapsed="false">
      <c r="A354" s="38" t="n">
        <v>45919</v>
      </c>
      <c r="B354" s="11" t="n">
        <v>3</v>
      </c>
      <c r="C354" s="38" t="n">
        <v>45936</v>
      </c>
      <c r="D354" s="15" t="n">
        <v>209761.94</v>
      </c>
      <c r="E354" s="15" t="n">
        <v>238873.94</v>
      </c>
      <c r="F354" s="15" t="n">
        <v>414207.94</v>
      </c>
      <c r="G354" s="15" t="n">
        <f aca="false">E354-D354</f>
        <v>29112</v>
      </c>
      <c r="H354" s="15" t="n">
        <f aca="false">F354-D354</f>
        <v>204446</v>
      </c>
    </row>
    <row r="355" customFormat="false" ht="15" hidden="false" customHeight="false" outlineLevel="0" collapsed="false">
      <c r="A355" s="38" t="n">
        <v>45919</v>
      </c>
      <c r="B355" s="11" t="n">
        <v>4</v>
      </c>
      <c r="C355" s="38" t="n">
        <v>45943</v>
      </c>
      <c r="D355" s="15" t="n">
        <v>201727.8</v>
      </c>
      <c r="E355" s="15" t="n">
        <v>188419.8</v>
      </c>
      <c r="F355" s="15" t="n">
        <v>343987.8</v>
      </c>
      <c r="G355" s="15" t="n">
        <f aca="false">E355-D355</f>
        <v>-13308</v>
      </c>
      <c r="H355" s="15" t="n">
        <f aca="false">F355-D355</f>
        <v>142260</v>
      </c>
    </row>
    <row r="356" customFormat="false" ht="15" hidden="false" customHeight="false" outlineLevel="0" collapsed="false">
      <c r="A356" s="38" t="n">
        <v>45919</v>
      </c>
      <c r="B356" s="11" t="n">
        <v>5</v>
      </c>
      <c r="C356" s="38" t="n">
        <v>45950</v>
      </c>
      <c r="D356" s="15" t="n">
        <v>154962.55</v>
      </c>
      <c r="E356" s="15" t="n">
        <v>198258.55</v>
      </c>
      <c r="F356" s="15" t="n">
        <v>377454.55</v>
      </c>
      <c r="G356" s="15" t="n">
        <f aca="false">E356-D356</f>
        <v>43296</v>
      </c>
      <c r="H356" s="15" t="n">
        <f aca="false">F356-D356</f>
        <v>222492</v>
      </c>
    </row>
    <row r="357" customFormat="false" ht="15" hidden="false" customHeight="false" outlineLevel="0" collapsed="false">
      <c r="A357" s="38" t="n">
        <v>45919</v>
      </c>
      <c r="B357" s="11" t="n">
        <v>6</v>
      </c>
      <c r="C357" s="38" t="n">
        <v>45957</v>
      </c>
      <c r="D357" s="15" t="n">
        <v>1502.51</v>
      </c>
      <c r="E357" s="15" t="n">
        <v>53930.51</v>
      </c>
      <c r="F357" s="15" t="n">
        <v>259538.51</v>
      </c>
      <c r="G357" s="15" t="n">
        <f aca="false">E357-D357</f>
        <v>52428</v>
      </c>
      <c r="H357" s="15" t="n">
        <f aca="false">F357-D357</f>
        <v>258036</v>
      </c>
    </row>
    <row r="358" customFormat="false" ht="15" hidden="false" customHeight="false" outlineLevel="0" collapsed="false">
      <c r="A358" s="38" t="n">
        <v>45919</v>
      </c>
      <c r="B358" s="11" t="n">
        <v>7</v>
      </c>
      <c r="C358" s="38" t="n">
        <v>45964</v>
      </c>
      <c r="D358" s="15" t="n">
        <v>60636.04</v>
      </c>
      <c r="E358" s="15" t="n">
        <v>99768.04</v>
      </c>
      <c r="F358" s="15" t="n">
        <v>550576.04</v>
      </c>
      <c r="G358" s="15" t="n">
        <f aca="false">E358-D358</f>
        <v>39132</v>
      </c>
      <c r="H358" s="15" t="n">
        <f aca="false">F358-D358</f>
        <v>489940</v>
      </c>
    </row>
    <row r="359" customFormat="false" ht="15" hidden="false" customHeight="false" outlineLevel="0" collapsed="false">
      <c r="A359" s="38" t="n">
        <v>45919</v>
      </c>
      <c r="B359" s="11" t="n">
        <v>8</v>
      </c>
      <c r="C359" s="38" t="n">
        <v>45971</v>
      </c>
      <c r="D359" s="15" t="n">
        <v>159413.74</v>
      </c>
      <c r="E359" s="15" t="n">
        <v>200537.74</v>
      </c>
      <c r="F359" s="15" t="n">
        <v>638609.74</v>
      </c>
      <c r="G359" s="15" t="n">
        <f aca="false">E359-D359</f>
        <v>41124</v>
      </c>
      <c r="H359" s="15" t="n">
        <f aca="false">F359-D359</f>
        <v>479196</v>
      </c>
    </row>
    <row r="360" customFormat="false" ht="15" hidden="false" customHeight="false" outlineLevel="0" collapsed="false">
      <c r="A360" s="38" t="n">
        <v>45919</v>
      </c>
      <c r="B360" s="11" t="n">
        <v>9</v>
      </c>
      <c r="C360" s="38" t="n">
        <v>45978</v>
      </c>
      <c r="D360" s="15" t="n">
        <v>346678.09</v>
      </c>
      <c r="E360" s="15" t="n">
        <v>258010.09</v>
      </c>
      <c r="F360" s="15" t="n">
        <v>654358.09</v>
      </c>
      <c r="G360" s="15" t="n">
        <f aca="false">E360-D360</f>
        <v>-88668</v>
      </c>
      <c r="H360" s="15" t="n">
        <f aca="false">F360-D360</f>
        <v>307680</v>
      </c>
    </row>
    <row r="361" customFormat="false" ht="15" hidden="false" customHeight="false" outlineLevel="0" collapsed="false">
      <c r="A361" s="38" t="n">
        <v>45919</v>
      </c>
      <c r="B361" s="11" t="n">
        <v>10</v>
      </c>
      <c r="C361" s="38" t="n">
        <v>45985</v>
      </c>
      <c r="D361" s="15" t="n">
        <v>270581.09</v>
      </c>
      <c r="E361" s="15" t="n">
        <v>72677.09</v>
      </c>
      <c r="F361" s="15" t="n">
        <v>470263.09</v>
      </c>
      <c r="G361" s="15" t="n">
        <f aca="false">E361-D361</f>
        <v>-197904</v>
      </c>
      <c r="H361" s="15" t="n">
        <f aca="false">F361-D361</f>
        <v>199682</v>
      </c>
    </row>
    <row r="362" customFormat="false" ht="15" hidden="false" customHeight="false" outlineLevel="0" collapsed="false">
      <c r="A362" s="38" t="n">
        <v>45919</v>
      </c>
      <c r="B362" s="11" t="n">
        <v>11</v>
      </c>
      <c r="C362" s="38" t="n">
        <v>45992</v>
      </c>
      <c r="D362" s="15" t="n">
        <v>260824.72</v>
      </c>
      <c r="E362" s="15" t="n">
        <v>109192.72</v>
      </c>
      <c r="F362" s="15" t="n">
        <v>544636.72</v>
      </c>
      <c r="G362" s="15" t="n">
        <f aca="false">E362-D362</f>
        <v>-151632</v>
      </c>
      <c r="H362" s="15" t="n">
        <f aca="false">F362-D362</f>
        <v>283812</v>
      </c>
    </row>
    <row r="363" customFormat="false" ht="15" hidden="false" customHeight="false" outlineLevel="0" collapsed="false">
      <c r="A363" s="38" t="n">
        <v>45919</v>
      </c>
      <c r="B363" s="11" t="n">
        <v>12</v>
      </c>
      <c r="C363" s="38" t="n">
        <v>45999</v>
      </c>
      <c r="D363" s="15" t="n">
        <v>328180.25</v>
      </c>
      <c r="E363" s="15" t="n">
        <v>242068.25</v>
      </c>
      <c r="F363" s="15" t="n">
        <v>648376.25</v>
      </c>
      <c r="G363" s="15" t="n">
        <f aca="false">E363-D363</f>
        <v>-86112</v>
      </c>
      <c r="H363" s="15" t="n">
        <f aca="false">F363-D363</f>
        <v>320196</v>
      </c>
    </row>
    <row r="364" customFormat="false" ht="15" hidden="false" customHeight="false" outlineLevel="0" collapsed="false">
      <c r="A364" s="38" t="n">
        <v>45919</v>
      </c>
      <c r="B364" s="11" t="n">
        <v>13</v>
      </c>
      <c r="C364" s="38" t="n">
        <v>46006</v>
      </c>
      <c r="D364" s="15" t="n">
        <v>378395.15</v>
      </c>
      <c r="E364" s="15" t="n">
        <v>357693.15</v>
      </c>
      <c r="F364" s="15" t="n">
        <v>753083.15</v>
      </c>
      <c r="G364" s="15" t="n">
        <f aca="false">E364-D364</f>
        <v>-20702</v>
      </c>
      <c r="H364" s="15" t="n">
        <f aca="false">F364-D364</f>
        <v>374688</v>
      </c>
    </row>
    <row r="365" customFormat="false" ht="15" hidden="false" customHeight="false" outlineLevel="0" collapsed="false">
      <c r="A365" s="38" t="n">
        <v>45926</v>
      </c>
      <c r="B365" s="11" t="n">
        <v>1</v>
      </c>
      <c r="C365" s="38" t="n">
        <v>45929</v>
      </c>
      <c r="D365" s="15" t="n">
        <v>243560.28</v>
      </c>
      <c r="E365" s="15" t="n">
        <v>208004.28</v>
      </c>
      <c r="F365" s="15" t="n">
        <v>416964.28</v>
      </c>
      <c r="G365" s="15" t="n">
        <f aca="false">E365-D365</f>
        <v>-35556</v>
      </c>
      <c r="H365" s="15" t="n">
        <f aca="false">F365-D365</f>
        <v>173404</v>
      </c>
    </row>
    <row r="366" customFormat="false" ht="15" hidden="false" customHeight="false" outlineLevel="0" collapsed="false">
      <c r="A366" s="38" t="n">
        <v>45926</v>
      </c>
      <c r="B366" s="11" t="n">
        <v>2</v>
      </c>
      <c r="C366" s="38" t="n">
        <v>45936</v>
      </c>
      <c r="D366" s="15" t="n">
        <v>209761.94</v>
      </c>
      <c r="E366" s="15" t="n">
        <v>223297.94</v>
      </c>
      <c r="F366" s="15" t="n">
        <v>414207.94</v>
      </c>
      <c r="G366" s="15" t="n">
        <f aca="false">E366-D366</f>
        <v>13536</v>
      </c>
      <c r="H366" s="15" t="n">
        <f aca="false">F366-D366</f>
        <v>204446</v>
      </c>
    </row>
    <row r="367" customFormat="false" ht="15" hidden="false" customHeight="false" outlineLevel="0" collapsed="false">
      <c r="A367" s="38" t="n">
        <v>45926</v>
      </c>
      <c r="B367" s="11" t="n">
        <v>3</v>
      </c>
      <c r="C367" s="38" t="n">
        <v>45943</v>
      </c>
      <c r="D367" s="15" t="n">
        <v>201727.8</v>
      </c>
      <c r="E367" s="15" t="n">
        <v>204235.8</v>
      </c>
      <c r="F367" s="15" t="n">
        <v>343987.8</v>
      </c>
      <c r="G367" s="15" t="n">
        <f aca="false">E367-D367</f>
        <v>2508</v>
      </c>
      <c r="H367" s="15" t="n">
        <f aca="false">F367-D367</f>
        <v>142260</v>
      </c>
    </row>
    <row r="368" customFormat="false" ht="15" hidden="false" customHeight="false" outlineLevel="0" collapsed="false">
      <c r="A368" s="38" t="n">
        <v>45926</v>
      </c>
      <c r="B368" s="11" t="n">
        <v>4</v>
      </c>
      <c r="C368" s="38" t="n">
        <v>45950</v>
      </c>
      <c r="D368" s="15" t="n">
        <v>154962.55</v>
      </c>
      <c r="E368" s="15" t="n">
        <v>198258.55</v>
      </c>
      <c r="F368" s="15" t="n">
        <v>377454.55</v>
      </c>
      <c r="G368" s="15" t="n">
        <f aca="false">E368-D368</f>
        <v>43296</v>
      </c>
      <c r="H368" s="15" t="n">
        <f aca="false">F368-D368</f>
        <v>222492</v>
      </c>
    </row>
    <row r="369" customFormat="false" ht="15" hidden="false" customHeight="false" outlineLevel="0" collapsed="false">
      <c r="A369" s="38" t="n">
        <v>45926</v>
      </c>
      <c r="B369" s="11" t="n">
        <v>5</v>
      </c>
      <c r="C369" s="38" t="n">
        <v>45957</v>
      </c>
      <c r="D369" s="15" t="n">
        <v>1502.51</v>
      </c>
      <c r="E369" s="15" t="n">
        <v>53930.51</v>
      </c>
      <c r="F369" s="15" t="n">
        <v>259538.51</v>
      </c>
      <c r="G369" s="15" t="n">
        <f aca="false">E369-D369</f>
        <v>52428</v>
      </c>
      <c r="H369" s="15" t="n">
        <f aca="false">F369-D369</f>
        <v>258036</v>
      </c>
    </row>
    <row r="370" customFormat="false" ht="15" hidden="false" customHeight="false" outlineLevel="0" collapsed="false">
      <c r="A370" s="38" t="n">
        <v>45926</v>
      </c>
      <c r="B370" s="11" t="n">
        <v>6</v>
      </c>
      <c r="C370" s="38" t="n">
        <v>45964</v>
      </c>
      <c r="D370" s="15" t="n">
        <v>60636.04</v>
      </c>
      <c r="E370" s="15" t="n">
        <v>99768.04</v>
      </c>
      <c r="F370" s="15" t="n">
        <v>550576.04</v>
      </c>
      <c r="G370" s="15" t="n">
        <f aca="false">E370-D370</f>
        <v>39132</v>
      </c>
      <c r="H370" s="15" t="n">
        <f aca="false">F370-D370</f>
        <v>489940</v>
      </c>
    </row>
    <row r="371" customFormat="false" ht="15" hidden="false" customHeight="false" outlineLevel="0" collapsed="false">
      <c r="A371" s="38" t="n">
        <v>45926</v>
      </c>
      <c r="B371" s="11" t="n">
        <v>7</v>
      </c>
      <c r="C371" s="38" t="n">
        <v>45971</v>
      </c>
      <c r="D371" s="15" t="n">
        <v>159413.74</v>
      </c>
      <c r="E371" s="15" t="n">
        <v>200537.74</v>
      </c>
      <c r="F371" s="15" t="n">
        <v>638609.74</v>
      </c>
      <c r="G371" s="15" t="n">
        <f aca="false">E371-D371</f>
        <v>41124</v>
      </c>
      <c r="H371" s="15" t="n">
        <f aca="false">F371-D371</f>
        <v>479196</v>
      </c>
    </row>
    <row r="372" customFormat="false" ht="15" hidden="false" customHeight="false" outlineLevel="0" collapsed="false">
      <c r="A372" s="38" t="n">
        <v>45926</v>
      </c>
      <c r="B372" s="11" t="n">
        <v>8</v>
      </c>
      <c r="C372" s="38" t="n">
        <v>45978</v>
      </c>
      <c r="D372" s="15" t="n">
        <v>346678.09</v>
      </c>
      <c r="E372" s="15" t="n">
        <v>258010.09</v>
      </c>
      <c r="F372" s="15" t="n">
        <v>654358.09</v>
      </c>
      <c r="G372" s="15" t="n">
        <f aca="false">E372-D372</f>
        <v>-88668</v>
      </c>
      <c r="H372" s="15" t="n">
        <f aca="false">F372-D372</f>
        <v>307680</v>
      </c>
    </row>
    <row r="373" customFormat="false" ht="15" hidden="false" customHeight="false" outlineLevel="0" collapsed="false">
      <c r="A373" s="38" t="n">
        <v>45926</v>
      </c>
      <c r="B373" s="11" t="n">
        <v>9</v>
      </c>
      <c r="C373" s="38" t="n">
        <v>45985</v>
      </c>
      <c r="D373" s="15" t="n">
        <v>270581.09</v>
      </c>
      <c r="E373" s="15" t="n">
        <v>72677.09</v>
      </c>
      <c r="F373" s="15" t="n">
        <v>470263.09</v>
      </c>
      <c r="G373" s="15" t="n">
        <f aca="false">E373-D373</f>
        <v>-197904</v>
      </c>
      <c r="H373" s="15" t="n">
        <f aca="false">F373-D373</f>
        <v>199682</v>
      </c>
    </row>
    <row r="374" customFormat="false" ht="15" hidden="false" customHeight="false" outlineLevel="0" collapsed="false">
      <c r="A374" s="38" t="n">
        <v>45926</v>
      </c>
      <c r="B374" s="11" t="n">
        <v>10</v>
      </c>
      <c r="C374" s="38" t="n">
        <v>45992</v>
      </c>
      <c r="D374" s="15" t="n">
        <v>260824.72</v>
      </c>
      <c r="E374" s="15" t="n">
        <v>109192.72</v>
      </c>
      <c r="F374" s="15" t="n">
        <v>544636.72</v>
      </c>
      <c r="G374" s="15" t="n">
        <f aca="false">E374-D374</f>
        <v>-151632</v>
      </c>
      <c r="H374" s="15" t="n">
        <f aca="false">F374-D374</f>
        <v>283812</v>
      </c>
    </row>
    <row r="375" customFormat="false" ht="15" hidden="false" customHeight="false" outlineLevel="0" collapsed="false">
      <c r="A375" s="38" t="n">
        <v>45926</v>
      </c>
      <c r="B375" s="11" t="n">
        <v>11</v>
      </c>
      <c r="C375" s="38" t="n">
        <v>45999</v>
      </c>
      <c r="D375" s="15" t="n">
        <v>328180.25</v>
      </c>
      <c r="E375" s="15" t="n">
        <v>242068.25</v>
      </c>
      <c r="F375" s="15" t="n">
        <v>648376.25</v>
      </c>
      <c r="G375" s="15" t="n">
        <f aca="false">E375-D375</f>
        <v>-86112</v>
      </c>
      <c r="H375" s="15" t="n">
        <f aca="false">F375-D375</f>
        <v>320196</v>
      </c>
    </row>
    <row r="376" customFormat="false" ht="15" hidden="false" customHeight="false" outlineLevel="0" collapsed="false">
      <c r="A376" s="38" t="n">
        <v>45926</v>
      </c>
      <c r="B376" s="11" t="n">
        <v>12</v>
      </c>
      <c r="C376" s="38" t="n">
        <v>46006</v>
      </c>
      <c r="D376" s="15" t="n">
        <v>378395.15</v>
      </c>
      <c r="E376" s="15" t="n">
        <v>357693.15</v>
      </c>
      <c r="F376" s="15" t="n">
        <v>753083.15</v>
      </c>
      <c r="G376" s="15" t="n">
        <f aca="false">E376-D376</f>
        <v>-20702</v>
      </c>
      <c r="H376" s="15" t="n">
        <f aca="false">F376-D376</f>
        <v>374688</v>
      </c>
    </row>
    <row r="377" customFormat="false" ht="15" hidden="false" customHeight="false" outlineLevel="0" collapsed="false">
      <c r="A377" s="38" t="n">
        <v>45926</v>
      </c>
      <c r="B377" s="11" t="n">
        <v>13</v>
      </c>
      <c r="C377" s="38" t="n">
        <v>46013</v>
      </c>
      <c r="D377" s="15" t="n">
        <v>377567.34</v>
      </c>
      <c r="E377" s="15" t="n">
        <v>478403.34</v>
      </c>
      <c r="F377" s="15" t="n">
        <v>767415.34</v>
      </c>
      <c r="G377" s="15" t="n">
        <f aca="false">E377-D377</f>
        <v>100836</v>
      </c>
      <c r="H377" s="15" t="n">
        <f aca="false">F377-D377</f>
        <v>389848</v>
      </c>
    </row>
    <row r="378" customFormat="false" ht="15" hidden="false" customHeight="false" outlineLevel="0" collapsed="false">
      <c r="A378" s="38" t="n">
        <v>45933</v>
      </c>
      <c r="B378" s="11" t="n">
        <v>1</v>
      </c>
      <c r="C378" s="38" t="n">
        <v>45936</v>
      </c>
      <c r="D378" s="15" t="n">
        <v>209761.94</v>
      </c>
      <c r="E378" s="15" t="n">
        <v>188893.94</v>
      </c>
      <c r="F378" s="15" t="n">
        <v>414207.94</v>
      </c>
      <c r="G378" s="15" t="n">
        <f aca="false">E378-D378</f>
        <v>-20868</v>
      </c>
      <c r="H378" s="15" t="n">
        <f aca="false">F378-D378</f>
        <v>204446</v>
      </c>
    </row>
    <row r="379" customFormat="false" ht="15" hidden="false" customHeight="false" outlineLevel="0" collapsed="false">
      <c r="A379" s="38" t="n">
        <v>45933</v>
      </c>
      <c r="B379" s="11" t="n">
        <v>2</v>
      </c>
      <c r="C379" s="38" t="n">
        <v>45943</v>
      </c>
      <c r="D379" s="15" t="n">
        <v>201727.8</v>
      </c>
      <c r="E379" s="15" t="n">
        <v>188419.8</v>
      </c>
      <c r="F379" s="15" t="n">
        <v>343987.8</v>
      </c>
      <c r="G379" s="15" t="n">
        <f aca="false">E379-D379</f>
        <v>-13308</v>
      </c>
      <c r="H379" s="15" t="n">
        <f aca="false">F379-D379</f>
        <v>142260</v>
      </c>
    </row>
    <row r="380" customFormat="false" ht="15" hidden="false" customHeight="false" outlineLevel="0" collapsed="false">
      <c r="A380" s="38" t="n">
        <v>45933</v>
      </c>
      <c r="B380" s="11" t="n">
        <v>3</v>
      </c>
      <c r="C380" s="38" t="n">
        <v>45950</v>
      </c>
      <c r="D380" s="15" t="n">
        <v>154962.55</v>
      </c>
      <c r="E380" s="15" t="n">
        <v>198258.55</v>
      </c>
      <c r="F380" s="15" t="n">
        <v>377454.55</v>
      </c>
      <c r="G380" s="15" t="n">
        <f aca="false">E380-D380</f>
        <v>43296</v>
      </c>
      <c r="H380" s="15" t="n">
        <f aca="false">F380-D380</f>
        <v>222492</v>
      </c>
    </row>
    <row r="381" customFormat="false" ht="15" hidden="false" customHeight="false" outlineLevel="0" collapsed="false">
      <c r="A381" s="38" t="n">
        <v>45933</v>
      </c>
      <c r="B381" s="11" t="n">
        <v>4</v>
      </c>
      <c r="C381" s="38" t="n">
        <v>45957</v>
      </c>
      <c r="D381" s="15" t="n">
        <v>1502.51</v>
      </c>
      <c r="E381" s="15" t="n">
        <v>53930.51</v>
      </c>
      <c r="F381" s="15" t="n">
        <v>259538.51</v>
      </c>
      <c r="G381" s="15" t="n">
        <f aca="false">E381-D381</f>
        <v>52428</v>
      </c>
      <c r="H381" s="15" t="n">
        <f aca="false">F381-D381</f>
        <v>258036</v>
      </c>
    </row>
    <row r="382" customFormat="false" ht="15" hidden="false" customHeight="false" outlineLevel="0" collapsed="false">
      <c r="A382" s="38" t="n">
        <v>45933</v>
      </c>
      <c r="B382" s="11" t="n">
        <v>5</v>
      </c>
      <c r="C382" s="38" t="n">
        <v>45964</v>
      </c>
      <c r="D382" s="15" t="n">
        <v>60636.04</v>
      </c>
      <c r="E382" s="15" t="n">
        <v>99768.04</v>
      </c>
      <c r="F382" s="15" t="n">
        <v>550576.04</v>
      </c>
      <c r="G382" s="15" t="n">
        <f aca="false">E382-D382</f>
        <v>39132</v>
      </c>
      <c r="H382" s="15" t="n">
        <f aca="false">F382-D382</f>
        <v>489940</v>
      </c>
    </row>
    <row r="383" customFormat="false" ht="15" hidden="false" customHeight="false" outlineLevel="0" collapsed="false">
      <c r="A383" s="38" t="n">
        <v>45933</v>
      </c>
      <c r="B383" s="11" t="n">
        <v>6</v>
      </c>
      <c r="C383" s="38" t="n">
        <v>45971</v>
      </c>
      <c r="D383" s="15" t="n">
        <v>159413.74</v>
      </c>
      <c r="E383" s="15" t="n">
        <v>200537.74</v>
      </c>
      <c r="F383" s="15" t="n">
        <v>638609.74</v>
      </c>
      <c r="G383" s="15" t="n">
        <f aca="false">E383-D383</f>
        <v>41124</v>
      </c>
      <c r="H383" s="15" t="n">
        <f aca="false">F383-D383</f>
        <v>479196</v>
      </c>
    </row>
    <row r="384" customFormat="false" ht="15" hidden="false" customHeight="false" outlineLevel="0" collapsed="false">
      <c r="A384" s="38" t="n">
        <v>45933</v>
      </c>
      <c r="B384" s="11" t="n">
        <v>7</v>
      </c>
      <c r="C384" s="38" t="n">
        <v>45978</v>
      </c>
      <c r="D384" s="15" t="n">
        <v>346678.09</v>
      </c>
      <c r="E384" s="15" t="n">
        <v>258010.09</v>
      </c>
      <c r="F384" s="15" t="n">
        <v>654358.09</v>
      </c>
      <c r="G384" s="15" t="n">
        <f aca="false">E384-D384</f>
        <v>-88668</v>
      </c>
      <c r="H384" s="15" t="n">
        <f aca="false">F384-D384</f>
        <v>307680</v>
      </c>
    </row>
    <row r="385" customFormat="false" ht="15" hidden="false" customHeight="false" outlineLevel="0" collapsed="false">
      <c r="A385" s="38" t="n">
        <v>45933</v>
      </c>
      <c r="B385" s="11" t="n">
        <v>8</v>
      </c>
      <c r="C385" s="38" t="n">
        <v>45985</v>
      </c>
      <c r="D385" s="15" t="n">
        <v>270581.09</v>
      </c>
      <c r="E385" s="15" t="n">
        <v>72677.09</v>
      </c>
      <c r="F385" s="15" t="n">
        <v>470263.09</v>
      </c>
      <c r="G385" s="15" t="n">
        <f aca="false">E385-D385</f>
        <v>-197904</v>
      </c>
      <c r="H385" s="15" t="n">
        <f aca="false">F385-D385</f>
        <v>199682</v>
      </c>
    </row>
    <row r="386" customFormat="false" ht="15" hidden="false" customHeight="false" outlineLevel="0" collapsed="false">
      <c r="A386" s="38" t="n">
        <v>45933</v>
      </c>
      <c r="B386" s="11" t="n">
        <v>9</v>
      </c>
      <c r="C386" s="38" t="n">
        <v>45992</v>
      </c>
      <c r="D386" s="15" t="n">
        <v>260824.72</v>
      </c>
      <c r="E386" s="15" t="n">
        <v>109192.72</v>
      </c>
      <c r="F386" s="15" t="n">
        <v>544636.72</v>
      </c>
      <c r="G386" s="15" t="n">
        <f aca="false">E386-D386</f>
        <v>-151632</v>
      </c>
      <c r="H386" s="15" t="n">
        <f aca="false">F386-D386</f>
        <v>283812</v>
      </c>
    </row>
    <row r="387" customFormat="false" ht="15" hidden="false" customHeight="false" outlineLevel="0" collapsed="false">
      <c r="A387" s="38" t="n">
        <v>45933</v>
      </c>
      <c r="B387" s="11" t="n">
        <v>10</v>
      </c>
      <c r="C387" s="38" t="n">
        <v>45999</v>
      </c>
      <c r="D387" s="15" t="n">
        <v>328180.25</v>
      </c>
      <c r="E387" s="15" t="n">
        <v>242068.25</v>
      </c>
      <c r="F387" s="15" t="n">
        <v>648376.25</v>
      </c>
      <c r="G387" s="15" t="n">
        <f aca="false">E387-D387</f>
        <v>-86112</v>
      </c>
      <c r="H387" s="15" t="n">
        <f aca="false">F387-D387</f>
        <v>320196</v>
      </c>
    </row>
    <row r="388" customFormat="false" ht="15" hidden="false" customHeight="false" outlineLevel="0" collapsed="false">
      <c r="A388" s="38" t="n">
        <v>45933</v>
      </c>
      <c r="B388" s="11" t="n">
        <v>11</v>
      </c>
      <c r="C388" s="38" t="n">
        <v>46006</v>
      </c>
      <c r="D388" s="15" t="n">
        <v>378395.15</v>
      </c>
      <c r="E388" s="15" t="n">
        <v>357693.15</v>
      </c>
      <c r="F388" s="15" t="n">
        <v>753083.15</v>
      </c>
      <c r="G388" s="15" t="n">
        <f aca="false">E388-D388</f>
        <v>-20702</v>
      </c>
      <c r="H388" s="15" t="n">
        <f aca="false">F388-D388</f>
        <v>374688</v>
      </c>
    </row>
    <row r="389" customFormat="false" ht="15" hidden="false" customHeight="false" outlineLevel="0" collapsed="false">
      <c r="A389" s="38" t="n">
        <v>45933</v>
      </c>
      <c r="B389" s="11" t="n">
        <v>12</v>
      </c>
      <c r="C389" s="38" t="n">
        <v>46013</v>
      </c>
      <c r="D389" s="15" t="n">
        <v>377567.34</v>
      </c>
      <c r="E389" s="15" t="n">
        <v>478403.34</v>
      </c>
      <c r="F389" s="15" t="n">
        <v>767415.34</v>
      </c>
      <c r="G389" s="15" t="n">
        <f aca="false">E389-D389</f>
        <v>100836</v>
      </c>
      <c r="H389" s="15" t="n">
        <f aca="false">F389-D389</f>
        <v>389848</v>
      </c>
    </row>
    <row r="390" customFormat="false" ht="15" hidden="false" customHeight="false" outlineLevel="0" collapsed="false">
      <c r="A390" s="38" t="n">
        <v>45933</v>
      </c>
      <c r="B390" s="11" t="n">
        <v>13</v>
      </c>
      <c r="C390" s="38" t="n">
        <v>46020</v>
      </c>
      <c r="D390" s="15" t="n">
        <v>322278.56</v>
      </c>
      <c r="E390" s="15" t="n">
        <v>257688.56</v>
      </c>
      <c r="F390" s="15" t="n">
        <v>607680.56</v>
      </c>
      <c r="G390" s="15" t="n">
        <f aca="false">E390-D390</f>
        <v>-64590</v>
      </c>
      <c r="H390" s="15" t="n">
        <f aca="false">F390-D390</f>
        <v>285402</v>
      </c>
    </row>
    <row r="391" customFormat="false" ht="15" hidden="false" customHeight="false" outlineLevel="0" collapsed="false">
      <c r="A391" s="38" t="n">
        <v>45940</v>
      </c>
      <c r="B391" s="11" t="n">
        <v>1</v>
      </c>
      <c r="C391" s="38" t="n">
        <v>45943</v>
      </c>
      <c r="D391" s="15" t="n">
        <v>201727.8</v>
      </c>
      <c r="E391" s="15" t="n">
        <v>174607.8</v>
      </c>
      <c r="F391" s="15" t="n">
        <v>343987.8</v>
      </c>
      <c r="G391" s="15" t="n">
        <f aca="false">E391-D391</f>
        <v>-27120</v>
      </c>
      <c r="H391" s="15" t="n">
        <f aca="false">F391-D391</f>
        <v>142260</v>
      </c>
    </row>
    <row r="392" customFormat="false" ht="15" hidden="false" customHeight="false" outlineLevel="0" collapsed="false">
      <c r="A392" s="38" t="n">
        <v>45940</v>
      </c>
      <c r="B392" s="11" t="n">
        <v>2</v>
      </c>
      <c r="C392" s="38" t="n">
        <v>45950</v>
      </c>
      <c r="D392" s="15" t="n">
        <v>154962.55</v>
      </c>
      <c r="E392" s="15" t="n">
        <v>193602.55</v>
      </c>
      <c r="F392" s="15" t="n">
        <v>377454.55</v>
      </c>
      <c r="G392" s="15" t="n">
        <f aca="false">E392-D392</f>
        <v>38640</v>
      </c>
      <c r="H392" s="15" t="n">
        <f aca="false">F392-D392</f>
        <v>222492</v>
      </c>
    </row>
    <row r="393" customFormat="false" ht="15" hidden="false" customHeight="false" outlineLevel="0" collapsed="false">
      <c r="A393" s="38" t="n">
        <v>45940</v>
      </c>
      <c r="B393" s="11" t="n">
        <v>3</v>
      </c>
      <c r="C393" s="38" t="n">
        <v>45957</v>
      </c>
      <c r="D393" s="15" t="n">
        <v>1502.51</v>
      </c>
      <c r="E393" s="15" t="n">
        <v>53930.51</v>
      </c>
      <c r="F393" s="15" t="n">
        <v>259538.51</v>
      </c>
      <c r="G393" s="15" t="n">
        <f aca="false">E393-D393</f>
        <v>52428</v>
      </c>
      <c r="H393" s="15" t="n">
        <f aca="false">F393-D393</f>
        <v>258036</v>
      </c>
    </row>
    <row r="394" customFormat="false" ht="15" hidden="false" customHeight="false" outlineLevel="0" collapsed="false">
      <c r="A394" s="38" t="n">
        <v>45940</v>
      </c>
      <c r="B394" s="11" t="n">
        <v>4</v>
      </c>
      <c r="C394" s="38" t="n">
        <v>45964</v>
      </c>
      <c r="D394" s="15" t="n">
        <v>60636.04</v>
      </c>
      <c r="E394" s="15" t="n">
        <v>99768.04</v>
      </c>
      <c r="F394" s="15" t="n">
        <v>550576.04</v>
      </c>
      <c r="G394" s="15" t="n">
        <f aca="false">E394-D394</f>
        <v>39132</v>
      </c>
      <c r="H394" s="15" t="n">
        <f aca="false">F394-D394</f>
        <v>489940</v>
      </c>
    </row>
    <row r="395" customFormat="false" ht="15" hidden="false" customHeight="false" outlineLevel="0" collapsed="false">
      <c r="A395" s="38" t="n">
        <v>45940</v>
      </c>
      <c r="B395" s="11" t="n">
        <v>5</v>
      </c>
      <c r="C395" s="38" t="n">
        <v>45971</v>
      </c>
      <c r="D395" s="15" t="n">
        <v>159413.74</v>
      </c>
      <c r="E395" s="15" t="n">
        <v>200537.74</v>
      </c>
      <c r="F395" s="15" t="n">
        <v>638609.74</v>
      </c>
      <c r="G395" s="15" t="n">
        <f aca="false">E395-D395</f>
        <v>41124</v>
      </c>
      <c r="H395" s="15" t="n">
        <f aca="false">F395-D395</f>
        <v>479196</v>
      </c>
    </row>
    <row r="396" customFormat="false" ht="15" hidden="false" customHeight="false" outlineLevel="0" collapsed="false">
      <c r="A396" s="38" t="n">
        <v>45940</v>
      </c>
      <c r="B396" s="11" t="n">
        <v>6</v>
      </c>
      <c r="C396" s="38" t="n">
        <v>45978</v>
      </c>
      <c r="D396" s="15" t="n">
        <v>346678.09</v>
      </c>
      <c r="E396" s="15" t="n">
        <v>258010.09</v>
      </c>
      <c r="F396" s="15" t="n">
        <v>654358.09</v>
      </c>
      <c r="G396" s="15" t="n">
        <f aca="false">E396-D396</f>
        <v>-88668</v>
      </c>
      <c r="H396" s="15" t="n">
        <f aca="false">F396-D396</f>
        <v>307680</v>
      </c>
    </row>
    <row r="397" customFormat="false" ht="15" hidden="false" customHeight="false" outlineLevel="0" collapsed="false">
      <c r="A397" s="38" t="n">
        <v>45940</v>
      </c>
      <c r="B397" s="11" t="n">
        <v>7</v>
      </c>
      <c r="C397" s="38" t="n">
        <v>45985</v>
      </c>
      <c r="D397" s="15" t="n">
        <v>270581.09</v>
      </c>
      <c r="E397" s="15" t="n">
        <v>72677.09</v>
      </c>
      <c r="F397" s="15" t="n">
        <v>470263.09</v>
      </c>
      <c r="G397" s="15" t="n">
        <f aca="false">E397-D397</f>
        <v>-197904</v>
      </c>
      <c r="H397" s="15" t="n">
        <f aca="false">F397-D397</f>
        <v>199682</v>
      </c>
    </row>
    <row r="398" customFormat="false" ht="15" hidden="false" customHeight="false" outlineLevel="0" collapsed="false">
      <c r="A398" s="38" t="n">
        <v>45940</v>
      </c>
      <c r="B398" s="11" t="n">
        <v>8</v>
      </c>
      <c r="C398" s="38" t="n">
        <v>45992</v>
      </c>
      <c r="D398" s="15" t="n">
        <v>260824.72</v>
      </c>
      <c r="E398" s="15" t="n">
        <v>109192.72</v>
      </c>
      <c r="F398" s="15" t="n">
        <v>544636.72</v>
      </c>
      <c r="G398" s="15" t="n">
        <f aca="false">E398-D398</f>
        <v>-151632</v>
      </c>
      <c r="H398" s="15" t="n">
        <f aca="false">F398-D398</f>
        <v>283812</v>
      </c>
    </row>
    <row r="399" customFormat="false" ht="15" hidden="false" customHeight="false" outlineLevel="0" collapsed="false">
      <c r="A399" s="38" t="n">
        <v>45940</v>
      </c>
      <c r="B399" s="11" t="n">
        <v>9</v>
      </c>
      <c r="C399" s="38" t="n">
        <v>45999</v>
      </c>
      <c r="D399" s="15" t="n">
        <v>328180.25</v>
      </c>
      <c r="E399" s="15" t="n">
        <v>242068.25</v>
      </c>
      <c r="F399" s="15" t="n">
        <v>648376.25</v>
      </c>
      <c r="G399" s="15" t="n">
        <f aca="false">E399-D399</f>
        <v>-86112</v>
      </c>
      <c r="H399" s="15" t="n">
        <f aca="false">F399-D399</f>
        <v>320196</v>
      </c>
    </row>
    <row r="400" customFormat="false" ht="15" hidden="false" customHeight="false" outlineLevel="0" collapsed="false">
      <c r="A400" s="38" t="n">
        <v>45940</v>
      </c>
      <c r="B400" s="11" t="n">
        <v>10</v>
      </c>
      <c r="C400" s="38" t="n">
        <v>46006</v>
      </c>
      <c r="D400" s="15" t="n">
        <v>378395.15</v>
      </c>
      <c r="E400" s="15" t="n">
        <v>357693.15</v>
      </c>
      <c r="F400" s="15" t="n">
        <v>753083.15</v>
      </c>
      <c r="G400" s="15" t="n">
        <f aca="false">E400-D400</f>
        <v>-20702</v>
      </c>
      <c r="H400" s="15" t="n">
        <f aca="false">F400-D400</f>
        <v>374688</v>
      </c>
    </row>
    <row r="401" customFormat="false" ht="15" hidden="false" customHeight="false" outlineLevel="0" collapsed="false">
      <c r="A401" s="38" t="n">
        <v>45940</v>
      </c>
      <c r="B401" s="11" t="n">
        <v>11</v>
      </c>
      <c r="C401" s="38" t="n">
        <v>46013</v>
      </c>
      <c r="D401" s="15" t="n">
        <v>377567.34</v>
      </c>
      <c r="E401" s="15" t="n">
        <v>478403.34</v>
      </c>
      <c r="F401" s="15" t="n">
        <v>767415.34</v>
      </c>
      <c r="G401" s="15" t="n">
        <f aca="false">E401-D401</f>
        <v>100836</v>
      </c>
      <c r="H401" s="15" t="n">
        <f aca="false">F401-D401</f>
        <v>389848</v>
      </c>
    </row>
    <row r="402" customFormat="false" ht="15" hidden="false" customHeight="false" outlineLevel="0" collapsed="false">
      <c r="A402" s="38" t="n">
        <v>45940</v>
      </c>
      <c r="B402" s="11" t="n">
        <v>12</v>
      </c>
      <c r="C402" s="38" t="n">
        <v>46020</v>
      </c>
      <c r="D402" s="15" t="n">
        <v>322278.56</v>
      </c>
      <c r="E402" s="15" t="n">
        <v>257688.56</v>
      </c>
      <c r="F402" s="15" t="n">
        <v>607680.56</v>
      </c>
      <c r="G402" s="15" t="n">
        <f aca="false">E402-D402</f>
        <v>-64590</v>
      </c>
      <c r="H402" s="15" t="n">
        <f aca="false">F402-D402</f>
        <v>285402</v>
      </c>
    </row>
    <row r="403" customFormat="false" ht="15" hidden="false" customHeight="false" outlineLevel="0" collapsed="false">
      <c r="A403" s="38" t="n">
        <v>45940</v>
      </c>
      <c r="B403" s="11" t="n">
        <v>13</v>
      </c>
      <c r="C403" s="38" t="n">
        <v>46027</v>
      </c>
      <c r="D403" s="15" t="n">
        <v>380101.44</v>
      </c>
      <c r="E403" s="15" t="n">
        <v>323009.44</v>
      </c>
      <c r="F403" s="15" t="n">
        <v>637813.44</v>
      </c>
      <c r="G403" s="15" t="n">
        <f aca="false">E403-D403</f>
        <v>-57092</v>
      </c>
      <c r="H403" s="15" t="n">
        <f aca="false">F403-D403</f>
        <v>257712</v>
      </c>
    </row>
    <row r="404" customFormat="false" ht="15" hidden="false" customHeight="false" outlineLevel="0" collapsed="false">
      <c r="A404" s="38" t="n">
        <v>45947</v>
      </c>
      <c r="B404" s="11" t="n">
        <v>1</v>
      </c>
      <c r="C404" s="38" t="n">
        <v>45950</v>
      </c>
      <c r="D404" s="15" t="n">
        <v>154962.55</v>
      </c>
      <c r="E404" s="15" t="n">
        <v>224526.55</v>
      </c>
      <c r="F404" s="15" t="n">
        <v>377454.55</v>
      </c>
      <c r="G404" s="15" t="n">
        <f aca="false">E404-D404</f>
        <v>69564</v>
      </c>
      <c r="H404" s="15" t="n">
        <f aca="false">F404-D404</f>
        <v>222492</v>
      </c>
    </row>
    <row r="405" customFormat="false" ht="15" hidden="false" customHeight="false" outlineLevel="0" collapsed="false">
      <c r="A405" s="38" t="n">
        <v>45947</v>
      </c>
      <c r="B405" s="11" t="n">
        <v>2</v>
      </c>
      <c r="C405" s="38" t="n">
        <v>45957</v>
      </c>
      <c r="D405" s="15" t="n">
        <v>1502.51</v>
      </c>
      <c r="E405" s="15" t="n">
        <v>53930.51</v>
      </c>
      <c r="F405" s="15" t="n">
        <v>259538.51</v>
      </c>
      <c r="G405" s="15" t="n">
        <f aca="false">E405-D405</f>
        <v>52428</v>
      </c>
      <c r="H405" s="15" t="n">
        <f aca="false">F405-D405</f>
        <v>258036</v>
      </c>
    </row>
    <row r="406" customFormat="false" ht="15" hidden="false" customHeight="false" outlineLevel="0" collapsed="false">
      <c r="A406" s="38" t="n">
        <v>45947</v>
      </c>
      <c r="B406" s="11" t="n">
        <v>3</v>
      </c>
      <c r="C406" s="38" t="n">
        <v>45964</v>
      </c>
      <c r="D406" s="15" t="n">
        <v>60636.04</v>
      </c>
      <c r="E406" s="15" t="n">
        <v>99768.04</v>
      </c>
      <c r="F406" s="15" t="n">
        <v>550576.04</v>
      </c>
      <c r="G406" s="15" t="n">
        <f aca="false">E406-D406</f>
        <v>39132</v>
      </c>
      <c r="H406" s="15" t="n">
        <f aca="false">F406-D406</f>
        <v>489940</v>
      </c>
    </row>
    <row r="407" customFormat="false" ht="15" hidden="false" customHeight="false" outlineLevel="0" collapsed="false">
      <c r="A407" s="38" t="n">
        <v>45947</v>
      </c>
      <c r="B407" s="11" t="n">
        <v>4</v>
      </c>
      <c r="C407" s="38" t="n">
        <v>45971</v>
      </c>
      <c r="D407" s="15" t="n">
        <v>159413.74</v>
      </c>
      <c r="E407" s="15" t="n">
        <v>200537.74</v>
      </c>
      <c r="F407" s="15" t="n">
        <v>638609.74</v>
      </c>
      <c r="G407" s="15" t="n">
        <f aca="false">E407-D407</f>
        <v>41124</v>
      </c>
      <c r="H407" s="15" t="n">
        <f aca="false">F407-D407</f>
        <v>479196</v>
      </c>
    </row>
    <row r="408" customFormat="false" ht="15" hidden="false" customHeight="false" outlineLevel="0" collapsed="false">
      <c r="A408" s="38" t="n">
        <v>45947</v>
      </c>
      <c r="B408" s="11" t="n">
        <v>5</v>
      </c>
      <c r="C408" s="38" t="n">
        <v>45978</v>
      </c>
      <c r="D408" s="15" t="n">
        <v>346678.09</v>
      </c>
      <c r="E408" s="15" t="n">
        <v>258010.09</v>
      </c>
      <c r="F408" s="15" t="n">
        <v>654358.09</v>
      </c>
      <c r="G408" s="15" t="n">
        <f aca="false">E408-D408</f>
        <v>-88668</v>
      </c>
      <c r="H408" s="15" t="n">
        <f aca="false">F408-D408</f>
        <v>307680</v>
      </c>
    </row>
    <row r="409" customFormat="false" ht="15" hidden="false" customHeight="false" outlineLevel="0" collapsed="false">
      <c r="A409" s="38" t="n">
        <v>45947</v>
      </c>
      <c r="B409" s="11" t="n">
        <v>6</v>
      </c>
      <c r="C409" s="38" t="n">
        <v>45985</v>
      </c>
      <c r="D409" s="15" t="n">
        <v>270581.09</v>
      </c>
      <c r="E409" s="15" t="n">
        <v>72677.09</v>
      </c>
      <c r="F409" s="15" t="n">
        <v>470263.09</v>
      </c>
      <c r="G409" s="15" t="n">
        <f aca="false">E409-D409</f>
        <v>-197904</v>
      </c>
      <c r="H409" s="15" t="n">
        <f aca="false">F409-D409</f>
        <v>199682</v>
      </c>
    </row>
    <row r="410" customFormat="false" ht="15" hidden="false" customHeight="false" outlineLevel="0" collapsed="false">
      <c r="A410" s="38" t="n">
        <v>45947</v>
      </c>
      <c r="B410" s="11" t="n">
        <v>7</v>
      </c>
      <c r="C410" s="38" t="n">
        <v>45992</v>
      </c>
      <c r="D410" s="15" t="n">
        <v>260824.72</v>
      </c>
      <c r="E410" s="15" t="n">
        <v>109192.72</v>
      </c>
      <c r="F410" s="15" t="n">
        <v>544636.72</v>
      </c>
      <c r="G410" s="15" t="n">
        <f aca="false">E410-D410</f>
        <v>-151632</v>
      </c>
      <c r="H410" s="15" t="n">
        <f aca="false">F410-D410</f>
        <v>283812</v>
      </c>
    </row>
    <row r="411" customFormat="false" ht="15" hidden="false" customHeight="false" outlineLevel="0" collapsed="false">
      <c r="A411" s="38" t="n">
        <v>45947</v>
      </c>
      <c r="B411" s="11" t="n">
        <v>8</v>
      </c>
      <c r="C411" s="38" t="n">
        <v>45999</v>
      </c>
      <c r="D411" s="15" t="n">
        <v>328180.25</v>
      </c>
      <c r="E411" s="15" t="n">
        <v>242068.25</v>
      </c>
      <c r="F411" s="15" t="n">
        <v>648376.25</v>
      </c>
      <c r="G411" s="15" t="n">
        <f aca="false">E411-D411</f>
        <v>-86112</v>
      </c>
      <c r="H411" s="15" t="n">
        <f aca="false">F411-D411</f>
        <v>320196</v>
      </c>
    </row>
    <row r="412" customFormat="false" ht="15" hidden="false" customHeight="false" outlineLevel="0" collapsed="false">
      <c r="A412" s="38" t="n">
        <v>45947</v>
      </c>
      <c r="B412" s="11" t="n">
        <v>9</v>
      </c>
      <c r="C412" s="38" t="n">
        <v>46006</v>
      </c>
      <c r="D412" s="15" t="n">
        <v>378395.15</v>
      </c>
      <c r="E412" s="15" t="n">
        <v>357693.15</v>
      </c>
      <c r="F412" s="15" t="n">
        <v>753083.15</v>
      </c>
      <c r="G412" s="15" t="n">
        <f aca="false">E412-D412</f>
        <v>-20702</v>
      </c>
      <c r="H412" s="15" t="n">
        <f aca="false">F412-D412</f>
        <v>374688</v>
      </c>
    </row>
    <row r="413" customFormat="false" ht="15" hidden="false" customHeight="false" outlineLevel="0" collapsed="false">
      <c r="A413" s="38" t="n">
        <v>45947</v>
      </c>
      <c r="B413" s="11" t="n">
        <v>10</v>
      </c>
      <c r="C413" s="38" t="n">
        <v>46013</v>
      </c>
      <c r="D413" s="15" t="n">
        <v>377567.34</v>
      </c>
      <c r="E413" s="15" t="n">
        <v>478403.34</v>
      </c>
      <c r="F413" s="15" t="n">
        <v>767415.34</v>
      </c>
      <c r="G413" s="15" t="n">
        <f aca="false">E413-D413</f>
        <v>100836</v>
      </c>
      <c r="H413" s="15" t="n">
        <f aca="false">F413-D413</f>
        <v>389848</v>
      </c>
    </row>
    <row r="414" customFormat="false" ht="15" hidden="false" customHeight="false" outlineLevel="0" collapsed="false">
      <c r="A414" s="38" t="n">
        <v>45947</v>
      </c>
      <c r="B414" s="11" t="n">
        <v>11</v>
      </c>
      <c r="C414" s="38" t="n">
        <v>46020</v>
      </c>
      <c r="D414" s="15" t="n">
        <v>322278.56</v>
      </c>
      <c r="E414" s="15" t="n">
        <v>257688.56</v>
      </c>
      <c r="F414" s="15" t="n">
        <v>607680.56</v>
      </c>
      <c r="G414" s="15" t="n">
        <f aca="false">E414-D414</f>
        <v>-64590</v>
      </c>
      <c r="H414" s="15" t="n">
        <f aca="false">F414-D414</f>
        <v>285402</v>
      </c>
    </row>
    <row r="415" customFormat="false" ht="15" hidden="false" customHeight="false" outlineLevel="0" collapsed="false">
      <c r="A415" s="38" t="n">
        <v>45947</v>
      </c>
      <c r="B415" s="11" t="n">
        <v>12</v>
      </c>
      <c r="C415" s="38" t="n">
        <v>46027</v>
      </c>
      <c r="D415" s="15" t="n">
        <v>380101.44</v>
      </c>
      <c r="E415" s="15" t="n">
        <v>323009.44</v>
      </c>
      <c r="F415" s="15" t="n">
        <v>637813.44</v>
      </c>
      <c r="G415" s="15" t="n">
        <f aca="false">E415-D415</f>
        <v>-57092</v>
      </c>
      <c r="H415" s="15" t="n">
        <f aca="false">F415-D415</f>
        <v>257712</v>
      </c>
    </row>
    <row r="416" customFormat="false" ht="15" hidden="false" customHeight="false" outlineLevel="0" collapsed="false">
      <c r="A416" s="38" t="n">
        <v>45947</v>
      </c>
      <c r="B416" s="11" t="n">
        <v>13</v>
      </c>
      <c r="C416" s="38" t="n">
        <v>46034</v>
      </c>
      <c r="D416" s="15" t="n">
        <v>376608.93</v>
      </c>
      <c r="E416" s="15" t="n">
        <v>275388.93</v>
      </c>
      <c r="F416" s="15" t="n">
        <v>563362.93</v>
      </c>
      <c r="G416" s="15" t="n">
        <f aca="false">E416-D416</f>
        <v>-101220</v>
      </c>
      <c r="H416" s="15" t="n">
        <f aca="false">F416-D416</f>
        <v>186754</v>
      </c>
    </row>
    <row r="417" customFormat="false" ht="15" hidden="false" customHeight="false" outlineLevel="0" collapsed="false">
      <c r="A417" s="38" t="n">
        <v>45954</v>
      </c>
      <c r="B417" s="11" t="n">
        <v>1</v>
      </c>
      <c r="C417" s="38" t="n">
        <v>45957</v>
      </c>
      <c r="D417" s="15" t="n">
        <v>1502.51</v>
      </c>
      <c r="E417" s="15" t="n">
        <v>53930.51</v>
      </c>
      <c r="F417" s="15" t="n">
        <v>259538.51</v>
      </c>
      <c r="G417" s="15" t="n">
        <f aca="false">E417-D417</f>
        <v>52428</v>
      </c>
      <c r="H417" s="15" t="n">
        <f aca="false">F417-D417</f>
        <v>258036</v>
      </c>
    </row>
    <row r="418" customFormat="false" ht="15" hidden="false" customHeight="false" outlineLevel="0" collapsed="false">
      <c r="A418" s="38" t="n">
        <v>45954</v>
      </c>
      <c r="B418" s="11" t="n">
        <v>2</v>
      </c>
      <c r="C418" s="38" t="n">
        <v>45964</v>
      </c>
      <c r="D418" s="15" t="n">
        <v>60636.04</v>
      </c>
      <c r="E418" s="15" t="n">
        <v>70332.04</v>
      </c>
      <c r="F418" s="15" t="n">
        <v>550576.04</v>
      </c>
      <c r="G418" s="15" t="n">
        <f aca="false">E418-D418</f>
        <v>9695.99999999999</v>
      </c>
      <c r="H418" s="15" t="n">
        <f aca="false">F418-D418</f>
        <v>489940</v>
      </c>
    </row>
    <row r="419" customFormat="false" ht="15" hidden="false" customHeight="false" outlineLevel="0" collapsed="false">
      <c r="A419" s="38" t="n">
        <v>45954</v>
      </c>
      <c r="B419" s="11" t="n">
        <v>3</v>
      </c>
      <c r="C419" s="38" t="n">
        <v>45971</v>
      </c>
      <c r="D419" s="15" t="n">
        <v>159413.74</v>
      </c>
      <c r="E419" s="15" t="n">
        <v>186509.74</v>
      </c>
      <c r="F419" s="15" t="n">
        <v>638609.74</v>
      </c>
      <c r="G419" s="15" t="n">
        <f aca="false">E419-D419</f>
        <v>27096</v>
      </c>
      <c r="H419" s="15" t="n">
        <f aca="false">F419-D419</f>
        <v>479196</v>
      </c>
    </row>
    <row r="420" customFormat="false" ht="15" hidden="false" customHeight="false" outlineLevel="0" collapsed="false">
      <c r="A420" s="38" t="n">
        <v>45954</v>
      </c>
      <c r="B420" s="11" t="n">
        <v>4</v>
      </c>
      <c r="C420" s="38" t="n">
        <v>45978</v>
      </c>
      <c r="D420" s="15" t="n">
        <v>346678.09</v>
      </c>
      <c r="E420" s="15" t="n">
        <v>239470.09</v>
      </c>
      <c r="F420" s="15" t="n">
        <v>654358.09</v>
      </c>
      <c r="G420" s="15" t="n">
        <f aca="false">E420-D420</f>
        <v>-107208</v>
      </c>
      <c r="H420" s="15" t="n">
        <f aca="false">F420-D420</f>
        <v>307680</v>
      </c>
    </row>
    <row r="421" customFormat="false" ht="15" hidden="false" customHeight="false" outlineLevel="0" collapsed="false">
      <c r="A421" s="38" t="n">
        <v>45954</v>
      </c>
      <c r="B421" s="11" t="n">
        <v>5</v>
      </c>
      <c r="C421" s="38" t="n">
        <v>45985</v>
      </c>
      <c r="D421" s="15" t="n">
        <v>270581.09</v>
      </c>
      <c r="E421" s="15" t="n">
        <v>72677.09</v>
      </c>
      <c r="F421" s="15" t="n">
        <v>470263.09</v>
      </c>
      <c r="G421" s="15" t="n">
        <f aca="false">E421-D421</f>
        <v>-197904</v>
      </c>
      <c r="H421" s="15" t="n">
        <f aca="false">F421-D421</f>
        <v>199682</v>
      </c>
    </row>
    <row r="422" customFormat="false" ht="15" hidden="false" customHeight="false" outlineLevel="0" collapsed="false">
      <c r="A422" s="38" t="n">
        <v>45954</v>
      </c>
      <c r="B422" s="11" t="n">
        <v>6</v>
      </c>
      <c r="C422" s="38" t="n">
        <v>45992</v>
      </c>
      <c r="D422" s="15" t="n">
        <v>260824.72</v>
      </c>
      <c r="E422" s="15" t="n">
        <v>109192.72</v>
      </c>
      <c r="F422" s="15" t="n">
        <v>544636.72</v>
      </c>
      <c r="G422" s="15" t="n">
        <f aca="false">E422-D422</f>
        <v>-151632</v>
      </c>
      <c r="H422" s="15" t="n">
        <f aca="false">F422-D422</f>
        <v>283812</v>
      </c>
    </row>
    <row r="423" customFormat="false" ht="15" hidden="false" customHeight="false" outlineLevel="0" collapsed="false">
      <c r="A423" s="38" t="n">
        <v>45954</v>
      </c>
      <c r="B423" s="11" t="n">
        <v>7</v>
      </c>
      <c r="C423" s="38" t="n">
        <v>45999</v>
      </c>
      <c r="D423" s="15" t="n">
        <v>328180.25</v>
      </c>
      <c r="E423" s="15" t="n">
        <v>227800.25</v>
      </c>
      <c r="F423" s="15" t="n">
        <v>648376.25</v>
      </c>
      <c r="G423" s="15" t="n">
        <f aca="false">E423-D423</f>
        <v>-100380</v>
      </c>
      <c r="H423" s="15" t="n">
        <f aca="false">F423-D423</f>
        <v>320196</v>
      </c>
    </row>
    <row r="424" customFormat="false" ht="15" hidden="false" customHeight="false" outlineLevel="0" collapsed="false">
      <c r="A424" s="38" t="n">
        <v>45954</v>
      </c>
      <c r="B424" s="11" t="n">
        <v>8</v>
      </c>
      <c r="C424" s="38" t="n">
        <v>46006</v>
      </c>
      <c r="D424" s="15" t="n">
        <v>378395.15</v>
      </c>
      <c r="E424" s="15" t="n">
        <v>357693.15</v>
      </c>
      <c r="F424" s="15" t="n">
        <v>753083.15</v>
      </c>
      <c r="G424" s="15" t="n">
        <f aca="false">E424-D424</f>
        <v>-20702</v>
      </c>
      <c r="H424" s="15" t="n">
        <f aca="false">F424-D424</f>
        <v>374688</v>
      </c>
    </row>
    <row r="425" customFormat="false" ht="15" hidden="false" customHeight="false" outlineLevel="0" collapsed="false">
      <c r="A425" s="38" t="n">
        <v>45954</v>
      </c>
      <c r="B425" s="11" t="n">
        <v>9</v>
      </c>
      <c r="C425" s="38" t="n">
        <v>46013</v>
      </c>
      <c r="D425" s="15" t="n">
        <v>377567.34</v>
      </c>
      <c r="E425" s="15" t="n">
        <v>431795.34</v>
      </c>
      <c r="F425" s="15" t="n">
        <v>767415.34</v>
      </c>
      <c r="G425" s="15" t="n">
        <f aca="false">E425-D425</f>
        <v>54228</v>
      </c>
      <c r="H425" s="15" t="n">
        <f aca="false">F425-D425</f>
        <v>389848</v>
      </c>
    </row>
    <row r="426" customFormat="false" ht="15" hidden="false" customHeight="false" outlineLevel="0" collapsed="false">
      <c r="A426" s="38" t="n">
        <v>45954</v>
      </c>
      <c r="B426" s="11" t="n">
        <v>10</v>
      </c>
      <c r="C426" s="38" t="n">
        <v>46020</v>
      </c>
      <c r="D426" s="15" t="n">
        <v>322278.56</v>
      </c>
      <c r="E426" s="15" t="n">
        <v>257688.56</v>
      </c>
      <c r="F426" s="15" t="n">
        <v>607680.56</v>
      </c>
      <c r="G426" s="15" t="n">
        <f aca="false">E426-D426</f>
        <v>-64590</v>
      </c>
      <c r="H426" s="15" t="n">
        <f aca="false">F426-D426</f>
        <v>285402</v>
      </c>
    </row>
    <row r="427" customFormat="false" ht="15" hidden="false" customHeight="false" outlineLevel="0" collapsed="false">
      <c r="A427" s="38" t="n">
        <v>45954</v>
      </c>
      <c r="B427" s="11" t="n">
        <v>11</v>
      </c>
      <c r="C427" s="38" t="n">
        <v>46027</v>
      </c>
      <c r="D427" s="15" t="n">
        <v>380101.44</v>
      </c>
      <c r="E427" s="15" t="n">
        <v>323009.44</v>
      </c>
      <c r="F427" s="15" t="n">
        <v>637813.44</v>
      </c>
      <c r="G427" s="15" t="n">
        <f aca="false">E427-D427</f>
        <v>-57092</v>
      </c>
      <c r="H427" s="15" t="n">
        <f aca="false">F427-D427</f>
        <v>257712</v>
      </c>
    </row>
    <row r="428" customFormat="false" ht="15" hidden="false" customHeight="false" outlineLevel="0" collapsed="false">
      <c r="A428" s="38" t="n">
        <v>45954</v>
      </c>
      <c r="B428" s="11" t="n">
        <v>12</v>
      </c>
      <c r="C428" s="38" t="n">
        <v>46034</v>
      </c>
      <c r="D428" s="15" t="n">
        <v>376608.93</v>
      </c>
      <c r="E428" s="15" t="n">
        <v>264516.93</v>
      </c>
      <c r="F428" s="15" t="n">
        <v>563362.93</v>
      </c>
      <c r="G428" s="15" t="n">
        <f aca="false">E428-D428</f>
        <v>-112092</v>
      </c>
      <c r="H428" s="15" t="n">
        <f aca="false">F428-D428</f>
        <v>186754</v>
      </c>
    </row>
    <row r="429" customFormat="false" ht="15" hidden="false" customHeight="false" outlineLevel="0" collapsed="false">
      <c r="A429" s="38" t="n">
        <v>45954</v>
      </c>
      <c r="B429" s="11" t="n">
        <v>13</v>
      </c>
      <c r="C429" s="38" t="n">
        <v>46041</v>
      </c>
      <c r="D429" s="15" t="n">
        <v>474213.27</v>
      </c>
      <c r="E429" s="15" t="n">
        <v>417009.27</v>
      </c>
      <c r="F429" s="15" t="n">
        <v>783621.27</v>
      </c>
      <c r="G429" s="15" t="n">
        <f aca="false">E429-D429</f>
        <v>-57204</v>
      </c>
      <c r="H429" s="15" t="n">
        <f aca="false">F429-D429</f>
        <v>309408</v>
      </c>
    </row>
    <row r="430" customFormat="false" ht="15" hidden="false" customHeight="false" outlineLevel="0" collapsed="false">
      <c r="A430" s="38" t="n">
        <v>45961</v>
      </c>
      <c r="B430" s="11" t="n">
        <v>1</v>
      </c>
      <c r="C430" s="38" t="n">
        <v>45964</v>
      </c>
      <c r="D430" s="15" t="n">
        <v>60636.04</v>
      </c>
      <c r="E430" s="15" t="n">
        <v>23856.04</v>
      </c>
      <c r="F430" s="15" t="n">
        <v>550576.04</v>
      </c>
      <c r="G430" s="15" t="n">
        <f aca="false">E430-D430</f>
        <v>-36780</v>
      </c>
      <c r="H430" s="15" t="n">
        <f aca="false">F430-D430</f>
        <v>489940</v>
      </c>
    </row>
    <row r="431" customFormat="false" ht="15" hidden="false" customHeight="false" outlineLevel="0" collapsed="false">
      <c r="A431" s="38" t="n">
        <v>45961</v>
      </c>
      <c r="B431" s="11" t="n">
        <v>2</v>
      </c>
      <c r="C431" s="38" t="n">
        <v>45971</v>
      </c>
      <c r="D431" s="15" t="n">
        <v>159413.74</v>
      </c>
      <c r="E431" s="15" t="n">
        <v>186509.74</v>
      </c>
      <c r="F431" s="15" t="n">
        <v>638609.74</v>
      </c>
      <c r="G431" s="15" t="n">
        <f aca="false">E431-D431</f>
        <v>27096</v>
      </c>
      <c r="H431" s="15" t="n">
        <f aca="false">F431-D431</f>
        <v>479196</v>
      </c>
    </row>
    <row r="432" customFormat="false" ht="15" hidden="false" customHeight="false" outlineLevel="0" collapsed="false">
      <c r="A432" s="38" t="n">
        <v>45961</v>
      </c>
      <c r="B432" s="11" t="n">
        <v>3</v>
      </c>
      <c r="C432" s="38" t="n">
        <v>45978</v>
      </c>
      <c r="D432" s="15" t="n">
        <v>346678.09</v>
      </c>
      <c r="E432" s="15" t="n">
        <v>239470.09</v>
      </c>
      <c r="F432" s="15" t="n">
        <v>654358.09</v>
      </c>
      <c r="G432" s="15" t="n">
        <f aca="false">E432-D432</f>
        <v>-107208</v>
      </c>
      <c r="H432" s="15" t="n">
        <f aca="false">F432-D432</f>
        <v>307680</v>
      </c>
    </row>
    <row r="433" customFormat="false" ht="15" hidden="false" customHeight="false" outlineLevel="0" collapsed="false">
      <c r="A433" s="38" t="n">
        <v>45961</v>
      </c>
      <c r="B433" s="11" t="n">
        <v>4</v>
      </c>
      <c r="C433" s="38" t="n">
        <v>45985</v>
      </c>
      <c r="D433" s="15" t="n">
        <v>270581.09</v>
      </c>
      <c r="E433" s="15" t="n">
        <v>72677.09</v>
      </c>
      <c r="F433" s="15" t="n">
        <v>470263.09</v>
      </c>
      <c r="G433" s="15" t="n">
        <f aca="false">E433-D433</f>
        <v>-197904</v>
      </c>
      <c r="H433" s="15" t="n">
        <f aca="false">F433-D433</f>
        <v>199682</v>
      </c>
    </row>
    <row r="434" customFormat="false" ht="15" hidden="false" customHeight="false" outlineLevel="0" collapsed="false">
      <c r="A434" s="38" t="n">
        <v>45961</v>
      </c>
      <c r="B434" s="11" t="n">
        <v>5</v>
      </c>
      <c r="C434" s="38" t="n">
        <v>45992</v>
      </c>
      <c r="D434" s="15" t="n">
        <v>260824.72</v>
      </c>
      <c r="E434" s="15" t="n">
        <v>101644.72</v>
      </c>
      <c r="F434" s="15" t="n">
        <v>544636.72</v>
      </c>
      <c r="G434" s="15" t="n">
        <f aca="false">E434-D434</f>
        <v>-159180</v>
      </c>
      <c r="H434" s="15" t="n">
        <f aca="false">F434-D434</f>
        <v>283812</v>
      </c>
    </row>
    <row r="435" customFormat="false" ht="15" hidden="false" customHeight="false" outlineLevel="0" collapsed="false">
      <c r="A435" s="38" t="n">
        <v>45961</v>
      </c>
      <c r="B435" s="11" t="n">
        <v>6</v>
      </c>
      <c r="C435" s="38" t="n">
        <v>45999</v>
      </c>
      <c r="D435" s="15" t="n">
        <v>328180.25</v>
      </c>
      <c r="E435" s="15" t="n">
        <v>220120.25</v>
      </c>
      <c r="F435" s="15" t="n">
        <v>648376.25</v>
      </c>
      <c r="G435" s="15" t="n">
        <f aca="false">E435-D435</f>
        <v>-108060</v>
      </c>
      <c r="H435" s="15" t="n">
        <f aca="false">F435-D435</f>
        <v>320196</v>
      </c>
    </row>
    <row r="436" customFormat="false" ht="15" hidden="false" customHeight="false" outlineLevel="0" collapsed="false">
      <c r="A436" s="38" t="n">
        <v>45961</v>
      </c>
      <c r="B436" s="11" t="n">
        <v>7</v>
      </c>
      <c r="C436" s="38" t="n">
        <v>46006</v>
      </c>
      <c r="D436" s="15" t="n">
        <v>378395.15</v>
      </c>
      <c r="E436" s="15" t="n">
        <v>351249.15</v>
      </c>
      <c r="F436" s="15" t="n">
        <v>753083.15</v>
      </c>
      <c r="G436" s="15" t="n">
        <f aca="false">E436-D436</f>
        <v>-27146</v>
      </c>
      <c r="H436" s="15" t="n">
        <f aca="false">F436-D436</f>
        <v>374688</v>
      </c>
    </row>
    <row r="437" customFormat="false" ht="15" hidden="false" customHeight="false" outlineLevel="0" collapsed="false">
      <c r="A437" s="38" t="n">
        <v>45961</v>
      </c>
      <c r="B437" s="11" t="n">
        <v>8</v>
      </c>
      <c r="C437" s="38" t="n">
        <v>46013</v>
      </c>
      <c r="D437" s="15" t="n">
        <v>377567.34</v>
      </c>
      <c r="E437" s="15" t="n">
        <v>431795.34</v>
      </c>
      <c r="F437" s="15" t="n">
        <v>767415.34</v>
      </c>
      <c r="G437" s="15" t="n">
        <f aca="false">E437-D437</f>
        <v>54228</v>
      </c>
      <c r="H437" s="15" t="n">
        <f aca="false">F437-D437</f>
        <v>389848</v>
      </c>
    </row>
    <row r="438" customFormat="false" ht="15" hidden="false" customHeight="false" outlineLevel="0" collapsed="false">
      <c r="A438" s="38" t="n">
        <v>45961</v>
      </c>
      <c r="B438" s="11" t="n">
        <v>9</v>
      </c>
      <c r="C438" s="38" t="n">
        <v>46020</v>
      </c>
      <c r="D438" s="15" t="n">
        <v>322278.56</v>
      </c>
      <c r="E438" s="15" t="n">
        <v>257688.56</v>
      </c>
      <c r="F438" s="15" t="n">
        <v>607680.56</v>
      </c>
      <c r="G438" s="15" t="n">
        <f aca="false">E438-D438</f>
        <v>-64590</v>
      </c>
      <c r="H438" s="15" t="n">
        <f aca="false">F438-D438</f>
        <v>285402</v>
      </c>
    </row>
    <row r="439" customFormat="false" ht="15" hidden="false" customHeight="false" outlineLevel="0" collapsed="false">
      <c r="A439" s="38" t="n">
        <v>45961</v>
      </c>
      <c r="B439" s="11" t="n">
        <v>10</v>
      </c>
      <c r="C439" s="38" t="n">
        <v>46027</v>
      </c>
      <c r="D439" s="15" t="n">
        <v>380101.44</v>
      </c>
      <c r="E439" s="15" t="n">
        <v>319373.44</v>
      </c>
      <c r="F439" s="15" t="n">
        <v>637813.44</v>
      </c>
      <c r="G439" s="15" t="n">
        <f aca="false">E439-D439</f>
        <v>-60728</v>
      </c>
      <c r="H439" s="15" t="n">
        <f aca="false">F439-D439</f>
        <v>257712</v>
      </c>
    </row>
    <row r="440" customFormat="false" ht="15" hidden="false" customHeight="false" outlineLevel="0" collapsed="false">
      <c r="A440" s="38" t="n">
        <v>45961</v>
      </c>
      <c r="B440" s="11" t="n">
        <v>11</v>
      </c>
      <c r="C440" s="38" t="n">
        <v>46034</v>
      </c>
      <c r="D440" s="15" t="n">
        <v>376608.93</v>
      </c>
      <c r="E440" s="15" t="n">
        <v>264516.93</v>
      </c>
      <c r="F440" s="15" t="n">
        <v>563362.93</v>
      </c>
      <c r="G440" s="15" t="n">
        <f aca="false">E440-D440</f>
        <v>-112092</v>
      </c>
      <c r="H440" s="15" t="n">
        <f aca="false">F440-D440</f>
        <v>186754</v>
      </c>
    </row>
    <row r="441" customFormat="false" ht="15" hidden="false" customHeight="false" outlineLevel="0" collapsed="false">
      <c r="A441" s="38" t="n">
        <v>45961</v>
      </c>
      <c r="B441" s="11" t="n">
        <v>12</v>
      </c>
      <c r="C441" s="38" t="n">
        <v>46041</v>
      </c>
      <c r="D441" s="15" t="n">
        <v>474213.27</v>
      </c>
      <c r="E441" s="15" t="n">
        <v>417009.27</v>
      </c>
      <c r="F441" s="15" t="n">
        <v>783621.27</v>
      </c>
      <c r="G441" s="15" t="n">
        <f aca="false">E441-D441</f>
        <v>-57204</v>
      </c>
      <c r="H441" s="15" t="n">
        <f aca="false">F441-D441</f>
        <v>309408</v>
      </c>
    </row>
    <row r="442" customFormat="false" ht="15" hidden="false" customHeight="false" outlineLevel="0" collapsed="false">
      <c r="A442" s="38" t="n">
        <v>45961</v>
      </c>
      <c r="B442" s="11" t="n">
        <v>13</v>
      </c>
      <c r="C442" s="38" t="n">
        <v>46048</v>
      </c>
      <c r="D442" s="15" t="n">
        <v>255081.99</v>
      </c>
      <c r="E442" s="15" t="n">
        <v>287973.99</v>
      </c>
      <c r="F442" s="15" t="n">
        <v>605297.99</v>
      </c>
      <c r="G442" s="15" t="n">
        <f aca="false">E442-D442</f>
        <v>32892</v>
      </c>
      <c r="H442" s="15" t="n">
        <f aca="false">F442-D442</f>
        <v>350216</v>
      </c>
    </row>
    <row r="443" customFormat="false" ht="15" hidden="false" customHeight="false" outlineLevel="0" collapsed="false">
      <c r="A443" s="38" t="n">
        <v>45968</v>
      </c>
      <c r="B443" s="11" t="n">
        <v>1</v>
      </c>
      <c r="C443" s="38" t="n">
        <v>45971</v>
      </c>
      <c r="D443" s="15" t="n">
        <v>159413.74</v>
      </c>
      <c r="E443" s="15" t="n">
        <v>164633.74</v>
      </c>
      <c r="F443" s="15" t="n">
        <v>638609.74</v>
      </c>
      <c r="G443" s="15" t="n">
        <f aca="false">E443-D443</f>
        <v>5220</v>
      </c>
      <c r="H443" s="15" t="n">
        <f aca="false">F443-D443</f>
        <v>479196</v>
      </c>
    </row>
    <row r="444" customFormat="false" ht="15" hidden="false" customHeight="false" outlineLevel="0" collapsed="false">
      <c r="A444" s="38" t="n">
        <v>45968</v>
      </c>
      <c r="B444" s="11" t="n">
        <v>2</v>
      </c>
      <c r="C444" s="38" t="n">
        <v>45978</v>
      </c>
      <c r="D444" s="15" t="n">
        <v>346678.09</v>
      </c>
      <c r="E444" s="15" t="n">
        <v>183418.09</v>
      </c>
      <c r="F444" s="15" t="n">
        <v>654358.09</v>
      </c>
      <c r="G444" s="15" t="n">
        <f aca="false">E444-D444</f>
        <v>-163260</v>
      </c>
      <c r="H444" s="15" t="n">
        <f aca="false">F444-D444</f>
        <v>307680</v>
      </c>
    </row>
    <row r="445" customFormat="false" ht="15" hidden="false" customHeight="false" outlineLevel="0" collapsed="false">
      <c r="A445" s="38" t="n">
        <v>45968</v>
      </c>
      <c r="B445" s="11" t="n">
        <v>3</v>
      </c>
      <c r="C445" s="38" t="n">
        <v>45985</v>
      </c>
      <c r="D445" s="15" t="n">
        <v>270581.09</v>
      </c>
      <c r="E445" s="15" t="n">
        <v>72677.09</v>
      </c>
      <c r="F445" s="15" t="n">
        <v>470263.09</v>
      </c>
      <c r="G445" s="15" t="n">
        <f aca="false">E445-D445</f>
        <v>-197904</v>
      </c>
      <c r="H445" s="15" t="n">
        <f aca="false">F445-D445</f>
        <v>199682</v>
      </c>
    </row>
    <row r="446" customFormat="false" ht="15" hidden="false" customHeight="false" outlineLevel="0" collapsed="false">
      <c r="A446" s="38" t="n">
        <v>45968</v>
      </c>
      <c r="B446" s="11" t="n">
        <v>4</v>
      </c>
      <c r="C446" s="38" t="n">
        <v>45992</v>
      </c>
      <c r="D446" s="15" t="n">
        <v>260824.72</v>
      </c>
      <c r="E446" s="15" t="n">
        <v>109192.72</v>
      </c>
      <c r="F446" s="15" t="n">
        <v>544636.72</v>
      </c>
      <c r="G446" s="15" t="n">
        <f aca="false">E446-D446</f>
        <v>-151632</v>
      </c>
      <c r="H446" s="15" t="n">
        <f aca="false">F446-D446</f>
        <v>283812</v>
      </c>
    </row>
    <row r="447" customFormat="false" ht="15" hidden="false" customHeight="false" outlineLevel="0" collapsed="false">
      <c r="A447" s="38" t="n">
        <v>45968</v>
      </c>
      <c r="B447" s="11" t="n">
        <v>5</v>
      </c>
      <c r="C447" s="38" t="n">
        <v>45999</v>
      </c>
      <c r="D447" s="15" t="n">
        <v>328180.25</v>
      </c>
      <c r="E447" s="15" t="n">
        <v>227800.25</v>
      </c>
      <c r="F447" s="15" t="n">
        <v>648376.25</v>
      </c>
      <c r="G447" s="15" t="n">
        <f aca="false">E447-D447</f>
        <v>-100380</v>
      </c>
      <c r="H447" s="15" t="n">
        <f aca="false">F447-D447</f>
        <v>320196</v>
      </c>
    </row>
    <row r="448" customFormat="false" ht="15" hidden="false" customHeight="false" outlineLevel="0" collapsed="false">
      <c r="A448" s="38" t="n">
        <v>45968</v>
      </c>
      <c r="B448" s="11" t="n">
        <v>6</v>
      </c>
      <c r="C448" s="38" t="n">
        <v>46006</v>
      </c>
      <c r="D448" s="15" t="n">
        <v>378395.15</v>
      </c>
      <c r="E448" s="15" t="n">
        <v>357693.15</v>
      </c>
      <c r="F448" s="15" t="n">
        <v>753083.15</v>
      </c>
      <c r="G448" s="15" t="n">
        <f aca="false">E448-D448</f>
        <v>-20702</v>
      </c>
      <c r="H448" s="15" t="n">
        <f aca="false">F448-D448</f>
        <v>374688</v>
      </c>
    </row>
    <row r="449" customFormat="false" ht="15" hidden="false" customHeight="false" outlineLevel="0" collapsed="false">
      <c r="A449" s="38" t="n">
        <v>45968</v>
      </c>
      <c r="B449" s="11" t="n">
        <v>7</v>
      </c>
      <c r="C449" s="38" t="n">
        <v>46013</v>
      </c>
      <c r="D449" s="15" t="n">
        <v>377567.34</v>
      </c>
      <c r="E449" s="15" t="n">
        <v>471851.34</v>
      </c>
      <c r="F449" s="15" t="n">
        <v>767415.34</v>
      </c>
      <c r="G449" s="15" t="n">
        <f aca="false">E449-D449</f>
        <v>94284</v>
      </c>
      <c r="H449" s="15" t="n">
        <f aca="false">F449-D449</f>
        <v>389848</v>
      </c>
    </row>
    <row r="450" customFormat="false" ht="15" hidden="false" customHeight="false" outlineLevel="0" collapsed="false">
      <c r="A450" s="38" t="n">
        <v>45968</v>
      </c>
      <c r="B450" s="11" t="n">
        <v>8</v>
      </c>
      <c r="C450" s="38" t="n">
        <v>46020</v>
      </c>
      <c r="D450" s="15" t="n">
        <v>322278.56</v>
      </c>
      <c r="E450" s="15" t="n">
        <v>257688.56</v>
      </c>
      <c r="F450" s="15" t="n">
        <v>607680.56</v>
      </c>
      <c r="G450" s="15" t="n">
        <f aca="false">E450-D450</f>
        <v>-64590</v>
      </c>
      <c r="H450" s="15" t="n">
        <f aca="false">F450-D450</f>
        <v>285402</v>
      </c>
    </row>
    <row r="451" customFormat="false" ht="15" hidden="false" customHeight="false" outlineLevel="0" collapsed="false">
      <c r="A451" s="38" t="n">
        <v>45968</v>
      </c>
      <c r="B451" s="11" t="n">
        <v>9</v>
      </c>
      <c r="C451" s="38" t="n">
        <v>46027</v>
      </c>
      <c r="D451" s="15" t="n">
        <v>380101.44</v>
      </c>
      <c r="E451" s="15" t="n">
        <v>323009.44</v>
      </c>
      <c r="F451" s="15" t="n">
        <v>637813.44</v>
      </c>
      <c r="G451" s="15" t="n">
        <f aca="false">E451-D451</f>
        <v>-57092</v>
      </c>
      <c r="H451" s="15" t="n">
        <f aca="false">F451-D451</f>
        <v>257712</v>
      </c>
    </row>
    <row r="452" customFormat="false" ht="15" hidden="false" customHeight="false" outlineLevel="0" collapsed="false">
      <c r="A452" s="38" t="n">
        <v>45968</v>
      </c>
      <c r="B452" s="11" t="n">
        <v>10</v>
      </c>
      <c r="C452" s="38" t="n">
        <v>46034</v>
      </c>
      <c r="D452" s="15" t="n">
        <v>376608.93</v>
      </c>
      <c r="E452" s="15" t="n">
        <v>264516.93</v>
      </c>
      <c r="F452" s="15" t="n">
        <v>563362.93</v>
      </c>
      <c r="G452" s="15" t="n">
        <f aca="false">E452-D452</f>
        <v>-112092</v>
      </c>
      <c r="H452" s="15" t="n">
        <f aca="false">F452-D452</f>
        <v>186754</v>
      </c>
    </row>
    <row r="453" customFormat="false" ht="15" hidden="false" customHeight="false" outlineLevel="0" collapsed="false">
      <c r="A453" s="38" t="n">
        <v>45968</v>
      </c>
      <c r="B453" s="11" t="n">
        <v>11</v>
      </c>
      <c r="C453" s="38" t="n">
        <v>46041</v>
      </c>
      <c r="D453" s="15" t="n">
        <v>474213.27</v>
      </c>
      <c r="E453" s="15" t="n">
        <v>417009.27</v>
      </c>
      <c r="F453" s="15" t="n">
        <v>783621.27</v>
      </c>
      <c r="G453" s="15" t="n">
        <f aca="false">E453-D453</f>
        <v>-57204</v>
      </c>
      <c r="H453" s="15" t="n">
        <f aca="false">F453-D453</f>
        <v>309408</v>
      </c>
    </row>
    <row r="454" customFormat="false" ht="15" hidden="false" customHeight="false" outlineLevel="0" collapsed="false">
      <c r="A454" s="38" t="n">
        <v>45968</v>
      </c>
      <c r="B454" s="11" t="n">
        <v>12</v>
      </c>
      <c r="C454" s="38" t="n">
        <v>46048</v>
      </c>
      <c r="D454" s="15" t="n">
        <v>255081.99</v>
      </c>
      <c r="E454" s="15" t="n">
        <v>287973.99</v>
      </c>
      <c r="F454" s="15" t="n">
        <v>605297.99</v>
      </c>
      <c r="G454" s="15" t="n">
        <f aca="false">E454-D454</f>
        <v>32892</v>
      </c>
      <c r="H454" s="15" t="n">
        <f aca="false">F454-D454</f>
        <v>350216</v>
      </c>
    </row>
    <row r="455" customFormat="false" ht="15" hidden="false" customHeight="false" outlineLevel="0" collapsed="false">
      <c r="A455" s="38" t="n">
        <v>45968</v>
      </c>
      <c r="B455" s="11" t="n">
        <v>13</v>
      </c>
      <c r="C455" s="38" t="n">
        <v>46055</v>
      </c>
      <c r="D455" s="15" t="n">
        <v>333468.98</v>
      </c>
      <c r="E455" s="15" t="n">
        <v>406572.98</v>
      </c>
      <c r="F455" s="15" t="n">
        <v>669888.98</v>
      </c>
      <c r="G455" s="15" t="n">
        <f aca="false">E455-D455</f>
        <v>73104</v>
      </c>
      <c r="H455" s="15" t="n">
        <f aca="false">F455-D455</f>
        <v>336420</v>
      </c>
    </row>
    <row r="456" customFormat="false" ht="15" hidden="false" customHeight="false" outlineLevel="0" collapsed="false">
      <c r="A456" s="38" t="n">
        <v>45975</v>
      </c>
      <c r="B456" s="11" t="n">
        <v>1</v>
      </c>
      <c r="C456" s="38" t="n">
        <v>45978</v>
      </c>
      <c r="D456" s="15" t="n">
        <v>346678.09</v>
      </c>
      <c r="E456" s="15" t="n">
        <v>188806.09</v>
      </c>
      <c r="F456" s="15" t="n">
        <v>654358.09</v>
      </c>
      <c r="G456" s="15" t="n">
        <f aca="false">E456-D456</f>
        <v>-157872</v>
      </c>
      <c r="H456" s="15" t="n">
        <f aca="false">F456-D456</f>
        <v>307680</v>
      </c>
    </row>
    <row r="457" customFormat="false" ht="15" hidden="false" customHeight="false" outlineLevel="0" collapsed="false">
      <c r="A457" s="38" t="n">
        <v>45975</v>
      </c>
      <c r="B457" s="11" t="n">
        <v>2</v>
      </c>
      <c r="C457" s="38" t="n">
        <v>45985</v>
      </c>
      <c r="D457" s="15" t="n">
        <v>270581.09</v>
      </c>
      <c r="E457" s="15" t="n">
        <v>241337.09</v>
      </c>
      <c r="F457" s="15" t="n">
        <v>470263.09</v>
      </c>
      <c r="G457" s="15" t="n">
        <f aca="false">E457-D457</f>
        <v>-29244</v>
      </c>
      <c r="H457" s="15" t="n">
        <f aca="false">F457-D457</f>
        <v>199682</v>
      </c>
    </row>
    <row r="458" customFormat="false" ht="15" hidden="false" customHeight="false" outlineLevel="0" collapsed="false">
      <c r="A458" s="38" t="n">
        <v>45975</v>
      </c>
      <c r="B458" s="11" t="n">
        <v>3</v>
      </c>
      <c r="C458" s="38" t="n">
        <v>45992</v>
      </c>
      <c r="D458" s="15" t="n">
        <v>260824.72</v>
      </c>
      <c r="E458" s="15" t="n">
        <v>288844.72</v>
      </c>
      <c r="F458" s="15" t="n">
        <v>544636.72</v>
      </c>
      <c r="G458" s="15" t="n">
        <f aca="false">E458-D458</f>
        <v>28020</v>
      </c>
      <c r="H458" s="15" t="n">
        <f aca="false">F458-D458</f>
        <v>283812</v>
      </c>
    </row>
    <row r="459" customFormat="false" ht="15" hidden="false" customHeight="false" outlineLevel="0" collapsed="false">
      <c r="A459" s="38" t="n">
        <v>45975</v>
      </c>
      <c r="B459" s="11" t="n">
        <v>4</v>
      </c>
      <c r="C459" s="38" t="n">
        <v>45999</v>
      </c>
      <c r="D459" s="15" t="n">
        <v>328180.25</v>
      </c>
      <c r="E459" s="15" t="n">
        <v>407320.25</v>
      </c>
      <c r="F459" s="15" t="n">
        <v>648376.25</v>
      </c>
      <c r="G459" s="15" t="n">
        <f aca="false">E459-D459</f>
        <v>79140</v>
      </c>
      <c r="H459" s="15" t="n">
        <f aca="false">F459-D459</f>
        <v>320196</v>
      </c>
    </row>
    <row r="460" customFormat="false" ht="15" hidden="false" customHeight="false" outlineLevel="0" collapsed="false">
      <c r="A460" s="38" t="n">
        <v>45975</v>
      </c>
      <c r="B460" s="11" t="n">
        <v>5</v>
      </c>
      <c r="C460" s="38" t="n">
        <v>46006</v>
      </c>
      <c r="D460" s="15" t="n">
        <v>378395.15</v>
      </c>
      <c r="E460" s="15" t="n">
        <v>351249.15</v>
      </c>
      <c r="F460" s="15" t="n">
        <v>753083.15</v>
      </c>
      <c r="G460" s="15" t="n">
        <f aca="false">E460-D460</f>
        <v>-27146</v>
      </c>
      <c r="H460" s="15" t="n">
        <f aca="false">F460-D460</f>
        <v>374688</v>
      </c>
    </row>
    <row r="461" customFormat="false" ht="15" hidden="false" customHeight="false" outlineLevel="0" collapsed="false">
      <c r="A461" s="38" t="n">
        <v>45975</v>
      </c>
      <c r="B461" s="11" t="n">
        <v>6</v>
      </c>
      <c r="C461" s="38" t="n">
        <v>46013</v>
      </c>
      <c r="D461" s="15" t="n">
        <v>377567.34</v>
      </c>
      <c r="E461" s="15" t="n">
        <v>471851.34</v>
      </c>
      <c r="F461" s="15" t="n">
        <v>767415.34</v>
      </c>
      <c r="G461" s="15" t="n">
        <f aca="false">E461-D461</f>
        <v>94284</v>
      </c>
      <c r="H461" s="15" t="n">
        <f aca="false">F461-D461</f>
        <v>389848</v>
      </c>
    </row>
    <row r="462" customFormat="false" ht="15" hidden="false" customHeight="false" outlineLevel="0" collapsed="false">
      <c r="A462" s="38" t="n">
        <v>45975</v>
      </c>
      <c r="B462" s="11" t="n">
        <v>7</v>
      </c>
      <c r="C462" s="38" t="n">
        <v>46020</v>
      </c>
      <c r="D462" s="15" t="n">
        <v>322278.56</v>
      </c>
      <c r="E462" s="15" t="n">
        <v>257688.56</v>
      </c>
      <c r="F462" s="15" t="n">
        <v>607680.56</v>
      </c>
      <c r="G462" s="15" t="n">
        <f aca="false">E462-D462</f>
        <v>-64590</v>
      </c>
      <c r="H462" s="15" t="n">
        <f aca="false">F462-D462</f>
        <v>285402</v>
      </c>
    </row>
    <row r="463" customFormat="false" ht="15" hidden="false" customHeight="false" outlineLevel="0" collapsed="false">
      <c r="A463" s="38" t="n">
        <v>45975</v>
      </c>
      <c r="B463" s="11" t="n">
        <v>8</v>
      </c>
      <c r="C463" s="38" t="n">
        <v>46027</v>
      </c>
      <c r="D463" s="15" t="n">
        <v>380101.44</v>
      </c>
      <c r="E463" s="15" t="n">
        <v>319373.44</v>
      </c>
      <c r="F463" s="15" t="n">
        <v>637813.44</v>
      </c>
      <c r="G463" s="15" t="n">
        <f aca="false">E463-D463</f>
        <v>-60728</v>
      </c>
      <c r="H463" s="15" t="n">
        <f aca="false">F463-D463</f>
        <v>257712</v>
      </c>
    </row>
    <row r="464" customFormat="false" ht="15" hidden="false" customHeight="false" outlineLevel="0" collapsed="false">
      <c r="A464" s="38" t="n">
        <v>45975</v>
      </c>
      <c r="B464" s="11" t="n">
        <v>9</v>
      </c>
      <c r="C464" s="38" t="n">
        <v>46034</v>
      </c>
      <c r="D464" s="15" t="n">
        <v>376608.93</v>
      </c>
      <c r="E464" s="15" t="n">
        <v>264516.93</v>
      </c>
      <c r="F464" s="15" t="n">
        <v>563362.93</v>
      </c>
      <c r="G464" s="15" t="n">
        <f aca="false">E464-D464</f>
        <v>-112092</v>
      </c>
      <c r="H464" s="15" t="n">
        <f aca="false">F464-D464</f>
        <v>186754</v>
      </c>
    </row>
    <row r="465" customFormat="false" ht="15" hidden="false" customHeight="false" outlineLevel="0" collapsed="false">
      <c r="A465" s="38" t="n">
        <v>45975</v>
      </c>
      <c r="B465" s="11" t="n">
        <v>10</v>
      </c>
      <c r="C465" s="38" t="n">
        <v>46041</v>
      </c>
      <c r="D465" s="15" t="n">
        <v>474213.27</v>
      </c>
      <c r="E465" s="15" t="n">
        <v>417009.27</v>
      </c>
      <c r="F465" s="15" t="n">
        <v>783621.27</v>
      </c>
      <c r="G465" s="15" t="n">
        <f aca="false">E465-D465</f>
        <v>-57204</v>
      </c>
      <c r="H465" s="15" t="n">
        <f aca="false">F465-D465</f>
        <v>309408</v>
      </c>
    </row>
    <row r="466" customFormat="false" ht="15" hidden="false" customHeight="false" outlineLevel="0" collapsed="false">
      <c r="A466" s="38" t="n">
        <v>45975</v>
      </c>
      <c r="B466" s="11" t="n">
        <v>11</v>
      </c>
      <c r="C466" s="38" t="n">
        <v>46048</v>
      </c>
      <c r="D466" s="15" t="n">
        <v>255081.99</v>
      </c>
      <c r="E466" s="15" t="n">
        <v>287973.99</v>
      </c>
      <c r="F466" s="15" t="n">
        <v>605297.99</v>
      </c>
      <c r="G466" s="15" t="n">
        <f aca="false">E466-D466</f>
        <v>32892</v>
      </c>
      <c r="H466" s="15" t="n">
        <f aca="false">F466-D466</f>
        <v>350216</v>
      </c>
    </row>
    <row r="467" customFormat="false" ht="15" hidden="false" customHeight="false" outlineLevel="0" collapsed="false">
      <c r="A467" s="38" t="n">
        <v>45975</v>
      </c>
      <c r="B467" s="11" t="n">
        <v>12</v>
      </c>
      <c r="C467" s="38" t="n">
        <v>46055</v>
      </c>
      <c r="D467" s="15" t="n">
        <v>333468.98</v>
      </c>
      <c r="E467" s="15" t="n">
        <v>406572.98</v>
      </c>
      <c r="F467" s="15" t="n">
        <v>669888.98</v>
      </c>
      <c r="G467" s="15" t="n">
        <f aca="false">E467-D467</f>
        <v>73104</v>
      </c>
      <c r="H467" s="15" t="n">
        <f aca="false">F467-D467</f>
        <v>336420</v>
      </c>
    </row>
    <row r="468" customFormat="false" ht="15" hidden="false" customHeight="false" outlineLevel="0" collapsed="false">
      <c r="A468" s="38" t="n">
        <v>45975</v>
      </c>
      <c r="B468" s="11" t="n">
        <v>13</v>
      </c>
      <c r="C468" s="38" t="n">
        <v>46062</v>
      </c>
      <c r="D468" s="15" t="n">
        <v>453277.26</v>
      </c>
      <c r="E468" s="15" t="n">
        <v>471289.26</v>
      </c>
      <c r="F468" s="15" t="n">
        <v>757517.26</v>
      </c>
      <c r="G468" s="15" t="n">
        <f aca="false">E468-D468</f>
        <v>18012</v>
      </c>
      <c r="H468" s="15" t="n">
        <f aca="false">F468-D468</f>
        <v>304240</v>
      </c>
    </row>
    <row r="469" customFormat="false" ht="15" hidden="false" customHeight="false" outlineLevel="0" collapsed="false">
      <c r="A469" s="38" t="n">
        <v>45982</v>
      </c>
      <c r="B469" s="11" t="n">
        <v>1</v>
      </c>
      <c r="C469" s="38" t="n">
        <v>45985</v>
      </c>
      <c r="D469" s="15" t="n">
        <v>270581.09</v>
      </c>
      <c r="E469" s="15" t="n">
        <v>186869.09</v>
      </c>
      <c r="F469" s="15" t="n">
        <v>470263.09</v>
      </c>
      <c r="G469" s="15" t="n">
        <f aca="false">E469-D469</f>
        <v>-83712</v>
      </c>
      <c r="H469" s="15" t="n">
        <f aca="false">F469-D469</f>
        <v>199682</v>
      </c>
    </row>
    <row r="470" customFormat="false" ht="15" hidden="false" customHeight="false" outlineLevel="0" collapsed="false">
      <c r="A470" s="38" t="n">
        <v>45982</v>
      </c>
      <c r="B470" s="11" t="n">
        <v>2</v>
      </c>
      <c r="C470" s="38" t="n">
        <v>45992</v>
      </c>
      <c r="D470" s="15" t="n">
        <v>260824.72</v>
      </c>
      <c r="E470" s="15" t="n">
        <v>241312.72</v>
      </c>
      <c r="F470" s="15" t="n">
        <v>544636.72</v>
      </c>
      <c r="G470" s="15" t="n">
        <f aca="false">E470-D470</f>
        <v>-19512</v>
      </c>
      <c r="H470" s="15" t="n">
        <f aca="false">F470-D470</f>
        <v>283812</v>
      </c>
    </row>
    <row r="471" customFormat="false" ht="15" hidden="false" customHeight="false" outlineLevel="0" collapsed="false">
      <c r="A471" s="38" t="n">
        <v>45982</v>
      </c>
      <c r="B471" s="11" t="n">
        <v>3</v>
      </c>
      <c r="C471" s="38" t="n">
        <v>45999</v>
      </c>
      <c r="D471" s="15" t="n">
        <v>328180.25</v>
      </c>
      <c r="E471" s="15" t="n">
        <v>402976.25</v>
      </c>
      <c r="F471" s="15" t="n">
        <v>648376.25</v>
      </c>
      <c r="G471" s="15" t="n">
        <f aca="false">E471-D471</f>
        <v>74796</v>
      </c>
      <c r="H471" s="15" t="n">
        <f aca="false">F471-D471</f>
        <v>320196</v>
      </c>
    </row>
    <row r="472" customFormat="false" ht="15" hidden="false" customHeight="false" outlineLevel="0" collapsed="false">
      <c r="A472" s="38" t="n">
        <v>45982</v>
      </c>
      <c r="B472" s="11" t="n">
        <v>4</v>
      </c>
      <c r="C472" s="38" t="n">
        <v>46006</v>
      </c>
      <c r="D472" s="15" t="n">
        <v>378395.15</v>
      </c>
      <c r="E472" s="15" t="n">
        <v>342609.15</v>
      </c>
      <c r="F472" s="15" t="n">
        <v>753083.15</v>
      </c>
      <c r="G472" s="15" t="n">
        <f aca="false">E472-D472</f>
        <v>-35786</v>
      </c>
      <c r="H472" s="15" t="n">
        <f aca="false">F472-D472</f>
        <v>374688</v>
      </c>
    </row>
    <row r="473" customFormat="false" ht="15" hidden="false" customHeight="false" outlineLevel="0" collapsed="false">
      <c r="A473" s="38" t="n">
        <v>45982</v>
      </c>
      <c r="B473" s="11" t="n">
        <v>5</v>
      </c>
      <c r="C473" s="38" t="n">
        <v>46013</v>
      </c>
      <c r="D473" s="15" t="n">
        <v>377567.34</v>
      </c>
      <c r="E473" s="15" t="n">
        <v>471851.34</v>
      </c>
      <c r="F473" s="15" t="n">
        <v>767415.34</v>
      </c>
      <c r="G473" s="15" t="n">
        <f aca="false">E473-D473</f>
        <v>94284</v>
      </c>
      <c r="H473" s="15" t="n">
        <f aca="false">F473-D473</f>
        <v>389848</v>
      </c>
    </row>
    <row r="474" customFormat="false" ht="15" hidden="false" customHeight="false" outlineLevel="0" collapsed="false">
      <c r="A474" s="38" t="n">
        <v>45982</v>
      </c>
      <c r="B474" s="11" t="n">
        <v>6</v>
      </c>
      <c r="C474" s="38" t="n">
        <v>46020</v>
      </c>
      <c r="D474" s="15" t="n">
        <v>322278.56</v>
      </c>
      <c r="E474" s="15" t="n">
        <v>252828.56</v>
      </c>
      <c r="F474" s="15" t="n">
        <v>607680.56</v>
      </c>
      <c r="G474" s="15" t="n">
        <f aca="false">E474-D474</f>
        <v>-69450</v>
      </c>
      <c r="H474" s="15" t="n">
        <f aca="false">F474-D474</f>
        <v>285402</v>
      </c>
    </row>
    <row r="475" customFormat="false" ht="15" hidden="false" customHeight="false" outlineLevel="0" collapsed="false">
      <c r="A475" s="38" t="n">
        <v>45982</v>
      </c>
      <c r="B475" s="11" t="n">
        <v>7</v>
      </c>
      <c r="C475" s="38" t="n">
        <v>46027</v>
      </c>
      <c r="D475" s="15" t="n">
        <v>380101.44</v>
      </c>
      <c r="E475" s="15" t="n">
        <v>319373.44</v>
      </c>
      <c r="F475" s="15" t="n">
        <v>637813.44</v>
      </c>
      <c r="G475" s="15" t="n">
        <f aca="false">E475-D475</f>
        <v>-60728</v>
      </c>
      <c r="H475" s="15" t="n">
        <f aca="false">F475-D475</f>
        <v>257712</v>
      </c>
    </row>
    <row r="476" customFormat="false" ht="15" hidden="false" customHeight="false" outlineLevel="0" collapsed="false">
      <c r="A476" s="38" t="n">
        <v>45982</v>
      </c>
      <c r="B476" s="11" t="n">
        <v>8</v>
      </c>
      <c r="C476" s="38" t="n">
        <v>46034</v>
      </c>
      <c r="D476" s="15" t="n">
        <v>376608.93</v>
      </c>
      <c r="E476" s="15" t="n">
        <v>404916.93</v>
      </c>
      <c r="F476" s="15" t="n">
        <v>563362.93</v>
      </c>
      <c r="G476" s="15" t="n">
        <f aca="false">E476-D476</f>
        <v>28308</v>
      </c>
      <c r="H476" s="15" t="n">
        <f aca="false">F476-D476</f>
        <v>186754</v>
      </c>
    </row>
    <row r="477" customFormat="false" ht="15" hidden="false" customHeight="false" outlineLevel="0" collapsed="false">
      <c r="A477" s="38" t="n">
        <v>45982</v>
      </c>
      <c r="B477" s="11" t="n">
        <v>9</v>
      </c>
      <c r="C477" s="38" t="n">
        <v>46041</v>
      </c>
      <c r="D477" s="15" t="n">
        <v>474213.27</v>
      </c>
      <c r="E477" s="15" t="n">
        <v>557409.27</v>
      </c>
      <c r="F477" s="15" t="n">
        <v>783621.27</v>
      </c>
      <c r="G477" s="15" t="n">
        <f aca="false">E477-D477</f>
        <v>83196</v>
      </c>
      <c r="H477" s="15" t="n">
        <f aca="false">F477-D477</f>
        <v>309408</v>
      </c>
    </row>
    <row r="478" customFormat="false" ht="15" hidden="false" customHeight="false" outlineLevel="0" collapsed="false">
      <c r="A478" s="38" t="n">
        <v>45982</v>
      </c>
      <c r="B478" s="11" t="n">
        <v>10</v>
      </c>
      <c r="C478" s="38" t="n">
        <v>46048</v>
      </c>
      <c r="D478" s="15" t="n">
        <v>255081.99</v>
      </c>
      <c r="E478" s="15" t="n">
        <v>267321.99</v>
      </c>
      <c r="F478" s="15" t="n">
        <v>605297.99</v>
      </c>
      <c r="G478" s="15" t="n">
        <f aca="false">E478-D478</f>
        <v>12240</v>
      </c>
      <c r="H478" s="15" t="n">
        <f aca="false">F478-D478</f>
        <v>350216</v>
      </c>
    </row>
    <row r="479" customFormat="false" ht="15" hidden="false" customHeight="false" outlineLevel="0" collapsed="false">
      <c r="A479" s="38" t="n">
        <v>45982</v>
      </c>
      <c r="B479" s="11" t="n">
        <v>11</v>
      </c>
      <c r="C479" s="38" t="n">
        <v>46055</v>
      </c>
      <c r="D479" s="15" t="n">
        <v>333468.98</v>
      </c>
      <c r="E479" s="15" t="n">
        <v>400908.98</v>
      </c>
      <c r="F479" s="15" t="n">
        <v>669888.98</v>
      </c>
      <c r="G479" s="15" t="n">
        <f aca="false">E479-D479</f>
        <v>67440</v>
      </c>
      <c r="H479" s="15" t="n">
        <f aca="false">F479-D479</f>
        <v>336420</v>
      </c>
    </row>
    <row r="480" customFormat="false" ht="15" hidden="false" customHeight="false" outlineLevel="0" collapsed="false">
      <c r="A480" s="38" t="n">
        <v>45982</v>
      </c>
      <c r="B480" s="11" t="n">
        <v>12</v>
      </c>
      <c r="C480" s="38" t="n">
        <v>46062</v>
      </c>
      <c r="D480" s="15" t="n">
        <v>453277.26</v>
      </c>
      <c r="E480" s="15" t="n">
        <v>471289.26</v>
      </c>
      <c r="F480" s="15" t="n">
        <v>757517.26</v>
      </c>
      <c r="G480" s="15" t="n">
        <f aca="false">E480-D480</f>
        <v>18012</v>
      </c>
      <c r="H480" s="15" t="n">
        <f aca="false">F480-D480</f>
        <v>304240</v>
      </c>
    </row>
    <row r="481" customFormat="false" ht="15" hidden="false" customHeight="false" outlineLevel="0" collapsed="false">
      <c r="A481" s="38" t="n">
        <v>45982</v>
      </c>
      <c r="B481" s="11" t="n">
        <v>13</v>
      </c>
      <c r="C481" s="38" t="n">
        <v>46069</v>
      </c>
      <c r="D481" s="15" t="n">
        <v>479424.35</v>
      </c>
      <c r="E481" s="15" t="n">
        <v>554124.35</v>
      </c>
      <c r="F481" s="15" t="n">
        <v>772842.35</v>
      </c>
      <c r="G481" s="15" t="n">
        <f aca="false">E481-D481</f>
        <v>74700</v>
      </c>
      <c r="H481" s="15" t="n">
        <f aca="false">F481-D481</f>
        <v>293418</v>
      </c>
    </row>
    <row r="482" customFormat="false" ht="15" hidden="false" customHeight="false" outlineLevel="0" collapsed="false">
      <c r="A482" s="38" t="n">
        <v>45989</v>
      </c>
      <c r="B482" s="11" t="n">
        <v>1</v>
      </c>
      <c r="C482" s="38" t="n">
        <v>45992</v>
      </c>
      <c r="D482" s="15" t="n">
        <v>260824.72</v>
      </c>
      <c r="E482" s="15" t="n">
        <v>260128.72</v>
      </c>
      <c r="F482" s="15" t="n">
        <v>544636.72</v>
      </c>
      <c r="G482" s="15" t="n">
        <f aca="false">E482-D482</f>
        <v>-696</v>
      </c>
      <c r="H482" s="15" t="n">
        <f aca="false">F482-D482</f>
        <v>283812</v>
      </c>
    </row>
    <row r="483" customFormat="false" ht="15" hidden="false" customHeight="false" outlineLevel="0" collapsed="false">
      <c r="A483" s="38" t="n">
        <v>45989</v>
      </c>
      <c r="B483" s="11" t="n">
        <v>2</v>
      </c>
      <c r="C483" s="38" t="n">
        <v>45999</v>
      </c>
      <c r="D483" s="15" t="n">
        <v>328180.25</v>
      </c>
      <c r="E483" s="15" t="n">
        <v>377032.25</v>
      </c>
      <c r="F483" s="15" t="n">
        <v>648376.25</v>
      </c>
      <c r="G483" s="15" t="n">
        <f aca="false">E483-D483</f>
        <v>48852</v>
      </c>
      <c r="H483" s="15" t="n">
        <f aca="false">F483-D483</f>
        <v>320196</v>
      </c>
    </row>
    <row r="484" customFormat="false" ht="15" hidden="false" customHeight="false" outlineLevel="0" collapsed="false">
      <c r="A484" s="38" t="n">
        <v>45989</v>
      </c>
      <c r="B484" s="11" t="n">
        <v>3</v>
      </c>
      <c r="C484" s="38" t="n">
        <v>46006</v>
      </c>
      <c r="D484" s="15" t="n">
        <v>378395.15</v>
      </c>
      <c r="E484" s="15" t="n">
        <v>329457.15</v>
      </c>
      <c r="F484" s="15" t="n">
        <v>753083.15</v>
      </c>
      <c r="G484" s="15" t="n">
        <f aca="false">E484-D484</f>
        <v>-48938</v>
      </c>
      <c r="H484" s="15" t="n">
        <f aca="false">F484-D484</f>
        <v>374688</v>
      </c>
    </row>
    <row r="485" customFormat="false" ht="15" hidden="false" customHeight="false" outlineLevel="0" collapsed="false">
      <c r="A485" s="38" t="n">
        <v>45989</v>
      </c>
      <c r="B485" s="11" t="n">
        <v>4</v>
      </c>
      <c r="C485" s="38" t="n">
        <v>46013</v>
      </c>
      <c r="D485" s="15" t="n">
        <v>377567.34</v>
      </c>
      <c r="E485" s="15" t="n">
        <v>471851.34</v>
      </c>
      <c r="F485" s="15" t="n">
        <v>767415.34</v>
      </c>
      <c r="G485" s="15" t="n">
        <f aca="false">E485-D485</f>
        <v>94284</v>
      </c>
      <c r="H485" s="15" t="n">
        <f aca="false">F485-D485</f>
        <v>389848</v>
      </c>
    </row>
    <row r="486" customFormat="false" ht="15" hidden="false" customHeight="false" outlineLevel="0" collapsed="false">
      <c r="A486" s="38" t="n">
        <v>45989</v>
      </c>
      <c r="B486" s="11" t="n">
        <v>5</v>
      </c>
      <c r="C486" s="38" t="n">
        <v>46020</v>
      </c>
      <c r="D486" s="15" t="n">
        <v>322278.56</v>
      </c>
      <c r="E486" s="15" t="n">
        <v>252828.56</v>
      </c>
      <c r="F486" s="15" t="n">
        <v>607680.56</v>
      </c>
      <c r="G486" s="15" t="n">
        <f aca="false">E486-D486</f>
        <v>-69450</v>
      </c>
      <c r="H486" s="15" t="n">
        <f aca="false">F486-D486</f>
        <v>285402</v>
      </c>
    </row>
    <row r="487" customFormat="false" ht="15" hidden="false" customHeight="false" outlineLevel="0" collapsed="false">
      <c r="A487" s="38" t="n">
        <v>45989</v>
      </c>
      <c r="B487" s="11" t="n">
        <v>6</v>
      </c>
      <c r="C487" s="38" t="n">
        <v>46027</v>
      </c>
      <c r="D487" s="15" t="n">
        <v>380101.44</v>
      </c>
      <c r="E487" s="15" t="n">
        <v>296273.44</v>
      </c>
      <c r="F487" s="15" t="n">
        <v>637813.44</v>
      </c>
      <c r="G487" s="15" t="n">
        <f aca="false">E487-D487</f>
        <v>-83828</v>
      </c>
      <c r="H487" s="15" t="n">
        <f aca="false">F487-D487</f>
        <v>257712</v>
      </c>
    </row>
    <row r="488" customFormat="false" ht="15" hidden="false" customHeight="false" outlineLevel="0" collapsed="false">
      <c r="A488" s="38" t="n">
        <v>45989</v>
      </c>
      <c r="B488" s="11" t="n">
        <v>7</v>
      </c>
      <c r="C488" s="38" t="n">
        <v>46034</v>
      </c>
      <c r="D488" s="15" t="n">
        <v>376608.93</v>
      </c>
      <c r="E488" s="15" t="n">
        <v>404916.93</v>
      </c>
      <c r="F488" s="15" t="n">
        <v>563362.93</v>
      </c>
      <c r="G488" s="15" t="n">
        <f aca="false">E488-D488</f>
        <v>28308</v>
      </c>
      <c r="H488" s="15" t="n">
        <f aca="false">F488-D488</f>
        <v>186754</v>
      </c>
    </row>
    <row r="489" customFormat="false" ht="15" hidden="false" customHeight="false" outlineLevel="0" collapsed="false">
      <c r="A489" s="38" t="n">
        <v>45989</v>
      </c>
      <c r="B489" s="11" t="n">
        <v>8</v>
      </c>
      <c r="C489" s="38" t="n">
        <v>46041</v>
      </c>
      <c r="D489" s="15" t="n">
        <v>474213.27</v>
      </c>
      <c r="E489" s="15" t="n">
        <v>557409.27</v>
      </c>
      <c r="F489" s="15" t="n">
        <v>783621.27</v>
      </c>
      <c r="G489" s="15" t="n">
        <f aca="false">E489-D489</f>
        <v>83196</v>
      </c>
      <c r="H489" s="15" t="n">
        <f aca="false">F489-D489</f>
        <v>309408</v>
      </c>
    </row>
    <row r="490" customFormat="false" ht="15" hidden="false" customHeight="false" outlineLevel="0" collapsed="false">
      <c r="A490" s="38" t="n">
        <v>45989</v>
      </c>
      <c r="B490" s="11" t="n">
        <v>9</v>
      </c>
      <c r="C490" s="38" t="n">
        <v>46048</v>
      </c>
      <c r="D490" s="15" t="n">
        <v>255081.99</v>
      </c>
      <c r="E490" s="15" t="n">
        <v>267321.99</v>
      </c>
      <c r="F490" s="15" t="n">
        <v>605297.99</v>
      </c>
      <c r="G490" s="15" t="n">
        <f aca="false">E490-D490</f>
        <v>12240</v>
      </c>
      <c r="H490" s="15" t="n">
        <f aca="false">F490-D490</f>
        <v>350216</v>
      </c>
    </row>
    <row r="491" customFormat="false" ht="15" hidden="false" customHeight="false" outlineLevel="0" collapsed="false">
      <c r="A491" s="38" t="n">
        <v>45989</v>
      </c>
      <c r="B491" s="11" t="n">
        <v>10</v>
      </c>
      <c r="C491" s="38" t="n">
        <v>46055</v>
      </c>
      <c r="D491" s="15" t="n">
        <v>333468.98</v>
      </c>
      <c r="E491" s="15" t="n">
        <v>387852.98</v>
      </c>
      <c r="F491" s="15" t="n">
        <v>669888.98</v>
      </c>
      <c r="G491" s="15" t="n">
        <f aca="false">E491-D491</f>
        <v>54384</v>
      </c>
      <c r="H491" s="15" t="n">
        <f aca="false">F491-D491</f>
        <v>336420</v>
      </c>
    </row>
    <row r="492" customFormat="false" ht="15" hidden="false" customHeight="false" outlineLevel="0" collapsed="false">
      <c r="A492" s="38" t="n">
        <v>45989</v>
      </c>
      <c r="B492" s="11" t="n">
        <v>11</v>
      </c>
      <c r="C492" s="38" t="n">
        <v>46062</v>
      </c>
      <c r="D492" s="15" t="n">
        <v>453277.26</v>
      </c>
      <c r="E492" s="15" t="n">
        <v>471289.26</v>
      </c>
      <c r="F492" s="15" t="n">
        <v>757517.26</v>
      </c>
      <c r="G492" s="15" t="n">
        <f aca="false">E492-D492</f>
        <v>18012</v>
      </c>
      <c r="H492" s="15" t="n">
        <f aca="false">F492-D492</f>
        <v>304240</v>
      </c>
    </row>
    <row r="493" customFormat="false" ht="15" hidden="false" customHeight="false" outlineLevel="0" collapsed="false">
      <c r="A493" s="38" t="n">
        <v>45989</v>
      </c>
      <c r="B493" s="11" t="n">
        <v>12</v>
      </c>
      <c r="C493" s="38" t="n">
        <v>46069</v>
      </c>
      <c r="D493" s="15" t="n">
        <v>479424.35</v>
      </c>
      <c r="E493" s="15" t="n">
        <v>554124.35</v>
      </c>
      <c r="F493" s="15" t="n">
        <v>772842.35</v>
      </c>
      <c r="G493" s="15" t="n">
        <f aca="false">E493-D493</f>
        <v>74700</v>
      </c>
      <c r="H493" s="15" t="n">
        <f aca="false">F493-D493</f>
        <v>293418</v>
      </c>
    </row>
    <row r="494" customFormat="false" ht="15" hidden="false" customHeight="false" outlineLevel="0" collapsed="false">
      <c r="A494" s="38" t="n">
        <v>45989</v>
      </c>
      <c r="B494" s="11" t="n">
        <v>13</v>
      </c>
      <c r="C494" s="38" t="n">
        <v>46076</v>
      </c>
      <c r="D494" s="15" t="n">
        <v>446880.96</v>
      </c>
      <c r="E494" s="15" t="n">
        <v>501204.96</v>
      </c>
      <c r="F494" s="15" t="n">
        <v>701448.96</v>
      </c>
      <c r="G494" s="15" t="n">
        <f aca="false">E494-D494</f>
        <v>54324</v>
      </c>
      <c r="H494" s="15" t="n">
        <f aca="false">F494-D494</f>
        <v>254568</v>
      </c>
    </row>
    <row r="495" customFormat="false" ht="15" hidden="false" customHeight="false" outlineLevel="0" collapsed="false">
      <c r="A495" s="38" t="n">
        <v>45996</v>
      </c>
      <c r="B495" s="11" t="n">
        <v>1</v>
      </c>
      <c r="C495" s="38" t="n">
        <v>45999</v>
      </c>
      <c r="D495" s="15" t="n">
        <v>328180.25</v>
      </c>
      <c r="E495" s="15" t="n">
        <v>365740.25</v>
      </c>
      <c r="F495" s="15" t="n">
        <v>648376.25</v>
      </c>
      <c r="G495" s="15" t="n">
        <f aca="false">E495-D495</f>
        <v>37560</v>
      </c>
      <c r="H495" s="15" t="n">
        <f aca="false">F495-D495</f>
        <v>320196</v>
      </c>
    </row>
    <row r="496" customFormat="false" ht="15" hidden="false" customHeight="false" outlineLevel="0" collapsed="false">
      <c r="A496" s="38" t="n">
        <v>45996</v>
      </c>
      <c r="B496" s="11" t="n">
        <v>2</v>
      </c>
      <c r="C496" s="38" t="n">
        <v>46006</v>
      </c>
      <c r="D496" s="15" t="n">
        <v>378395.15</v>
      </c>
      <c r="E496" s="15" t="n">
        <v>321633.15</v>
      </c>
      <c r="F496" s="15" t="n">
        <v>753083.15</v>
      </c>
      <c r="G496" s="15" t="n">
        <f aca="false">E496-D496</f>
        <v>-56762</v>
      </c>
      <c r="H496" s="15" t="n">
        <f aca="false">F496-D496</f>
        <v>374688</v>
      </c>
    </row>
    <row r="497" customFormat="false" ht="15" hidden="false" customHeight="false" outlineLevel="0" collapsed="false">
      <c r="A497" s="38" t="n">
        <v>45996</v>
      </c>
      <c r="B497" s="11" t="n">
        <v>3</v>
      </c>
      <c r="C497" s="38" t="n">
        <v>46013</v>
      </c>
      <c r="D497" s="15" t="n">
        <v>377567.34</v>
      </c>
      <c r="E497" s="15" t="n">
        <v>471851.34</v>
      </c>
      <c r="F497" s="15" t="n">
        <v>767415.34</v>
      </c>
      <c r="G497" s="15" t="n">
        <f aca="false">E497-D497</f>
        <v>94284</v>
      </c>
      <c r="H497" s="15" t="n">
        <f aca="false">F497-D497</f>
        <v>389848</v>
      </c>
    </row>
    <row r="498" customFormat="false" ht="15" hidden="false" customHeight="false" outlineLevel="0" collapsed="false">
      <c r="A498" s="38" t="n">
        <v>45996</v>
      </c>
      <c r="B498" s="11" t="n">
        <v>4</v>
      </c>
      <c r="C498" s="38" t="n">
        <v>46020</v>
      </c>
      <c r="D498" s="15" t="n">
        <v>322278.56</v>
      </c>
      <c r="E498" s="15" t="n">
        <v>246276.56</v>
      </c>
      <c r="F498" s="15" t="n">
        <v>607680.56</v>
      </c>
      <c r="G498" s="15" t="n">
        <f aca="false">E498-D498</f>
        <v>-76002</v>
      </c>
      <c r="H498" s="15" t="n">
        <f aca="false">F498-D498</f>
        <v>285402</v>
      </c>
    </row>
    <row r="499" customFormat="false" ht="15" hidden="false" customHeight="false" outlineLevel="0" collapsed="false">
      <c r="A499" s="38" t="n">
        <v>45996</v>
      </c>
      <c r="B499" s="11" t="n">
        <v>5</v>
      </c>
      <c r="C499" s="38" t="n">
        <v>46027</v>
      </c>
      <c r="D499" s="15" t="n">
        <v>380101.44</v>
      </c>
      <c r="E499" s="15" t="n">
        <v>299909.44</v>
      </c>
      <c r="F499" s="15" t="n">
        <v>637813.44</v>
      </c>
      <c r="G499" s="15" t="n">
        <f aca="false">E499-D499</f>
        <v>-80192</v>
      </c>
      <c r="H499" s="15" t="n">
        <f aca="false">F499-D499</f>
        <v>257712</v>
      </c>
    </row>
    <row r="500" customFormat="false" ht="15" hidden="false" customHeight="false" outlineLevel="0" collapsed="false">
      <c r="A500" s="38" t="n">
        <v>45996</v>
      </c>
      <c r="B500" s="11" t="n">
        <v>6</v>
      </c>
      <c r="C500" s="38" t="n">
        <v>46034</v>
      </c>
      <c r="D500" s="15" t="n">
        <v>376608.93</v>
      </c>
      <c r="E500" s="15" t="n">
        <v>404916.93</v>
      </c>
      <c r="F500" s="15" t="n">
        <v>563362.93</v>
      </c>
      <c r="G500" s="15" t="n">
        <f aca="false">E500-D500</f>
        <v>28308</v>
      </c>
      <c r="H500" s="15" t="n">
        <f aca="false">F500-D500</f>
        <v>186754</v>
      </c>
    </row>
    <row r="501" customFormat="false" ht="15" hidden="false" customHeight="false" outlineLevel="0" collapsed="false">
      <c r="A501" s="38" t="n">
        <v>45996</v>
      </c>
      <c r="B501" s="11" t="n">
        <v>7</v>
      </c>
      <c r="C501" s="38" t="n">
        <v>46041</v>
      </c>
      <c r="D501" s="15" t="n">
        <v>474213.27</v>
      </c>
      <c r="E501" s="15" t="n">
        <v>546537.27</v>
      </c>
      <c r="F501" s="15" t="n">
        <v>783621.27</v>
      </c>
      <c r="G501" s="15" t="n">
        <f aca="false">E501-D501</f>
        <v>72324</v>
      </c>
      <c r="H501" s="15" t="n">
        <f aca="false">F501-D501</f>
        <v>309408</v>
      </c>
    </row>
    <row r="502" customFormat="false" ht="15" hidden="false" customHeight="false" outlineLevel="0" collapsed="false">
      <c r="A502" s="38" t="n">
        <v>45996</v>
      </c>
      <c r="B502" s="11" t="n">
        <v>8</v>
      </c>
      <c r="C502" s="38" t="n">
        <v>46048</v>
      </c>
      <c r="D502" s="15" t="n">
        <v>255081.99</v>
      </c>
      <c r="E502" s="15" t="n">
        <v>267321.99</v>
      </c>
      <c r="F502" s="15" t="n">
        <v>605297.99</v>
      </c>
      <c r="G502" s="15" t="n">
        <f aca="false">E502-D502</f>
        <v>12240</v>
      </c>
      <c r="H502" s="15" t="n">
        <f aca="false">F502-D502</f>
        <v>350216</v>
      </c>
    </row>
    <row r="503" customFormat="false" ht="15" hidden="false" customHeight="false" outlineLevel="0" collapsed="false">
      <c r="A503" s="38" t="n">
        <v>45996</v>
      </c>
      <c r="B503" s="11" t="n">
        <v>9</v>
      </c>
      <c r="C503" s="38" t="n">
        <v>46055</v>
      </c>
      <c r="D503" s="15" t="n">
        <v>333468.98</v>
      </c>
      <c r="E503" s="15" t="n">
        <v>387852.98</v>
      </c>
      <c r="F503" s="15" t="n">
        <v>669888.98</v>
      </c>
      <c r="G503" s="15" t="n">
        <f aca="false">E503-D503</f>
        <v>54384</v>
      </c>
      <c r="H503" s="15" t="n">
        <f aca="false">F503-D503</f>
        <v>336420</v>
      </c>
    </row>
    <row r="504" customFormat="false" ht="15" hidden="false" customHeight="false" outlineLevel="0" collapsed="false">
      <c r="A504" s="38" t="n">
        <v>45996</v>
      </c>
      <c r="B504" s="11" t="n">
        <v>10</v>
      </c>
      <c r="C504" s="38" t="n">
        <v>46062</v>
      </c>
      <c r="D504" s="15" t="n">
        <v>453277.26</v>
      </c>
      <c r="E504" s="15" t="n">
        <v>456025.26</v>
      </c>
      <c r="F504" s="15" t="n">
        <v>757517.26</v>
      </c>
      <c r="G504" s="15" t="n">
        <f aca="false">E504-D504</f>
        <v>2748</v>
      </c>
      <c r="H504" s="15" t="n">
        <f aca="false">F504-D504</f>
        <v>304240</v>
      </c>
    </row>
    <row r="505" customFormat="false" ht="15" hidden="false" customHeight="false" outlineLevel="0" collapsed="false">
      <c r="A505" s="38" t="n">
        <v>45996</v>
      </c>
      <c r="B505" s="11" t="n">
        <v>11</v>
      </c>
      <c r="C505" s="38" t="n">
        <v>46069</v>
      </c>
      <c r="D505" s="15" t="n">
        <v>479424.35</v>
      </c>
      <c r="E505" s="15" t="n">
        <v>554124.35</v>
      </c>
      <c r="F505" s="15" t="n">
        <v>772842.35</v>
      </c>
      <c r="G505" s="15" t="n">
        <f aca="false">E505-D505</f>
        <v>74700</v>
      </c>
      <c r="H505" s="15" t="n">
        <f aca="false">F505-D505</f>
        <v>293418</v>
      </c>
    </row>
    <row r="506" customFormat="false" ht="15" hidden="false" customHeight="false" outlineLevel="0" collapsed="false">
      <c r="A506" s="38" t="n">
        <v>45996</v>
      </c>
      <c r="B506" s="11" t="n">
        <v>12</v>
      </c>
      <c r="C506" s="38" t="n">
        <v>46076</v>
      </c>
      <c r="D506" s="15" t="n">
        <v>446880.96</v>
      </c>
      <c r="E506" s="15" t="n">
        <v>501204.96</v>
      </c>
      <c r="F506" s="15" t="n">
        <v>701448.96</v>
      </c>
      <c r="G506" s="15" t="n">
        <f aca="false">E506-D506</f>
        <v>54324</v>
      </c>
      <c r="H506" s="15" t="n">
        <f aca="false">F506-D506</f>
        <v>254568</v>
      </c>
    </row>
    <row r="507" customFormat="false" ht="15" hidden="false" customHeight="false" outlineLevel="0" collapsed="false">
      <c r="A507" s="38" t="n">
        <v>45996</v>
      </c>
      <c r="B507" s="11" t="n">
        <v>13</v>
      </c>
      <c r="C507" s="38" t="n">
        <v>46083</v>
      </c>
      <c r="D507" s="15" t="n">
        <v>434876.33</v>
      </c>
      <c r="E507" s="15" t="n">
        <v>464924.33</v>
      </c>
      <c r="F507" s="15" t="n">
        <v>676172.33</v>
      </c>
      <c r="G507" s="15" t="n">
        <f aca="false">E507-D507</f>
        <v>30048</v>
      </c>
      <c r="H507" s="15" t="n">
        <f aca="false">F507-D507</f>
        <v>241296</v>
      </c>
    </row>
    <row r="508" customFormat="false" ht="15" hidden="false" customHeight="false" outlineLevel="0" collapsed="false">
      <c r="A508" s="38" t="n">
        <v>46003</v>
      </c>
      <c r="B508" s="11" t="n">
        <v>1</v>
      </c>
      <c r="C508" s="38" t="n">
        <v>46006</v>
      </c>
      <c r="D508" s="15" t="n">
        <v>378395.15</v>
      </c>
      <c r="E508" s="15" t="n">
        <v>319797.15</v>
      </c>
      <c r="F508" s="15" t="n">
        <v>753083.15</v>
      </c>
      <c r="G508" s="15" t="n">
        <f aca="false">E508-D508</f>
        <v>-58598</v>
      </c>
      <c r="H508" s="15" t="n">
        <f aca="false">F508-D508</f>
        <v>374688</v>
      </c>
    </row>
    <row r="509" customFormat="false" ht="15" hidden="false" customHeight="false" outlineLevel="0" collapsed="false">
      <c r="A509" s="38" t="n">
        <v>46003</v>
      </c>
      <c r="B509" s="11" t="n">
        <v>2</v>
      </c>
      <c r="C509" s="38" t="n">
        <v>46013</v>
      </c>
      <c r="D509" s="15" t="n">
        <v>377567.34</v>
      </c>
      <c r="E509" s="15" t="n">
        <v>431795.34</v>
      </c>
      <c r="F509" s="15" t="n">
        <v>767415.34</v>
      </c>
      <c r="G509" s="15" t="n">
        <f aca="false">E509-D509</f>
        <v>54228</v>
      </c>
      <c r="H509" s="15" t="n">
        <f aca="false">F509-D509</f>
        <v>389848</v>
      </c>
    </row>
    <row r="510" customFormat="false" ht="15" hidden="false" customHeight="false" outlineLevel="0" collapsed="false">
      <c r="A510" s="38" t="n">
        <v>46003</v>
      </c>
      <c r="B510" s="11" t="n">
        <v>3</v>
      </c>
      <c r="C510" s="38" t="n">
        <v>46020</v>
      </c>
      <c r="D510" s="15" t="n">
        <v>322278.56</v>
      </c>
      <c r="E510" s="15" t="n">
        <v>246276.56</v>
      </c>
      <c r="F510" s="15" t="n">
        <v>607680.56</v>
      </c>
      <c r="G510" s="15" t="n">
        <f aca="false">E510-D510</f>
        <v>-76002</v>
      </c>
      <c r="H510" s="15" t="n">
        <f aca="false">F510-D510</f>
        <v>285402</v>
      </c>
    </row>
    <row r="511" customFormat="false" ht="15" hidden="false" customHeight="false" outlineLevel="0" collapsed="false">
      <c r="A511" s="38" t="n">
        <v>46003</v>
      </c>
      <c r="B511" s="11" t="n">
        <v>4</v>
      </c>
      <c r="C511" s="38" t="n">
        <v>46027</v>
      </c>
      <c r="D511" s="15" t="n">
        <v>380101.44</v>
      </c>
      <c r="E511" s="15" t="n">
        <v>299909.44</v>
      </c>
      <c r="F511" s="15" t="n">
        <v>637813.44</v>
      </c>
      <c r="G511" s="15" t="n">
        <f aca="false">E511-D511</f>
        <v>-80192</v>
      </c>
      <c r="H511" s="15" t="n">
        <f aca="false">F511-D511</f>
        <v>257712</v>
      </c>
    </row>
    <row r="512" customFormat="false" ht="15" hidden="false" customHeight="false" outlineLevel="0" collapsed="false">
      <c r="A512" s="38" t="n">
        <v>46003</v>
      </c>
      <c r="B512" s="11" t="n">
        <v>5</v>
      </c>
      <c r="C512" s="38" t="n">
        <v>46034</v>
      </c>
      <c r="D512" s="15" t="n">
        <v>376608.93</v>
      </c>
      <c r="E512" s="15" t="n">
        <v>404916.93</v>
      </c>
      <c r="F512" s="15" t="n">
        <v>563362.93</v>
      </c>
      <c r="G512" s="15" t="n">
        <f aca="false">E512-D512</f>
        <v>28308</v>
      </c>
      <c r="H512" s="15" t="n">
        <f aca="false">F512-D512</f>
        <v>186754</v>
      </c>
    </row>
    <row r="513" customFormat="false" ht="15" hidden="false" customHeight="false" outlineLevel="0" collapsed="false">
      <c r="A513" s="38" t="n">
        <v>46003</v>
      </c>
      <c r="B513" s="11" t="n">
        <v>6</v>
      </c>
      <c r="C513" s="38" t="n">
        <v>46041</v>
      </c>
      <c r="D513" s="15" t="n">
        <v>474213.27</v>
      </c>
      <c r="E513" s="15" t="n">
        <v>546537.27</v>
      </c>
      <c r="F513" s="15" t="n">
        <v>783621.27</v>
      </c>
      <c r="G513" s="15" t="n">
        <f aca="false">E513-D513</f>
        <v>72324</v>
      </c>
      <c r="H513" s="15" t="n">
        <f aca="false">F513-D513</f>
        <v>309408</v>
      </c>
    </row>
    <row r="514" customFormat="false" ht="15" hidden="false" customHeight="false" outlineLevel="0" collapsed="false">
      <c r="A514" s="38" t="n">
        <v>46003</v>
      </c>
      <c r="B514" s="11" t="n">
        <v>7</v>
      </c>
      <c r="C514" s="38" t="n">
        <v>46048</v>
      </c>
      <c r="D514" s="15" t="n">
        <v>255081.99</v>
      </c>
      <c r="E514" s="15" t="n">
        <v>267321.99</v>
      </c>
      <c r="F514" s="15" t="n">
        <v>605297.99</v>
      </c>
      <c r="G514" s="15" t="n">
        <f aca="false">E514-D514</f>
        <v>12240</v>
      </c>
      <c r="H514" s="15" t="n">
        <f aca="false">F514-D514</f>
        <v>350216</v>
      </c>
    </row>
    <row r="515" customFormat="false" ht="15" hidden="false" customHeight="false" outlineLevel="0" collapsed="false">
      <c r="A515" s="38" t="n">
        <v>46003</v>
      </c>
      <c r="B515" s="11" t="n">
        <v>8</v>
      </c>
      <c r="C515" s="38" t="n">
        <v>46055</v>
      </c>
      <c r="D515" s="15" t="n">
        <v>333468.98</v>
      </c>
      <c r="E515" s="15" t="n">
        <v>387852.98</v>
      </c>
      <c r="F515" s="15" t="n">
        <v>669888.98</v>
      </c>
      <c r="G515" s="15" t="n">
        <f aca="false">E515-D515</f>
        <v>54384</v>
      </c>
      <c r="H515" s="15" t="n">
        <f aca="false">F515-D515</f>
        <v>336420</v>
      </c>
    </row>
    <row r="516" customFormat="false" ht="15" hidden="false" customHeight="false" outlineLevel="0" collapsed="false">
      <c r="A516" s="38" t="n">
        <v>46003</v>
      </c>
      <c r="B516" s="11" t="n">
        <v>9</v>
      </c>
      <c r="C516" s="38" t="n">
        <v>46062</v>
      </c>
      <c r="D516" s="15" t="n">
        <v>453277.26</v>
      </c>
      <c r="E516" s="15" t="n">
        <v>456025.26</v>
      </c>
      <c r="F516" s="15" t="n">
        <v>757517.26</v>
      </c>
      <c r="G516" s="15" t="n">
        <f aca="false">E516-D516</f>
        <v>2748</v>
      </c>
      <c r="H516" s="15" t="n">
        <f aca="false">F516-D516</f>
        <v>304240</v>
      </c>
    </row>
    <row r="517" customFormat="false" ht="15" hidden="false" customHeight="false" outlineLevel="0" collapsed="false">
      <c r="A517" s="38" t="n">
        <v>46003</v>
      </c>
      <c r="B517" s="11" t="n">
        <v>10</v>
      </c>
      <c r="C517" s="38" t="n">
        <v>46069</v>
      </c>
      <c r="D517" s="15" t="n">
        <v>479424.35</v>
      </c>
      <c r="E517" s="15" t="n">
        <v>554124.35</v>
      </c>
      <c r="F517" s="15" t="n">
        <v>772842.35</v>
      </c>
      <c r="G517" s="15" t="n">
        <f aca="false">E517-D517</f>
        <v>74700</v>
      </c>
      <c r="H517" s="15" t="n">
        <f aca="false">F517-D517</f>
        <v>293418</v>
      </c>
    </row>
    <row r="518" customFormat="false" ht="15" hidden="false" customHeight="false" outlineLevel="0" collapsed="false">
      <c r="A518" s="38" t="n">
        <v>46003</v>
      </c>
      <c r="B518" s="11" t="n">
        <v>11</v>
      </c>
      <c r="C518" s="38" t="n">
        <v>46076</v>
      </c>
      <c r="D518" s="15" t="n">
        <v>446880.96</v>
      </c>
      <c r="E518" s="15" t="n">
        <v>501204.96</v>
      </c>
      <c r="F518" s="15" t="n">
        <v>701448.96</v>
      </c>
      <c r="G518" s="15" t="n">
        <f aca="false">E518-D518</f>
        <v>54324</v>
      </c>
      <c r="H518" s="15" t="n">
        <f aca="false">F518-D518</f>
        <v>254568</v>
      </c>
    </row>
    <row r="519" customFormat="false" ht="15" hidden="false" customHeight="false" outlineLevel="0" collapsed="false">
      <c r="A519" s="38" t="n">
        <v>46003</v>
      </c>
      <c r="B519" s="11" t="n">
        <v>12</v>
      </c>
      <c r="C519" s="38" t="n">
        <v>46083</v>
      </c>
      <c r="D519" s="15" t="n">
        <v>434876.33</v>
      </c>
      <c r="E519" s="15" t="n">
        <v>464924.33</v>
      </c>
      <c r="F519" s="15" t="n">
        <v>676172.33</v>
      </c>
      <c r="G519" s="15" t="n">
        <f aca="false">E519-D519</f>
        <v>30048</v>
      </c>
      <c r="H519" s="15" t="n">
        <f aca="false">F519-D519</f>
        <v>241296</v>
      </c>
    </row>
    <row r="520" customFormat="false" ht="15" hidden="false" customHeight="false" outlineLevel="0" collapsed="false">
      <c r="A520" s="38" t="n">
        <v>46003</v>
      </c>
      <c r="B520" s="11" t="n">
        <v>13</v>
      </c>
      <c r="C520" s="38" t="n">
        <v>46090</v>
      </c>
      <c r="D520" s="15" t="n">
        <v>510482.14</v>
      </c>
      <c r="E520" s="15" t="n">
        <v>504086.14</v>
      </c>
      <c r="F520" s="15" t="n">
        <v>782282.14</v>
      </c>
      <c r="G520" s="15" t="n">
        <f aca="false">E520-D520</f>
        <v>-6396</v>
      </c>
      <c r="H520" s="15" t="n">
        <f aca="false">F520-D520</f>
        <v>271800</v>
      </c>
    </row>
    <row r="521" customFormat="false" ht="15" hidden="false" customHeight="false" outlineLevel="0" collapsed="false">
      <c r="A521" s="38" t="n">
        <v>46010</v>
      </c>
      <c r="B521" s="11" t="n">
        <v>1</v>
      </c>
      <c r="C521" s="38" t="n">
        <v>46013</v>
      </c>
      <c r="D521" s="15" t="n">
        <v>377567.34</v>
      </c>
      <c r="E521" s="15" t="n">
        <v>412967.34</v>
      </c>
      <c r="F521" s="15" t="n">
        <v>767415.34</v>
      </c>
      <c r="G521" s="15" t="n">
        <f aca="false">E521-D521</f>
        <v>35400</v>
      </c>
      <c r="H521" s="15" t="n">
        <f aca="false">F521-D521</f>
        <v>389848</v>
      </c>
    </row>
    <row r="522" customFormat="false" ht="15" hidden="false" customHeight="false" outlineLevel="0" collapsed="false">
      <c r="A522" s="38" t="n">
        <v>46010</v>
      </c>
      <c r="B522" s="11" t="n">
        <v>2</v>
      </c>
      <c r="C522" s="38" t="n">
        <v>46020</v>
      </c>
      <c r="D522" s="15" t="n">
        <v>322278.56</v>
      </c>
      <c r="E522" s="15" t="n">
        <v>237780.56</v>
      </c>
      <c r="F522" s="15" t="n">
        <v>607680.56</v>
      </c>
      <c r="G522" s="15" t="n">
        <f aca="false">E522-D522</f>
        <v>-84498</v>
      </c>
      <c r="H522" s="15" t="n">
        <f aca="false">F522-D522</f>
        <v>285402</v>
      </c>
    </row>
    <row r="523" customFormat="false" ht="15" hidden="false" customHeight="false" outlineLevel="0" collapsed="false">
      <c r="A523" s="38" t="n">
        <v>46010</v>
      </c>
      <c r="B523" s="11" t="n">
        <v>3</v>
      </c>
      <c r="C523" s="38" t="n">
        <v>46027</v>
      </c>
      <c r="D523" s="15" t="n">
        <v>380101.44</v>
      </c>
      <c r="E523" s="15" t="n">
        <v>299909.44</v>
      </c>
      <c r="F523" s="15" t="n">
        <v>637813.44</v>
      </c>
      <c r="G523" s="15" t="n">
        <f aca="false">E523-D523</f>
        <v>-80192</v>
      </c>
      <c r="H523" s="15" t="n">
        <f aca="false">F523-D523</f>
        <v>257712</v>
      </c>
    </row>
    <row r="524" customFormat="false" ht="15" hidden="false" customHeight="false" outlineLevel="0" collapsed="false">
      <c r="A524" s="38" t="n">
        <v>46010</v>
      </c>
      <c r="B524" s="11" t="n">
        <v>4</v>
      </c>
      <c r="C524" s="38" t="n">
        <v>46034</v>
      </c>
      <c r="D524" s="15" t="n">
        <v>376608.93</v>
      </c>
      <c r="E524" s="15" t="n">
        <v>404916.93</v>
      </c>
      <c r="F524" s="15" t="n">
        <v>563362.93</v>
      </c>
      <c r="G524" s="15" t="n">
        <f aca="false">E524-D524</f>
        <v>28308</v>
      </c>
      <c r="H524" s="15" t="n">
        <f aca="false">F524-D524</f>
        <v>186754</v>
      </c>
    </row>
    <row r="525" customFormat="false" ht="15" hidden="false" customHeight="false" outlineLevel="0" collapsed="false">
      <c r="A525" s="38" t="n">
        <v>46010</v>
      </c>
      <c r="B525" s="11" t="n">
        <v>5</v>
      </c>
      <c r="C525" s="38" t="n">
        <v>46041</v>
      </c>
      <c r="D525" s="15" t="n">
        <v>474213.27</v>
      </c>
      <c r="E525" s="15" t="n">
        <v>557409.27</v>
      </c>
      <c r="F525" s="15" t="n">
        <v>783621.27</v>
      </c>
      <c r="G525" s="15" t="n">
        <f aca="false">E525-D525</f>
        <v>83196</v>
      </c>
      <c r="H525" s="15" t="n">
        <f aca="false">F525-D525</f>
        <v>309408</v>
      </c>
    </row>
    <row r="526" customFormat="false" ht="15" hidden="false" customHeight="false" outlineLevel="0" collapsed="false">
      <c r="A526" s="38" t="n">
        <v>46010</v>
      </c>
      <c r="B526" s="11" t="n">
        <v>6</v>
      </c>
      <c r="C526" s="38" t="n">
        <v>46048</v>
      </c>
      <c r="D526" s="15" t="n">
        <v>255081.99</v>
      </c>
      <c r="E526" s="15" t="n">
        <v>267321.99</v>
      </c>
      <c r="F526" s="15" t="n">
        <v>605297.99</v>
      </c>
      <c r="G526" s="15" t="n">
        <f aca="false">E526-D526</f>
        <v>12240</v>
      </c>
      <c r="H526" s="15" t="n">
        <f aca="false">F526-D526</f>
        <v>350216</v>
      </c>
    </row>
    <row r="527" customFormat="false" ht="15" hidden="false" customHeight="false" outlineLevel="0" collapsed="false">
      <c r="A527" s="38" t="n">
        <v>46010</v>
      </c>
      <c r="B527" s="11" t="n">
        <v>7</v>
      </c>
      <c r="C527" s="38" t="n">
        <v>46055</v>
      </c>
      <c r="D527" s="15" t="n">
        <v>333468.98</v>
      </c>
      <c r="E527" s="15" t="n">
        <v>387852.98</v>
      </c>
      <c r="F527" s="15" t="n">
        <v>669888.98</v>
      </c>
      <c r="G527" s="15" t="n">
        <f aca="false">E527-D527</f>
        <v>54384</v>
      </c>
      <c r="H527" s="15" t="n">
        <f aca="false">F527-D527</f>
        <v>336420</v>
      </c>
    </row>
    <row r="528" customFormat="false" ht="15" hidden="false" customHeight="false" outlineLevel="0" collapsed="false">
      <c r="A528" s="38" t="n">
        <v>46010</v>
      </c>
      <c r="B528" s="11" t="n">
        <v>8</v>
      </c>
      <c r="C528" s="38" t="n">
        <v>46062</v>
      </c>
      <c r="D528" s="15" t="n">
        <v>453277.26</v>
      </c>
      <c r="E528" s="15" t="n">
        <v>471289.26</v>
      </c>
      <c r="F528" s="15" t="n">
        <v>757517.26</v>
      </c>
      <c r="G528" s="15" t="n">
        <f aca="false">E528-D528</f>
        <v>18012</v>
      </c>
      <c r="H528" s="15" t="n">
        <f aca="false">F528-D528</f>
        <v>304240</v>
      </c>
    </row>
    <row r="529" customFormat="false" ht="15" hidden="false" customHeight="false" outlineLevel="0" collapsed="false">
      <c r="A529" s="38" t="n">
        <v>46010</v>
      </c>
      <c r="B529" s="11" t="n">
        <v>9</v>
      </c>
      <c r="C529" s="38" t="n">
        <v>46069</v>
      </c>
      <c r="D529" s="15" t="n">
        <v>479424.35</v>
      </c>
      <c r="E529" s="15" t="n">
        <v>554124.35</v>
      </c>
      <c r="F529" s="15" t="n">
        <v>772842.35</v>
      </c>
      <c r="G529" s="15" t="n">
        <f aca="false">E529-D529</f>
        <v>74700</v>
      </c>
      <c r="H529" s="15" t="n">
        <f aca="false">F529-D529</f>
        <v>293418</v>
      </c>
    </row>
    <row r="530" customFormat="false" ht="15" hidden="false" customHeight="false" outlineLevel="0" collapsed="false">
      <c r="A530" s="38" t="n">
        <v>46010</v>
      </c>
      <c r="B530" s="11" t="n">
        <v>10</v>
      </c>
      <c r="C530" s="38" t="n">
        <v>46076</v>
      </c>
      <c r="D530" s="15" t="n">
        <v>446880.96</v>
      </c>
      <c r="E530" s="15" t="n">
        <v>501204.96</v>
      </c>
      <c r="F530" s="15" t="n">
        <v>701448.96</v>
      </c>
      <c r="G530" s="15" t="n">
        <f aca="false">E530-D530</f>
        <v>54324</v>
      </c>
      <c r="H530" s="15" t="n">
        <f aca="false">F530-D530</f>
        <v>254568</v>
      </c>
    </row>
    <row r="531" customFormat="false" ht="15" hidden="false" customHeight="false" outlineLevel="0" collapsed="false">
      <c r="A531" s="38" t="n">
        <v>46010</v>
      </c>
      <c r="B531" s="11" t="n">
        <v>11</v>
      </c>
      <c r="C531" s="38" t="n">
        <v>46083</v>
      </c>
      <c r="D531" s="15" t="n">
        <v>434876.33</v>
      </c>
      <c r="E531" s="15" t="n">
        <v>464924.33</v>
      </c>
      <c r="F531" s="15" t="n">
        <v>676172.33</v>
      </c>
      <c r="G531" s="15" t="n">
        <f aca="false">E531-D531</f>
        <v>30048</v>
      </c>
      <c r="H531" s="15" t="n">
        <f aca="false">F531-D531</f>
        <v>241296</v>
      </c>
    </row>
    <row r="532" customFormat="false" ht="15" hidden="false" customHeight="false" outlineLevel="0" collapsed="false">
      <c r="A532" s="38" t="n">
        <v>46010</v>
      </c>
      <c r="B532" s="11" t="n">
        <v>12</v>
      </c>
      <c r="C532" s="38" t="n">
        <v>46090</v>
      </c>
      <c r="D532" s="15" t="n">
        <v>510482.14</v>
      </c>
      <c r="E532" s="15" t="n">
        <v>504086.14</v>
      </c>
      <c r="F532" s="15" t="n">
        <v>782282.14</v>
      </c>
      <c r="G532" s="15" t="n">
        <f aca="false">E532-D532</f>
        <v>-6396</v>
      </c>
      <c r="H532" s="15" t="n">
        <f aca="false">F532-D532</f>
        <v>271800</v>
      </c>
    </row>
    <row r="533" customFormat="false" ht="15" hidden="false" customHeight="false" outlineLevel="0" collapsed="false">
      <c r="A533" s="38" t="n">
        <v>46010</v>
      </c>
      <c r="B533" s="11" t="n">
        <v>13</v>
      </c>
      <c r="C533" s="38" t="n">
        <v>46097</v>
      </c>
      <c r="D533" s="15" t="n">
        <v>449009.13</v>
      </c>
      <c r="E533" s="15" t="n">
        <v>540341.13</v>
      </c>
      <c r="F533" s="15" t="n">
        <v>684173.13</v>
      </c>
      <c r="G533" s="15" t="n">
        <f aca="false">E533-D533</f>
        <v>91332</v>
      </c>
      <c r="H533" s="15" t="n">
        <f aca="false">F533-D533</f>
        <v>235164</v>
      </c>
    </row>
    <row r="534" customFormat="false" ht="15" hidden="false" customHeight="false" outlineLevel="0" collapsed="false">
      <c r="A534" s="38" t="n">
        <v>46017</v>
      </c>
      <c r="B534" s="11" t="n">
        <v>1</v>
      </c>
      <c r="C534" s="38" t="n">
        <v>46020</v>
      </c>
      <c r="D534" s="15" t="n">
        <v>322278.56</v>
      </c>
      <c r="E534" s="15" t="n">
        <v>188556.56</v>
      </c>
      <c r="F534" s="15" t="n">
        <v>607680.56</v>
      </c>
      <c r="G534" s="15" t="n">
        <f aca="false">E534-D534</f>
        <v>-133722</v>
      </c>
      <c r="H534" s="15" t="n">
        <f aca="false">F534-D534</f>
        <v>285402</v>
      </c>
    </row>
    <row r="535" customFormat="false" ht="15" hidden="false" customHeight="false" outlineLevel="0" collapsed="false">
      <c r="A535" s="38" t="n">
        <v>46017</v>
      </c>
      <c r="B535" s="11" t="n">
        <v>2</v>
      </c>
      <c r="C535" s="38" t="n">
        <v>46027</v>
      </c>
      <c r="D535" s="15" t="n">
        <v>380101.44</v>
      </c>
      <c r="E535" s="15" t="n">
        <v>435365.44</v>
      </c>
      <c r="F535" s="15" t="n">
        <v>637813.44</v>
      </c>
      <c r="G535" s="15" t="n">
        <f aca="false">E535-D535</f>
        <v>55264</v>
      </c>
      <c r="H535" s="15" t="n">
        <f aca="false">F535-D535</f>
        <v>257712</v>
      </c>
    </row>
    <row r="536" customFormat="false" ht="15" hidden="false" customHeight="false" outlineLevel="0" collapsed="false">
      <c r="A536" s="38" t="n">
        <v>46017</v>
      </c>
      <c r="B536" s="11" t="n">
        <v>3</v>
      </c>
      <c r="C536" s="38" t="n">
        <v>46034</v>
      </c>
      <c r="D536" s="15" t="n">
        <v>376608.93</v>
      </c>
      <c r="E536" s="15" t="n">
        <v>404916.93</v>
      </c>
      <c r="F536" s="15" t="n">
        <v>563362.93</v>
      </c>
      <c r="G536" s="15" t="n">
        <f aca="false">E536-D536</f>
        <v>28308</v>
      </c>
      <c r="H536" s="15" t="n">
        <f aca="false">F536-D536</f>
        <v>186754</v>
      </c>
    </row>
    <row r="537" customFormat="false" ht="15" hidden="false" customHeight="false" outlineLevel="0" collapsed="false">
      <c r="A537" s="38" t="n">
        <v>46017</v>
      </c>
      <c r="B537" s="11" t="n">
        <v>4</v>
      </c>
      <c r="C537" s="38" t="n">
        <v>46041</v>
      </c>
      <c r="D537" s="15" t="n">
        <v>474213.27</v>
      </c>
      <c r="E537" s="15" t="n">
        <v>557409.27</v>
      </c>
      <c r="F537" s="15" t="n">
        <v>783621.27</v>
      </c>
      <c r="G537" s="15" t="n">
        <f aca="false">E537-D537</f>
        <v>83196</v>
      </c>
      <c r="H537" s="15" t="n">
        <f aca="false">F537-D537</f>
        <v>309408</v>
      </c>
    </row>
    <row r="538" customFormat="false" ht="15" hidden="false" customHeight="false" outlineLevel="0" collapsed="false">
      <c r="A538" s="38" t="n">
        <v>46017</v>
      </c>
      <c r="B538" s="11" t="n">
        <v>5</v>
      </c>
      <c r="C538" s="38" t="n">
        <v>46048</v>
      </c>
      <c r="D538" s="15" t="n">
        <v>255081.99</v>
      </c>
      <c r="E538" s="15" t="n">
        <v>267321.99</v>
      </c>
      <c r="F538" s="15" t="n">
        <v>605297.99</v>
      </c>
      <c r="G538" s="15" t="n">
        <f aca="false">E538-D538</f>
        <v>12240</v>
      </c>
      <c r="H538" s="15" t="n">
        <f aca="false">F538-D538</f>
        <v>350216</v>
      </c>
    </row>
    <row r="539" customFormat="false" ht="15" hidden="false" customHeight="false" outlineLevel="0" collapsed="false">
      <c r="A539" s="38" t="n">
        <v>46017</v>
      </c>
      <c r="B539" s="11" t="n">
        <v>6</v>
      </c>
      <c r="C539" s="38" t="n">
        <v>46055</v>
      </c>
      <c r="D539" s="15" t="n">
        <v>333468.98</v>
      </c>
      <c r="E539" s="15" t="n">
        <v>387852.98</v>
      </c>
      <c r="F539" s="15" t="n">
        <v>669888.98</v>
      </c>
      <c r="G539" s="15" t="n">
        <f aca="false">E539-D539</f>
        <v>54384</v>
      </c>
      <c r="H539" s="15" t="n">
        <f aca="false">F539-D539</f>
        <v>336420</v>
      </c>
    </row>
    <row r="540" customFormat="false" ht="15" hidden="false" customHeight="false" outlineLevel="0" collapsed="false">
      <c r="A540" s="38" t="n">
        <v>46017</v>
      </c>
      <c r="B540" s="11" t="n">
        <v>7</v>
      </c>
      <c r="C540" s="38" t="n">
        <v>46062</v>
      </c>
      <c r="D540" s="15" t="n">
        <v>453277.26</v>
      </c>
      <c r="E540" s="15" t="n">
        <v>500749.26</v>
      </c>
      <c r="F540" s="15" t="n">
        <v>757517.26</v>
      </c>
      <c r="G540" s="15" t="n">
        <f aca="false">E540-D540</f>
        <v>47472</v>
      </c>
      <c r="H540" s="15" t="n">
        <f aca="false">F540-D540</f>
        <v>304240</v>
      </c>
    </row>
    <row r="541" customFormat="false" ht="15" hidden="false" customHeight="false" outlineLevel="0" collapsed="false">
      <c r="A541" s="38" t="n">
        <v>46017</v>
      </c>
      <c r="B541" s="11" t="n">
        <v>8</v>
      </c>
      <c r="C541" s="38" t="n">
        <v>46069</v>
      </c>
      <c r="D541" s="15" t="n">
        <v>479424.35</v>
      </c>
      <c r="E541" s="15" t="n">
        <v>554124.35</v>
      </c>
      <c r="F541" s="15" t="n">
        <v>772842.35</v>
      </c>
      <c r="G541" s="15" t="n">
        <f aca="false">E541-D541</f>
        <v>74700</v>
      </c>
      <c r="H541" s="15" t="n">
        <f aca="false">F541-D541</f>
        <v>293418</v>
      </c>
    </row>
    <row r="542" customFormat="false" ht="15" hidden="false" customHeight="false" outlineLevel="0" collapsed="false">
      <c r="A542" s="38" t="n">
        <v>46017</v>
      </c>
      <c r="B542" s="11" t="n">
        <v>9</v>
      </c>
      <c r="C542" s="38" t="n">
        <v>46076</v>
      </c>
      <c r="D542" s="15" t="n">
        <v>446880.96</v>
      </c>
      <c r="E542" s="15" t="n">
        <v>501204.96</v>
      </c>
      <c r="F542" s="15" t="n">
        <v>701448.96</v>
      </c>
      <c r="G542" s="15" t="n">
        <f aca="false">E542-D542</f>
        <v>54324</v>
      </c>
      <c r="H542" s="15" t="n">
        <f aca="false">F542-D542</f>
        <v>254568</v>
      </c>
    </row>
    <row r="543" customFormat="false" ht="15" hidden="false" customHeight="false" outlineLevel="0" collapsed="false">
      <c r="A543" s="38" t="n">
        <v>46017</v>
      </c>
      <c r="B543" s="11" t="n">
        <v>10</v>
      </c>
      <c r="C543" s="38" t="n">
        <v>46083</v>
      </c>
      <c r="D543" s="15" t="n">
        <v>434876.33</v>
      </c>
      <c r="E543" s="15" t="n">
        <v>464924.33</v>
      </c>
      <c r="F543" s="15" t="n">
        <v>676172.33</v>
      </c>
      <c r="G543" s="15" t="n">
        <f aca="false">E543-D543</f>
        <v>30048</v>
      </c>
      <c r="H543" s="15" t="n">
        <f aca="false">F543-D543</f>
        <v>241296</v>
      </c>
    </row>
    <row r="544" customFormat="false" ht="15" hidden="false" customHeight="false" outlineLevel="0" collapsed="false">
      <c r="A544" s="38" t="n">
        <v>46017</v>
      </c>
      <c r="B544" s="11" t="n">
        <v>11</v>
      </c>
      <c r="C544" s="38" t="n">
        <v>46090</v>
      </c>
      <c r="D544" s="15" t="n">
        <v>510482.14</v>
      </c>
      <c r="E544" s="15" t="n">
        <v>504086.14</v>
      </c>
      <c r="F544" s="15" t="n">
        <v>782282.14</v>
      </c>
      <c r="G544" s="15" t="n">
        <f aca="false">E544-D544</f>
        <v>-6396</v>
      </c>
      <c r="H544" s="15" t="n">
        <f aca="false">F544-D544</f>
        <v>271800</v>
      </c>
    </row>
    <row r="545" customFormat="false" ht="15" hidden="false" customHeight="false" outlineLevel="0" collapsed="false">
      <c r="A545" s="38" t="n">
        <v>46017</v>
      </c>
      <c r="B545" s="11" t="n">
        <v>12</v>
      </c>
      <c r="C545" s="38" t="n">
        <v>46097</v>
      </c>
      <c r="D545" s="15" t="n">
        <v>449009.13</v>
      </c>
      <c r="E545" s="15" t="n">
        <v>540341.13</v>
      </c>
      <c r="F545" s="15" t="n">
        <v>684173.13</v>
      </c>
      <c r="G545" s="15" t="n">
        <f aca="false">E545-D545</f>
        <v>91332</v>
      </c>
      <c r="H545" s="15" t="n">
        <f aca="false">F545-D545</f>
        <v>235164</v>
      </c>
    </row>
    <row r="546" customFormat="false" ht="15" hidden="false" customHeight="false" outlineLevel="0" collapsed="false">
      <c r="A546" s="38" t="n">
        <v>46017</v>
      </c>
      <c r="B546" s="11" t="n">
        <v>13</v>
      </c>
      <c r="C546" s="38" t="n">
        <v>46104</v>
      </c>
      <c r="D546" s="15" t="n">
        <v>438284.71</v>
      </c>
      <c r="E546" s="15" t="n">
        <v>545490.71</v>
      </c>
      <c r="F546" s="15" t="n">
        <v>723402.71</v>
      </c>
      <c r="G546" s="15" t="n">
        <f aca="false">E546-D546</f>
        <v>107206</v>
      </c>
      <c r="H546" s="15" t="n">
        <f aca="false">F546-D546</f>
        <v>285118</v>
      </c>
    </row>
    <row r="547" customFormat="false" ht="15" hidden="false" customHeight="false" outlineLevel="0" collapsed="false">
      <c r="A547" s="38" t="n">
        <v>46024</v>
      </c>
      <c r="B547" s="11" t="n">
        <v>1</v>
      </c>
      <c r="C547" s="38" t="n">
        <v>46027</v>
      </c>
      <c r="D547" s="15" t="n">
        <v>380101.44</v>
      </c>
      <c r="E547" s="15" t="n">
        <v>405785.44</v>
      </c>
      <c r="F547" s="15" t="n">
        <v>637813.44</v>
      </c>
      <c r="G547" s="15" t="n">
        <f aca="false">E547-D547</f>
        <v>25684</v>
      </c>
      <c r="H547" s="15" t="n">
        <f aca="false">F547-D547</f>
        <v>257712</v>
      </c>
    </row>
    <row r="548" customFormat="false" ht="15" hidden="false" customHeight="false" outlineLevel="0" collapsed="false">
      <c r="A548" s="38" t="n">
        <v>46024</v>
      </c>
      <c r="B548" s="11" t="n">
        <v>2</v>
      </c>
      <c r="C548" s="38" t="n">
        <v>46034</v>
      </c>
      <c r="D548" s="15" t="n">
        <v>376608.93</v>
      </c>
      <c r="E548" s="15" t="n">
        <v>390984.93</v>
      </c>
      <c r="F548" s="15" t="n">
        <v>563362.93</v>
      </c>
      <c r="G548" s="15" t="n">
        <f aca="false">E548-D548</f>
        <v>14376</v>
      </c>
      <c r="H548" s="15" t="n">
        <f aca="false">F548-D548</f>
        <v>186754</v>
      </c>
    </row>
    <row r="549" customFormat="false" ht="15" hidden="false" customHeight="false" outlineLevel="0" collapsed="false">
      <c r="A549" s="38" t="n">
        <v>46024</v>
      </c>
      <c r="B549" s="11" t="n">
        <v>3</v>
      </c>
      <c r="C549" s="38" t="n">
        <v>46041</v>
      </c>
      <c r="D549" s="15" t="n">
        <v>474213.27</v>
      </c>
      <c r="E549" s="15" t="n">
        <v>542589.27</v>
      </c>
      <c r="F549" s="15" t="n">
        <v>783621.27</v>
      </c>
      <c r="G549" s="15" t="n">
        <f aca="false">E549-D549</f>
        <v>68376</v>
      </c>
      <c r="H549" s="15" t="n">
        <f aca="false">F549-D549</f>
        <v>309408</v>
      </c>
    </row>
    <row r="550" customFormat="false" ht="15" hidden="false" customHeight="false" outlineLevel="0" collapsed="false">
      <c r="A550" s="38" t="n">
        <v>46024</v>
      </c>
      <c r="B550" s="11" t="n">
        <v>4</v>
      </c>
      <c r="C550" s="38" t="n">
        <v>46048</v>
      </c>
      <c r="D550" s="15" t="n">
        <v>255081.99</v>
      </c>
      <c r="E550" s="15" t="n">
        <v>267321.99</v>
      </c>
      <c r="F550" s="15" t="n">
        <v>605297.99</v>
      </c>
      <c r="G550" s="15" t="n">
        <f aca="false">E550-D550</f>
        <v>12240</v>
      </c>
      <c r="H550" s="15" t="n">
        <f aca="false">F550-D550</f>
        <v>350216</v>
      </c>
    </row>
    <row r="551" customFormat="false" ht="15" hidden="false" customHeight="false" outlineLevel="0" collapsed="false">
      <c r="A551" s="38" t="n">
        <v>46024</v>
      </c>
      <c r="B551" s="11" t="n">
        <v>5</v>
      </c>
      <c r="C551" s="38" t="n">
        <v>46055</v>
      </c>
      <c r="D551" s="15" t="n">
        <v>333468.98</v>
      </c>
      <c r="E551" s="15" t="n">
        <v>387852.98</v>
      </c>
      <c r="F551" s="15" t="n">
        <v>669888.98</v>
      </c>
      <c r="G551" s="15" t="n">
        <f aca="false">E551-D551</f>
        <v>54384</v>
      </c>
      <c r="H551" s="15" t="n">
        <f aca="false">F551-D551</f>
        <v>336420</v>
      </c>
    </row>
    <row r="552" customFormat="false" ht="15" hidden="false" customHeight="false" outlineLevel="0" collapsed="false">
      <c r="A552" s="38" t="n">
        <v>46024</v>
      </c>
      <c r="B552" s="11" t="n">
        <v>6</v>
      </c>
      <c r="C552" s="38" t="n">
        <v>46062</v>
      </c>
      <c r="D552" s="15" t="n">
        <v>453277.26</v>
      </c>
      <c r="E552" s="15" t="n">
        <v>500749.26</v>
      </c>
      <c r="F552" s="15" t="n">
        <v>757517.26</v>
      </c>
      <c r="G552" s="15" t="n">
        <f aca="false">E552-D552</f>
        <v>47472</v>
      </c>
      <c r="H552" s="15" t="n">
        <f aca="false">F552-D552</f>
        <v>304240</v>
      </c>
    </row>
    <row r="553" customFormat="false" ht="15" hidden="false" customHeight="false" outlineLevel="0" collapsed="false">
      <c r="A553" s="38" t="n">
        <v>46024</v>
      </c>
      <c r="B553" s="11" t="n">
        <v>7</v>
      </c>
      <c r="C553" s="38" t="n">
        <v>46069</v>
      </c>
      <c r="D553" s="15" t="n">
        <v>479424.35</v>
      </c>
      <c r="E553" s="15" t="n">
        <v>554124.35</v>
      </c>
      <c r="F553" s="15" t="n">
        <v>772842.35</v>
      </c>
      <c r="G553" s="15" t="n">
        <f aca="false">E553-D553</f>
        <v>74700</v>
      </c>
      <c r="H553" s="15" t="n">
        <f aca="false">F553-D553</f>
        <v>293418</v>
      </c>
    </row>
    <row r="554" customFormat="false" ht="15" hidden="false" customHeight="false" outlineLevel="0" collapsed="false">
      <c r="A554" s="38" t="n">
        <v>46024</v>
      </c>
      <c r="B554" s="11" t="n">
        <v>8</v>
      </c>
      <c r="C554" s="38" t="n">
        <v>46076</v>
      </c>
      <c r="D554" s="15" t="n">
        <v>446880.96</v>
      </c>
      <c r="E554" s="15" t="n">
        <v>501204.96</v>
      </c>
      <c r="F554" s="15" t="n">
        <v>701448.96</v>
      </c>
      <c r="G554" s="15" t="n">
        <f aca="false">E554-D554</f>
        <v>54324</v>
      </c>
      <c r="H554" s="15" t="n">
        <f aca="false">F554-D554</f>
        <v>254568</v>
      </c>
    </row>
    <row r="555" customFormat="false" ht="15" hidden="false" customHeight="false" outlineLevel="0" collapsed="false">
      <c r="A555" s="38" t="n">
        <v>46024</v>
      </c>
      <c r="B555" s="11" t="n">
        <v>9</v>
      </c>
      <c r="C555" s="38" t="n">
        <v>46083</v>
      </c>
      <c r="D555" s="15" t="n">
        <v>434876.33</v>
      </c>
      <c r="E555" s="15" t="n">
        <v>464924.33</v>
      </c>
      <c r="F555" s="15" t="n">
        <v>676172.33</v>
      </c>
      <c r="G555" s="15" t="n">
        <f aca="false">E555-D555</f>
        <v>30048</v>
      </c>
      <c r="H555" s="15" t="n">
        <f aca="false">F555-D555</f>
        <v>241296</v>
      </c>
    </row>
    <row r="556" customFormat="false" ht="15" hidden="false" customHeight="false" outlineLevel="0" collapsed="false">
      <c r="A556" s="38" t="n">
        <v>46024</v>
      </c>
      <c r="B556" s="11" t="n">
        <v>10</v>
      </c>
      <c r="C556" s="38" t="n">
        <v>46090</v>
      </c>
      <c r="D556" s="15" t="n">
        <v>510482.14</v>
      </c>
      <c r="E556" s="15" t="n">
        <v>547370.14</v>
      </c>
      <c r="F556" s="15" t="n">
        <v>782282.14</v>
      </c>
      <c r="G556" s="15" t="n">
        <f aca="false">E556-D556</f>
        <v>36888</v>
      </c>
      <c r="H556" s="15" t="n">
        <f aca="false">F556-D556</f>
        <v>271800</v>
      </c>
    </row>
    <row r="557" customFormat="false" ht="15" hidden="false" customHeight="false" outlineLevel="0" collapsed="false">
      <c r="A557" s="38" t="n">
        <v>46024</v>
      </c>
      <c r="B557" s="11" t="n">
        <v>11</v>
      </c>
      <c r="C557" s="38" t="n">
        <v>46097</v>
      </c>
      <c r="D557" s="15" t="n">
        <v>449009.13</v>
      </c>
      <c r="E557" s="15" t="n">
        <v>529889.13</v>
      </c>
      <c r="F557" s="15" t="n">
        <v>684173.13</v>
      </c>
      <c r="G557" s="15" t="n">
        <f aca="false">E557-D557</f>
        <v>80880</v>
      </c>
      <c r="H557" s="15" t="n">
        <f aca="false">F557-D557</f>
        <v>235164</v>
      </c>
    </row>
    <row r="558" customFormat="false" ht="15" hidden="false" customHeight="false" outlineLevel="0" collapsed="false">
      <c r="A558" s="38" t="n">
        <v>46024</v>
      </c>
      <c r="B558" s="11" t="n">
        <v>12</v>
      </c>
      <c r="C558" s="38" t="n">
        <v>46104</v>
      </c>
      <c r="D558" s="15" t="n">
        <v>438284.71</v>
      </c>
      <c r="E558" s="15" t="n">
        <v>539514.71</v>
      </c>
      <c r="F558" s="15" t="n">
        <v>723402.71</v>
      </c>
      <c r="G558" s="15" t="n">
        <f aca="false">E558-D558</f>
        <v>101230</v>
      </c>
      <c r="H558" s="15" t="n">
        <f aca="false">F558-D558</f>
        <v>285118</v>
      </c>
    </row>
    <row r="559" customFormat="false" ht="15" hidden="false" customHeight="false" outlineLevel="0" collapsed="false">
      <c r="A559" s="38" t="n">
        <v>46024</v>
      </c>
      <c r="B559" s="11" t="n">
        <v>13</v>
      </c>
      <c r="C559" s="38" t="n">
        <v>46111</v>
      </c>
      <c r="D559" s="15" t="n">
        <v>292283.74</v>
      </c>
      <c r="E559" s="15" t="n">
        <v>395161.74</v>
      </c>
      <c r="F559" s="15" t="n">
        <v>581975.74</v>
      </c>
      <c r="G559" s="15" t="n">
        <f aca="false">E559-D559</f>
        <v>102878</v>
      </c>
      <c r="H559" s="15" t="n">
        <f aca="false">F559-D559</f>
        <v>289692</v>
      </c>
    </row>
    <row r="560" customFormat="false" ht="15" hidden="false" customHeight="false" outlineLevel="0" collapsed="false">
      <c r="A560" s="38" t="n">
        <v>46031</v>
      </c>
      <c r="B560" s="11" t="n">
        <v>1</v>
      </c>
      <c r="C560" s="38" t="n">
        <v>46034</v>
      </c>
      <c r="D560" s="15" t="n">
        <v>376608.93</v>
      </c>
      <c r="E560" s="15" t="n">
        <v>374484.93</v>
      </c>
      <c r="F560" s="15" t="n">
        <v>563362.93</v>
      </c>
      <c r="G560" s="15" t="n">
        <f aca="false">E560-D560</f>
        <v>-2124</v>
      </c>
      <c r="H560" s="15" t="n">
        <f aca="false">F560-D560</f>
        <v>186754</v>
      </c>
    </row>
    <row r="561" customFormat="false" ht="15" hidden="false" customHeight="false" outlineLevel="0" collapsed="false">
      <c r="A561" s="38" t="n">
        <v>46031</v>
      </c>
      <c r="B561" s="11" t="n">
        <v>2</v>
      </c>
      <c r="C561" s="38" t="n">
        <v>46041</v>
      </c>
      <c r="D561" s="15" t="n">
        <v>474213.27</v>
      </c>
      <c r="E561" s="15" t="n">
        <v>531717.27</v>
      </c>
      <c r="F561" s="15" t="n">
        <v>783621.27</v>
      </c>
      <c r="G561" s="15" t="n">
        <f aca="false">E561-D561</f>
        <v>57504</v>
      </c>
      <c r="H561" s="15" t="n">
        <f aca="false">F561-D561</f>
        <v>309408</v>
      </c>
    </row>
    <row r="562" customFormat="false" ht="15" hidden="false" customHeight="false" outlineLevel="0" collapsed="false">
      <c r="A562" s="38" t="n">
        <v>46031</v>
      </c>
      <c r="B562" s="11" t="n">
        <v>3</v>
      </c>
      <c r="C562" s="38" t="n">
        <v>46048</v>
      </c>
      <c r="D562" s="15" t="n">
        <v>255081.99</v>
      </c>
      <c r="E562" s="15" t="n">
        <v>267321.99</v>
      </c>
      <c r="F562" s="15" t="n">
        <v>605297.99</v>
      </c>
      <c r="G562" s="15" t="n">
        <f aca="false">E562-D562</f>
        <v>12240</v>
      </c>
      <c r="H562" s="15" t="n">
        <f aca="false">F562-D562</f>
        <v>350216</v>
      </c>
    </row>
    <row r="563" customFormat="false" ht="15" hidden="false" customHeight="false" outlineLevel="0" collapsed="false">
      <c r="A563" s="38" t="n">
        <v>46031</v>
      </c>
      <c r="B563" s="11" t="n">
        <v>4</v>
      </c>
      <c r="C563" s="38" t="n">
        <v>46055</v>
      </c>
      <c r="D563" s="15" t="n">
        <v>333468.98</v>
      </c>
      <c r="E563" s="15" t="n">
        <v>387852.98</v>
      </c>
      <c r="F563" s="15" t="n">
        <v>669888.98</v>
      </c>
      <c r="G563" s="15" t="n">
        <f aca="false">E563-D563</f>
        <v>54384</v>
      </c>
      <c r="H563" s="15" t="n">
        <f aca="false">F563-D563</f>
        <v>336420</v>
      </c>
    </row>
    <row r="564" customFormat="false" ht="15" hidden="false" customHeight="false" outlineLevel="0" collapsed="false">
      <c r="A564" s="38" t="n">
        <v>46031</v>
      </c>
      <c r="B564" s="11" t="n">
        <v>5</v>
      </c>
      <c r="C564" s="38" t="n">
        <v>46062</v>
      </c>
      <c r="D564" s="15" t="n">
        <v>453277.26</v>
      </c>
      <c r="E564" s="15" t="n">
        <v>500749.26</v>
      </c>
      <c r="F564" s="15" t="n">
        <v>757517.26</v>
      </c>
      <c r="G564" s="15" t="n">
        <f aca="false">E564-D564</f>
        <v>47472</v>
      </c>
      <c r="H564" s="15" t="n">
        <f aca="false">F564-D564</f>
        <v>304240</v>
      </c>
    </row>
    <row r="565" customFormat="false" ht="15" hidden="false" customHeight="false" outlineLevel="0" collapsed="false">
      <c r="A565" s="38" t="n">
        <v>46031</v>
      </c>
      <c r="B565" s="11" t="n">
        <v>6</v>
      </c>
      <c r="C565" s="38" t="n">
        <v>46069</v>
      </c>
      <c r="D565" s="15" t="n">
        <v>479424.35</v>
      </c>
      <c r="E565" s="15" t="n">
        <v>554124.35</v>
      </c>
      <c r="F565" s="15" t="n">
        <v>772842.35</v>
      </c>
      <c r="G565" s="15" t="n">
        <f aca="false">E565-D565</f>
        <v>74700</v>
      </c>
      <c r="H565" s="15" t="n">
        <f aca="false">F565-D565</f>
        <v>293418</v>
      </c>
    </row>
    <row r="566" customFormat="false" ht="15" hidden="false" customHeight="false" outlineLevel="0" collapsed="false">
      <c r="A566" s="38" t="n">
        <v>46031</v>
      </c>
      <c r="B566" s="11" t="n">
        <v>7</v>
      </c>
      <c r="C566" s="38" t="n">
        <v>46076</v>
      </c>
      <c r="D566" s="15" t="n">
        <v>446880.96</v>
      </c>
      <c r="E566" s="15" t="n">
        <v>501204.96</v>
      </c>
      <c r="F566" s="15" t="n">
        <v>701448.96</v>
      </c>
      <c r="G566" s="15" t="n">
        <f aca="false">E566-D566</f>
        <v>54324</v>
      </c>
      <c r="H566" s="15" t="n">
        <f aca="false">F566-D566</f>
        <v>254568</v>
      </c>
    </row>
    <row r="567" customFormat="false" ht="15" hidden="false" customHeight="false" outlineLevel="0" collapsed="false">
      <c r="A567" s="38" t="n">
        <v>46031</v>
      </c>
      <c r="B567" s="11" t="n">
        <v>8</v>
      </c>
      <c r="C567" s="38" t="n">
        <v>46083</v>
      </c>
      <c r="D567" s="15" t="n">
        <v>434876.33</v>
      </c>
      <c r="E567" s="15" t="n">
        <v>464924.33</v>
      </c>
      <c r="F567" s="15" t="n">
        <v>676172.33</v>
      </c>
      <c r="G567" s="15" t="n">
        <f aca="false">E567-D567</f>
        <v>30048</v>
      </c>
      <c r="H567" s="15" t="n">
        <f aca="false">F567-D567</f>
        <v>241296</v>
      </c>
    </row>
    <row r="568" customFormat="false" ht="15" hidden="false" customHeight="false" outlineLevel="0" collapsed="false">
      <c r="A568" s="38" t="n">
        <v>46031</v>
      </c>
      <c r="B568" s="11" t="n">
        <v>9</v>
      </c>
      <c r="C568" s="38" t="n">
        <v>46090</v>
      </c>
      <c r="D568" s="15" t="n">
        <v>510482.14</v>
      </c>
      <c r="E568" s="15" t="n">
        <v>547370.14</v>
      </c>
      <c r="F568" s="15" t="n">
        <v>782282.14</v>
      </c>
      <c r="G568" s="15" t="n">
        <f aca="false">E568-D568</f>
        <v>36888</v>
      </c>
      <c r="H568" s="15" t="n">
        <f aca="false">F568-D568</f>
        <v>271800</v>
      </c>
    </row>
    <row r="569" customFormat="false" ht="15" hidden="false" customHeight="false" outlineLevel="0" collapsed="false">
      <c r="A569" s="38" t="n">
        <v>46031</v>
      </c>
      <c r="B569" s="11" t="n">
        <v>10</v>
      </c>
      <c r="C569" s="38" t="n">
        <v>46097</v>
      </c>
      <c r="D569" s="15" t="n">
        <v>449009.13</v>
      </c>
      <c r="E569" s="15" t="n">
        <v>529889.13</v>
      </c>
      <c r="F569" s="15" t="n">
        <v>684173.13</v>
      </c>
      <c r="G569" s="15" t="n">
        <f aca="false">E569-D569</f>
        <v>80880</v>
      </c>
      <c r="H569" s="15" t="n">
        <f aca="false">F569-D569</f>
        <v>235164</v>
      </c>
    </row>
    <row r="570" customFormat="false" ht="15" hidden="false" customHeight="false" outlineLevel="0" collapsed="false">
      <c r="A570" s="38" t="n">
        <v>46031</v>
      </c>
      <c r="B570" s="11" t="n">
        <v>11</v>
      </c>
      <c r="C570" s="38" t="n">
        <v>46104</v>
      </c>
      <c r="D570" s="15" t="n">
        <v>438284.71</v>
      </c>
      <c r="E570" s="15" t="n">
        <v>539514.71</v>
      </c>
      <c r="F570" s="15" t="n">
        <v>723402.71</v>
      </c>
      <c r="G570" s="15" t="n">
        <f aca="false">E570-D570</f>
        <v>101230</v>
      </c>
      <c r="H570" s="15" t="n">
        <f aca="false">F570-D570</f>
        <v>285118</v>
      </c>
    </row>
    <row r="571" customFormat="false" ht="15" hidden="false" customHeight="false" outlineLevel="0" collapsed="false">
      <c r="A571" s="38" t="n">
        <v>46031</v>
      </c>
      <c r="B571" s="11" t="n">
        <v>12</v>
      </c>
      <c r="C571" s="38" t="n">
        <v>46111</v>
      </c>
      <c r="D571" s="15" t="n">
        <v>292283.74</v>
      </c>
      <c r="E571" s="15" t="n">
        <v>382729.74</v>
      </c>
      <c r="F571" s="15" t="n">
        <v>581975.74</v>
      </c>
      <c r="G571" s="15" t="n">
        <f aca="false">E571-D571</f>
        <v>90446</v>
      </c>
      <c r="H571" s="15" t="n">
        <f aca="false">F571-D571</f>
        <v>289692</v>
      </c>
    </row>
    <row r="572" customFormat="false" ht="15" hidden="false" customHeight="false" outlineLevel="0" collapsed="false">
      <c r="A572" s="38" t="n">
        <v>46031</v>
      </c>
      <c r="B572" s="11" t="n">
        <v>13</v>
      </c>
      <c r="C572" s="38" t="n">
        <v>46118</v>
      </c>
      <c r="D572" s="15" t="n">
        <v>294778.79</v>
      </c>
      <c r="E572" s="15" t="n">
        <v>456034.79</v>
      </c>
      <c r="F572" s="15" t="n">
        <v>716460.79</v>
      </c>
      <c r="G572" s="15" t="n">
        <f aca="false">E572-D572</f>
        <v>161256</v>
      </c>
      <c r="H572" s="15" t="n">
        <f aca="false">F572-D572</f>
        <v>421682</v>
      </c>
    </row>
    <row r="573" customFormat="false" ht="15" hidden="false" customHeight="false" outlineLevel="0" collapsed="false">
      <c r="A573" s="38" t="n">
        <v>46038</v>
      </c>
      <c r="B573" s="11" t="n">
        <v>1</v>
      </c>
      <c r="C573" s="38" t="n">
        <v>46041</v>
      </c>
      <c r="D573" s="15" t="n">
        <v>474213.27</v>
      </c>
      <c r="E573" s="15" t="n">
        <v>500757.27</v>
      </c>
      <c r="F573" s="15" t="n">
        <v>783621.27</v>
      </c>
      <c r="G573" s="15" t="n">
        <f aca="false">E573-D573</f>
        <v>26544</v>
      </c>
      <c r="H573" s="15" t="n">
        <f aca="false">F573-D573</f>
        <v>309408</v>
      </c>
    </row>
    <row r="574" customFormat="false" ht="15" hidden="false" customHeight="false" outlineLevel="0" collapsed="false">
      <c r="A574" s="38" t="n">
        <v>46038</v>
      </c>
      <c r="B574" s="11" t="n">
        <v>2</v>
      </c>
      <c r="C574" s="38" t="n">
        <v>46048</v>
      </c>
      <c r="D574" s="15" t="n">
        <v>255081.99</v>
      </c>
      <c r="E574" s="15" t="n">
        <v>292497.99</v>
      </c>
      <c r="F574" s="15" t="n">
        <v>605297.99</v>
      </c>
      <c r="G574" s="15" t="n">
        <f aca="false">E574-D574</f>
        <v>37416</v>
      </c>
      <c r="H574" s="15" t="n">
        <f aca="false">F574-D574</f>
        <v>350216</v>
      </c>
    </row>
    <row r="575" customFormat="false" ht="15" hidden="false" customHeight="false" outlineLevel="0" collapsed="false">
      <c r="A575" s="38" t="n">
        <v>46038</v>
      </c>
      <c r="B575" s="11" t="n">
        <v>3</v>
      </c>
      <c r="C575" s="38" t="n">
        <v>46055</v>
      </c>
      <c r="D575" s="15" t="n">
        <v>333468.98</v>
      </c>
      <c r="E575" s="15" t="n">
        <v>387852.98</v>
      </c>
      <c r="F575" s="15" t="n">
        <v>669888.98</v>
      </c>
      <c r="G575" s="15" t="n">
        <f aca="false">E575-D575</f>
        <v>54384</v>
      </c>
      <c r="H575" s="15" t="n">
        <f aca="false">F575-D575</f>
        <v>336420</v>
      </c>
    </row>
    <row r="576" customFormat="false" ht="15" hidden="false" customHeight="false" outlineLevel="0" collapsed="false">
      <c r="A576" s="38" t="n">
        <v>46038</v>
      </c>
      <c r="B576" s="11" t="n">
        <v>4</v>
      </c>
      <c r="C576" s="38" t="n">
        <v>46062</v>
      </c>
      <c r="D576" s="15" t="n">
        <v>453277.26</v>
      </c>
      <c r="E576" s="15" t="n">
        <v>501061.26</v>
      </c>
      <c r="F576" s="15" t="n">
        <v>757517.26</v>
      </c>
      <c r="G576" s="15" t="n">
        <f aca="false">E576-D576</f>
        <v>47784</v>
      </c>
      <c r="H576" s="15" t="n">
        <f aca="false">F576-D576</f>
        <v>304240</v>
      </c>
    </row>
    <row r="577" customFormat="false" ht="15" hidden="false" customHeight="false" outlineLevel="0" collapsed="false">
      <c r="A577" s="38" t="n">
        <v>46038</v>
      </c>
      <c r="B577" s="11" t="n">
        <v>5</v>
      </c>
      <c r="C577" s="38" t="n">
        <v>46069</v>
      </c>
      <c r="D577" s="15" t="n">
        <v>479424.35</v>
      </c>
      <c r="E577" s="15" t="n">
        <v>554124.35</v>
      </c>
      <c r="F577" s="15" t="n">
        <v>772842.35</v>
      </c>
      <c r="G577" s="15" t="n">
        <f aca="false">E577-D577</f>
        <v>74700</v>
      </c>
      <c r="H577" s="15" t="n">
        <f aca="false">F577-D577</f>
        <v>293418</v>
      </c>
    </row>
    <row r="578" customFormat="false" ht="15" hidden="false" customHeight="false" outlineLevel="0" collapsed="false">
      <c r="A578" s="38" t="n">
        <v>46038</v>
      </c>
      <c r="B578" s="11" t="n">
        <v>6</v>
      </c>
      <c r="C578" s="38" t="n">
        <v>46076</v>
      </c>
      <c r="D578" s="15" t="n">
        <v>446880.96</v>
      </c>
      <c r="E578" s="15" t="n">
        <v>501204.96</v>
      </c>
      <c r="F578" s="15" t="n">
        <v>701448.96</v>
      </c>
      <c r="G578" s="15" t="n">
        <f aca="false">E578-D578</f>
        <v>54324</v>
      </c>
      <c r="H578" s="15" t="n">
        <f aca="false">F578-D578</f>
        <v>254568</v>
      </c>
    </row>
    <row r="579" customFormat="false" ht="15" hidden="false" customHeight="false" outlineLevel="0" collapsed="false">
      <c r="A579" s="38" t="n">
        <v>46038</v>
      </c>
      <c r="B579" s="11" t="n">
        <v>7</v>
      </c>
      <c r="C579" s="38" t="n">
        <v>46083</v>
      </c>
      <c r="D579" s="15" t="n">
        <v>434876.33</v>
      </c>
      <c r="E579" s="15" t="n">
        <v>464924.33</v>
      </c>
      <c r="F579" s="15" t="n">
        <v>676172.33</v>
      </c>
      <c r="G579" s="15" t="n">
        <f aca="false">E579-D579</f>
        <v>30048</v>
      </c>
      <c r="H579" s="15" t="n">
        <f aca="false">F579-D579</f>
        <v>241296</v>
      </c>
    </row>
    <row r="580" customFormat="false" ht="15" hidden="false" customHeight="false" outlineLevel="0" collapsed="false">
      <c r="A580" s="38" t="n">
        <v>46038</v>
      </c>
      <c r="B580" s="11" t="n">
        <v>8</v>
      </c>
      <c r="C580" s="38" t="n">
        <v>46090</v>
      </c>
      <c r="D580" s="15" t="n">
        <v>510482.14</v>
      </c>
      <c r="E580" s="15" t="n">
        <v>573086.14</v>
      </c>
      <c r="F580" s="15" t="n">
        <v>782282.14</v>
      </c>
      <c r="G580" s="15" t="n">
        <f aca="false">E580-D580</f>
        <v>62604</v>
      </c>
      <c r="H580" s="15" t="n">
        <f aca="false">F580-D580</f>
        <v>271800</v>
      </c>
    </row>
    <row r="581" customFormat="false" ht="15" hidden="false" customHeight="false" outlineLevel="0" collapsed="false">
      <c r="A581" s="38" t="n">
        <v>46038</v>
      </c>
      <c r="B581" s="11" t="n">
        <v>9</v>
      </c>
      <c r="C581" s="38" t="n">
        <v>46097</v>
      </c>
      <c r="D581" s="15" t="n">
        <v>449009.13</v>
      </c>
      <c r="E581" s="15" t="n">
        <v>540401.13</v>
      </c>
      <c r="F581" s="15" t="n">
        <v>684173.13</v>
      </c>
      <c r="G581" s="15" t="n">
        <f aca="false">E581-D581</f>
        <v>91392</v>
      </c>
      <c r="H581" s="15" t="n">
        <f aca="false">F581-D581</f>
        <v>235164</v>
      </c>
    </row>
    <row r="582" customFormat="false" ht="15" hidden="false" customHeight="false" outlineLevel="0" collapsed="false">
      <c r="A582" s="38" t="n">
        <v>46038</v>
      </c>
      <c r="B582" s="11" t="n">
        <v>10</v>
      </c>
      <c r="C582" s="38" t="n">
        <v>46104</v>
      </c>
      <c r="D582" s="15" t="n">
        <v>438284.71</v>
      </c>
      <c r="E582" s="15" t="n">
        <v>539514.71</v>
      </c>
      <c r="F582" s="15" t="n">
        <v>723402.71</v>
      </c>
      <c r="G582" s="15" t="n">
        <f aca="false">E582-D582</f>
        <v>101230</v>
      </c>
      <c r="H582" s="15" t="n">
        <f aca="false">F582-D582</f>
        <v>285118</v>
      </c>
    </row>
    <row r="583" customFormat="false" ht="15" hidden="false" customHeight="false" outlineLevel="0" collapsed="false">
      <c r="A583" s="38" t="n">
        <v>46038</v>
      </c>
      <c r="B583" s="11" t="n">
        <v>11</v>
      </c>
      <c r="C583" s="38" t="n">
        <v>46111</v>
      </c>
      <c r="D583" s="15" t="n">
        <v>292283.74</v>
      </c>
      <c r="E583" s="15" t="n">
        <v>382729.74</v>
      </c>
      <c r="F583" s="15" t="n">
        <v>581975.74</v>
      </c>
      <c r="G583" s="15" t="n">
        <f aca="false">E583-D583</f>
        <v>90446</v>
      </c>
      <c r="H583" s="15" t="n">
        <f aca="false">F583-D583</f>
        <v>289692</v>
      </c>
    </row>
    <row r="584" customFormat="false" ht="15" hidden="false" customHeight="false" outlineLevel="0" collapsed="false">
      <c r="A584" s="38" t="n">
        <v>46038</v>
      </c>
      <c r="B584" s="11" t="n">
        <v>12</v>
      </c>
      <c r="C584" s="38" t="n">
        <v>46118</v>
      </c>
      <c r="D584" s="15" t="n">
        <v>294778.79</v>
      </c>
      <c r="E584" s="15" t="n">
        <v>450658.79</v>
      </c>
      <c r="F584" s="15" t="n">
        <v>716460.79</v>
      </c>
      <c r="G584" s="15" t="n">
        <f aca="false">E584-D584</f>
        <v>155880</v>
      </c>
      <c r="H584" s="15" t="n">
        <f aca="false">F584-D584</f>
        <v>421682</v>
      </c>
    </row>
    <row r="585" customFormat="false" ht="15" hidden="false" customHeight="false" outlineLevel="0" collapsed="false">
      <c r="A585" s="38" t="n">
        <v>46038</v>
      </c>
      <c r="B585" s="11" t="n">
        <v>13</v>
      </c>
      <c r="C585" s="38" t="n">
        <v>46125</v>
      </c>
      <c r="D585" s="15" t="n">
        <v>387064.45</v>
      </c>
      <c r="E585" s="15" t="n">
        <v>466686.45</v>
      </c>
      <c r="F585" s="15" t="n">
        <v>724718.45</v>
      </c>
      <c r="G585" s="15" t="n">
        <f aca="false">E585-D585</f>
        <v>79622</v>
      </c>
      <c r="H585" s="15" t="n">
        <f aca="false">F585-D585</f>
        <v>337654</v>
      </c>
    </row>
    <row r="586" customFormat="false" ht="15" hidden="false" customHeight="false" outlineLevel="0" collapsed="false">
      <c r="A586" s="38" t="n">
        <v>46045</v>
      </c>
      <c r="B586" s="11" t="n">
        <v>1</v>
      </c>
      <c r="C586" s="38" t="n">
        <v>46048</v>
      </c>
      <c r="D586" s="15" t="n">
        <v>255081.99</v>
      </c>
      <c r="E586" s="15" t="n">
        <v>239505.99</v>
      </c>
      <c r="F586" s="15" t="n">
        <v>605297.99</v>
      </c>
      <c r="G586" s="15" t="n">
        <f aca="false">E586-D586</f>
        <v>-15576</v>
      </c>
      <c r="H586" s="15" t="n">
        <f aca="false">F586-D586</f>
        <v>350216</v>
      </c>
    </row>
    <row r="587" customFormat="false" ht="15" hidden="false" customHeight="false" outlineLevel="0" collapsed="false">
      <c r="A587" s="38" t="n">
        <v>46045</v>
      </c>
      <c r="B587" s="11" t="n">
        <v>2</v>
      </c>
      <c r="C587" s="38" t="n">
        <v>46055</v>
      </c>
      <c r="D587" s="15" t="n">
        <v>333468.98</v>
      </c>
      <c r="E587" s="15" t="n">
        <v>375492.98</v>
      </c>
      <c r="F587" s="15" t="n">
        <v>669888.98</v>
      </c>
      <c r="G587" s="15" t="n">
        <f aca="false">E587-D587</f>
        <v>42024</v>
      </c>
      <c r="H587" s="15" t="n">
        <f aca="false">F587-D587</f>
        <v>336420</v>
      </c>
    </row>
    <row r="588" customFormat="false" ht="15" hidden="false" customHeight="false" outlineLevel="0" collapsed="false">
      <c r="A588" s="38" t="n">
        <v>46045</v>
      </c>
      <c r="B588" s="11" t="n">
        <v>3</v>
      </c>
      <c r="C588" s="38" t="n">
        <v>46062</v>
      </c>
      <c r="D588" s="15" t="n">
        <v>453277.26</v>
      </c>
      <c r="E588" s="15" t="n">
        <v>501061.26</v>
      </c>
      <c r="F588" s="15" t="n">
        <v>757517.26</v>
      </c>
      <c r="G588" s="15" t="n">
        <f aca="false">E588-D588</f>
        <v>47784</v>
      </c>
      <c r="H588" s="15" t="n">
        <f aca="false">F588-D588</f>
        <v>304240</v>
      </c>
    </row>
    <row r="589" customFormat="false" ht="15" hidden="false" customHeight="false" outlineLevel="0" collapsed="false">
      <c r="A589" s="38" t="n">
        <v>46045</v>
      </c>
      <c r="B589" s="11" t="n">
        <v>4</v>
      </c>
      <c r="C589" s="38" t="n">
        <v>46069</v>
      </c>
      <c r="D589" s="15" t="n">
        <v>479424.35</v>
      </c>
      <c r="E589" s="15" t="n">
        <v>554124.35</v>
      </c>
      <c r="F589" s="15" t="n">
        <v>772842.35</v>
      </c>
      <c r="G589" s="15" t="n">
        <f aca="false">E589-D589</f>
        <v>74700</v>
      </c>
      <c r="H589" s="15" t="n">
        <f aca="false">F589-D589</f>
        <v>293418</v>
      </c>
    </row>
    <row r="590" customFormat="false" ht="15" hidden="false" customHeight="false" outlineLevel="0" collapsed="false">
      <c r="A590" s="38" t="n">
        <v>46045</v>
      </c>
      <c r="B590" s="11" t="n">
        <v>5</v>
      </c>
      <c r="C590" s="38" t="n">
        <v>46076</v>
      </c>
      <c r="D590" s="15" t="n">
        <v>446880.96</v>
      </c>
      <c r="E590" s="15" t="n">
        <v>501204.96</v>
      </c>
      <c r="F590" s="15" t="n">
        <v>701448.96</v>
      </c>
      <c r="G590" s="15" t="n">
        <f aca="false">E590-D590</f>
        <v>54324</v>
      </c>
      <c r="H590" s="15" t="n">
        <f aca="false">F590-D590</f>
        <v>254568</v>
      </c>
    </row>
    <row r="591" customFormat="false" ht="15" hidden="false" customHeight="false" outlineLevel="0" collapsed="false">
      <c r="A591" s="38" t="n">
        <v>46045</v>
      </c>
      <c r="B591" s="11" t="n">
        <v>6</v>
      </c>
      <c r="C591" s="38" t="n">
        <v>46083</v>
      </c>
      <c r="D591" s="15" t="n">
        <v>434876.33</v>
      </c>
      <c r="E591" s="15" t="n">
        <v>464924.33</v>
      </c>
      <c r="F591" s="15" t="n">
        <v>676172.33</v>
      </c>
      <c r="G591" s="15" t="n">
        <f aca="false">E591-D591</f>
        <v>30048</v>
      </c>
      <c r="H591" s="15" t="n">
        <f aca="false">F591-D591</f>
        <v>241296</v>
      </c>
    </row>
    <row r="592" customFormat="false" ht="15" hidden="false" customHeight="false" outlineLevel="0" collapsed="false">
      <c r="A592" s="38" t="n">
        <v>46045</v>
      </c>
      <c r="B592" s="11" t="n">
        <v>7</v>
      </c>
      <c r="C592" s="38" t="n">
        <v>46090</v>
      </c>
      <c r="D592" s="15" t="n">
        <v>510482.14</v>
      </c>
      <c r="E592" s="15" t="n">
        <v>573086.14</v>
      </c>
      <c r="F592" s="15" t="n">
        <v>782282.14</v>
      </c>
      <c r="G592" s="15" t="n">
        <f aca="false">E592-D592</f>
        <v>62604</v>
      </c>
      <c r="H592" s="15" t="n">
        <f aca="false">F592-D592</f>
        <v>271800</v>
      </c>
    </row>
    <row r="593" customFormat="false" ht="15" hidden="false" customHeight="false" outlineLevel="0" collapsed="false">
      <c r="A593" s="38" t="n">
        <v>46045</v>
      </c>
      <c r="B593" s="11" t="n">
        <v>8</v>
      </c>
      <c r="C593" s="38" t="n">
        <v>46097</v>
      </c>
      <c r="D593" s="15" t="n">
        <v>449009.13</v>
      </c>
      <c r="E593" s="15" t="n">
        <v>529889.13</v>
      </c>
      <c r="F593" s="15" t="n">
        <v>684173.13</v>
      </c>
      <c r="G593" s="15" t="n">
        <f aca="false">E593-D593</f>
        <v>80880</v>
      </c>
      <c r="H593" s="15" t="n">
        <f aca="false">F593-D593</f>
        <v>235164</v>
      </c>
    </row>
    <row r="594" customFormat="false" ht="15" hidden="false" customHeight="false" outlineLevel="0" collapsed="false">
      <c r="A594" s="38" t="n">
        <v>46045</v>
      </c>
      <c r="B594" s="11" t="n">
        <v>9</v>
      </c>
      <c r="C594" s="38" t="n">
        <v>46104</v>
      </c>
      <c r="D594" s="15" t="n">
        <v>438284.71</v>
      </c>
      <c r="E594" s="15" t="n">
        <v>539514.71</v>
      </c>
      <c r="F594" s="15" t="n">
        <v>723402.71</v>
      </c>
      <c r="G594" s="15" t="n">
        <f aca="false">E594-D594</f>
        <v>101230</v>
      </c>
      <c r="H594" s="15" t="n">
        <f aca="false">F594-D594</f>
        <v>285118</v>
      </c>
    </row>
    <row r="595" customFormat="false" ht="15" hidden="false" customHeight="false" outlineLevel="0" collapsed="false">
      <c r="A595" s="38" t="n">
        <v>46045</v>
      </c>
      <c r="B595" s="11" t="n">
        <v>10</v>
      </c>
      <c r="C595" s="38" t="n">
        <v>46111</v>
      </c>
      <c r="D595" s="15" t="n">
        <v>292283.74</v>
      </c>
      <c r="E595" s="15" t="n">
        <v>382729.74</v>
      </c>
      <c r="F595" s="15" t="n">
        <v>581975.74</v>
      </c>
      <c r="G595" s="15" t="n">
        <f aca="false">E595-D595</f>
        <v>90446</v>
      </c>
      <c r="H595" s="15" t="n">
        <f aca="false">F595-D595</f>
        <v>289692</v>
      </c>
    </row>
    <row r="596" customFormat="false" ht="15" hidden="false" customHeight="false" outlineLevel="0" collapsed="false">
      <c r="A596" s="38" t="n">
        <v>46045</v>
      </c>
      <c r="B596" s="11" t="n">
        <v>11</v>
      </c>
      <c r="C596" s="38" t="n">
        <v>46118</v>
      </c>
      <c r="D596" s="15" t="n">
        <v>294778.79</v>
      </c>
      <c r="E596" s="15" t="n">
        <v>456034.79</v>
      </c>
      <c r="F596" s="15" t="n">
        <v>716460.79</v>
      </c>
      <c r="G596" s="15" t="n">
        <f aca="false">E596-D596</f>
        <v>161256</v>
      </c>
      <c r="H596" s="15" t="n">
        <f aca="false">F596-D596</f>
        <v>421682</v>
      </c>
    </row>
    <row r="597" customFormat="false" ht="15" hidden="false" customHeight="false" outlineLevel="0" collapsed="false">
      <c r="A597" s="38" t="n">
        <v>46045</v>
      </c>
      <c r="B597" s="11" t="n">
        <v>12</v>
      </c>
      <c r="C597" s="38" t="n">
        <v>46125</v>
      </c>
      <c r="D597" s="15" t="n">
        <v>387064.45</v>
      </c>
      <c r="E597" s="15" t="n">
        <v>445386.45</v>
      </c>
      <c r="F597" s="15" t="n">
        <v>724718.45</v>
      </c>
      <c r="G597" s="15" t="n">
        <f aca="false">E597-D597</f>
        <v>58322</v>
      </c>
      <c r="H597" s="15" t="n">
        <f aca="false">F597-D597</f>
        <v>337654</v>
      </c>
    </row>
    <row r="598" customFormat="false" ht="15" hidden="false" customHeight="false" outlineLevel="0" collapsed="false">
      <c r="A598" s="38" t="n">
        <v>46045</v>
      </c>
      <c r="B598" s="11" t="n">
        <v>13</v>
      </c>
      <c r="C598" s="38" t="n">
        <v>46132</v>
      </c>
      <c r="D598" s="15" t="n">
        <v>444316.96</v>
      </c>
      <c r="E598" s="15" t="n">
        <v>549604.96</v>
      </c>
      <c r="F598" s="15" t="n">
        <v>777340.96</v>
      </c>
      <c r="G598" s="15" t="n">
        <f aca="false">E598-D598</f>
        <v>105288</v>
      </c>
      <c r="H598" s="15" t="n">
        <f aca="false">F598-D598</f>
        <v>333024</v>
      </c>
    </row>
    <row r="599" customFormat="false" ht="15" hidden="false" customHeight="false" outlineLevel="0" collapsed="false">
      <c r="A599" s="38" t="n">
        <v>46052</v>
      </c>
      <c r="B599" s="11" t="n">
        <v>1</v>
      </c>
      <c r="C599" s="38" t="n">
        <v>46055</v>
      </c>
      <c r="D599" s="15" t="n">
        <v>333468.98</v>
      </c>
      <c r="E599" s="15" t="n">
        <v>372564.98</v>
      </c>
      <c r="F599" s="15" t="n">
        <v>669888.98</v>
      </c>
      <c r="G599" s="15" t="n">
        <f aca="false">E599-D599</f>
        <v>39096</v>
      </c>
      <c r="H599" s="15" t="n">
        <f aca="false">F599-D599</f>
        <v>336420</v>
      </c>
    </row>
    <row r="600" customFormat="false" ht="15" hidden="false" customHeight="false" outlineLevel="0" collapsed="false">
      <c r="A600" s="38" t="n">
        <v>46052</v>
      </c>
      <c r="B600" s="11" t="n">
        <v>2</v>
      </c>
      <c r="C600" s="38" t="n">
        <v>46062</v>
      </c>
      <c r="D600" s="15" t="n">
        <v>453277.26</v>
      </c>
      <c r="E600" s="15" t="n">
        <v>485797.26</v>
      </c>
      <c r="F600" s="15" t="n">
        <v>757517.26</v>
      </c>
      <c r="G600" s="15" t="n">
        <f aca="false">E600-D600</f>
        <v>32520</v>
      </c>
      <c r="H600" s="15" t="n">
        <f aca="false">F600-D600</f>
        <v>304240</v>
      </c>
    </row>
    <row r="601" customFormat="false" ht="15" hidden="false" customHeight="false" outlineLevel="0" collapsed="false">
      <c r="A601" s="38" t="n">
        <v>46052</v>
      </c>
      <c r="B601" s="11" t="n">
        <v>3</v>
      </c>
      <c r="C601" s="38" t="n">
        <v>46069</v>
      </c>
      <c r="D601" s="15" t="n">
        <v>479424.35</v>
      </c>
      <c r="E601" s="15" t="n">
        <v>554124.35</v>
      </c>
      <c r="F601" s="15" t="n">
        <v>772842.35</v>
      </c>
      <c r="G601" s="15" t="n">
        <f aca="false">E601-D601</f>
        <v>74700</v>
      </c>
      <c r="H601" s="15" t="n">
        <f aca="false">F601-D601</f>
        <v>293418</v>
      </c>
    </row>
    <row r="602" customFormat="false" ht="15" hidden="false" customHeight="false" outlineLevel="0" collapsed="false">
      <c r="A602" s="38" t="n">
        <v>46052</v>
      </c>
      <c r="B602" s="11" t="n">
        <v>4</v>
      </c>
      <c r="C602" s="38" t="n">
        <v>46076</v>
      </c>
      <c r="D602" s="15" t="n">
        <v>446880.96</v>
      </c>
      <c r="E602" s="15" t="n">
        <v>501204.96</v>
      </c>
      <c r="F602" s="15" t="n">
        <v>701448.96</v>
      </c>
      <c r="G602" s="15" t="n">
        <f aca="false">E602-D602</f>
        <v>54324</v>
      </c>
      <c r="H602" s="15" t="n">
        <f aca="false">F602-D602</f>
        <v>254568</v>
      </c>
    </row>
    <row r="603" customFormat="false" ht="15" hidden="false" customHeight="false" outlineLevel="0" collapsed="false">
      <c r="A603" s="38" t="n">
        <v>46052</v>
      </c>
      <c r="B603" s="11" t="n">
        <v>5</v>
      </c>
      <c r="C603" s="38" t="n">
        <v>46083</v>
      </c>
      <c r="D603" s="15" t="n">
        <v>434876.33</v>
      </c>
      <c r="E603" s="15" t="n">
        <v>464924.33</v>
      </c>
      <c r="F603" s="15" t="n">
        <v>676172.33</v>
      </c>
      <c r="G603" s="15" t="n">
        <f aca="false">E603-D603</f>
        <v>30048</v>
      </c>
      <c r="H603" s="15" t="n">
        <f aca="false">F603-D603</f>
        <v>241296</v>
      </c>
    </row>
    <row r="604" customFormat="false" ht="15" hidden="false" customHeight="false" outlineLevel="0" collapsed="false">
      <c r="A604" s="38" t="n">
        <v>46052</v>
      </c>
      <c r="B604" s="11" t="n">
        <v>6</v>
      </c>
      <c r="C604" s="38" t="n">
        <v>46090</v>
      </c>
      <c r="D604" s="15" t="n">
        <v>510482.14</v>
      </c>
      <c r="E604" s="15" t="n">
        <v>573086.14</v>
      </c>
      <c r="F604" s="15" t="n">
        <v>782282.14</v>
      </c>
      <c r="G604" s="15" t="n">
        <f aca="false">E604-D604</f>
        <v>62604</v>
      </c>
      <c r="H604" s="15" t="n">
        <f aca="false">F604-D604</f>
        <v>271800</v>
      </c>
    </row>
    <row r="605" customFormat="false" ht="15" hidden="false" customHeight="false" outlineLevel="0" collapsed="false">
      <c r="A605" s="38" t="n">
        <v>46052</v>
      </c>
      <c r="B605" s="11" t="n">
        <v>7</v>
      </c>
      <c r="C605" s="38" t="n">
        <v>46097</v>
      </c>
      <c r="D605" s="15" t="n">
        <v>449009.13</v>
      </c>
      <c r="E605" s="15" t="n">
        <v>529889.13</v>
      </c>
      <c r="F605" s="15" t="n">
        <v>684173.13</v>
      </c>
      <c r="G605" s="15" t="n">
        <f aca="false">E605-D605</f>
        <v>80880</v>
      </c>
      <c r="H605" s="15" t="n">
        <f aca="false">F605-D605</f>
        <v>235164</v>
      </c>
    </row>
    <row r="606" customFormat="false" ht="15" hidden="false" customHeight="false" outlineLevel="0" collapsed="false">
      <c r="A606" s="38" t="n">
        <v>46052</v>
      </c>
      <c r="B606" s="11" t="n">
        <v>8</v>
      </c>
      <c r="C606" s="38" t="n">
        <v>46104</v>
      </c>
      <c r="D606" s="15" t="n">
        <v>438284.71</v>
      </c>
      <c r="E606" s="15" t="n">
        <v>539514.71</v>
      </c>
      <c r="F606" s="15" t="n">
        <v>723402.71</v>
      </c>
      <c r="G606" s="15" t="n">
        <f aca="false">E606-D606</f>
        <v>101230</v>
      </c>
      <c r="H606" s="15" t="n">
        <f aca="false">F606-D606</f>
        <v>285118</v>
      </c>
    </row>
    <row r="607" customFormat="false" ht="15" hidden="false" customHeight="false" outlineLevel="0" collapsed="false">
      <c r="A607" s="38" t="n">
        <v>46052</v>
      </c>
      <c r="B607" s="11" t="n">
        <v>9</v>
      </c>
      <c r="C607" s="38" t="n">
        <v>46111</v>
      </c>
      <c r="D607" s="15" t="n">
        <v>292283.74</v>
      </c>
      <c r="E607" s="15" t="n">
        <v>382729.74</v>
      </c>
      <c r="F607" s="15" t="n">
        <v>581975.74</v>
      </c>
      <c r="G607" s="15" t="n">
        <f aca="false">E607-D607</f>
        <v>90446</v>
      </c>
      <c r="H607" s="15" t="n">
        <f aca="false">F607-D607</f>
        <v>289692</v>
      </c>
    </row>
    <row r="608" customFormat="false" ht="15" hidden="false" customHeight="false" outlineLevel="0" collapsed="false">
      <c r="A608" s="38" t="n">
        <v>46052</v>
      </c>
      <c r="B608" s="11" t="n">
        <v>10</v>
      </c>
      <c r="C608" s="38" t="n">
        <v>46118</v>
      </c>
      <c r="D608" s="15" t="n">
        <v>294778.79</v>
      </c>
      <c r="E608" s="15" t="n">
        <v>456034.79</v>
      </c>
      <c r="F608" s="15" t="n">
        <v>716460.79</v>
      </c>
      <c r="G608" s="15" t="n">
        <f aca="false">E608-D608</f>
        <v>161256</v>
      </c>
      <c r="H608" s="15" t="n">
        <f aca="false">F608-D608</f>
        <v>421682</v>
      </c>
    </row>
    <row r="609" customFormat="false" ht="15" hidden="false" customHeight="false" outlineLevel="0" collapsed="false">
      <c r="A609" s="38" t="n">
        <v>46052</v>
      </c>
      <c r="B609" s="11" t="n">
        <v>11</v>
      </c>
      <c r="C609" s="38" t="n">
        <v>46125</v>
      </c>
      <c r="D609" s="15" t="n">
        <v>387064.45</v>
      </c>
      <c r="E609" s="15" t="n">
        <v>445386.45</v>
      </c>
      <c r="F609" s="15" t="n">
        <v>724718.45</v>
      </c>
      <c r="G609" s="15" t="n">
        <f aca="false">E609-D609</f>
        <v>58322</v>
      </c>
      <c r="H609" s="15" t="n">
        <f aca="false">F609-D609</f>
        <v>337654</v>
      </c>
    </row>
    <row r="610" customFormat="false" ht="15" hidden="false" customHeight="false" outlineLevel="0" collapsed="false">
      <c r="A610" s="38" t="n">
        <v>46052</v>
      </c>
      <c r="B610" s="11" t="n">
        <v>12</v>
      </c>
      <c r="C610" s="38" t="n">
        <v>46132</v>
      </c>
      <c r="D610" s="15" t="n">
        <v>444316.96</v>
      </c>
      <c r="E610" s="15" t="n">
        <v>549604.96</v>
      </c>
      <c r="F610" s="15" t="n">
        <v>777340.96</v>
      </c>
      <c r="G610" s="15" t="n">
        <f aca="false">E610-D610</f>
        <v>105288</v>
      </c>
      <c r="H610" s="15" t="n">
        <f aca="false">F610-D610</f>
        <v>333024</v>
      </c>
    </row>
    <row r="611" customFormat="false" ht="15" hidden="false" customHeight="false" outlineLevel="0" collapsed="false">
      <c r="A611" s="38" t="n">
        <v>46052</v>
      </c>
      <c r="B611" s="11" t="n">
        <v>13</v>
      </c>
      <c r="C611" s="38" t="n">
        <v>46139</v>
      </c>
      <c r="D611" s="15" t="n">
        <v>422047.12</v>
      </c>
      <c r="E611" s="15" t="n">
        <v>519151.12</v>
      </c>
      <c r="F611" s="15" t="n">
        <v>742087.12</v>
      </c>
      <c r="G611" s="15" t="n">
        <f aca="false">E611-D611</f>
        <v>97104</v>
      </c>
      <c r="H611" s="15" t="n">
        <f aca="false">F611-D611</f>
        <v>320040</v>
      </c>
    </row>
    <row r="612" customFormat="false" ht="15" hidden="false" customHeight="false" outlineLevel="0" collapsed="false">
      <c r="A612" s="38" t="n">
        <v>46059</v>
      </c>
      <c r="B612" s="11" t="n">
        <v>1</v>
      </c>
      <c r="C612" s="38" t="n">
        <v>46062</v>
      </c>
      <c r="D612" s="15" t="n">
        <v>453277.26</v>
      </c>
      <c r="E612" s="15" t="n">
        <v>420073.26</v>
      </c>
      <c r="F612" s="15" t="n">
        <v>757517.26</v>
      </c>
      <c r="G612" s="15" t="n">
        <f aca="false">E612-D612</f>
        <v>-33204</v>
      </c>
      <c r="H612" s="15" t="n">
        <f aca="false">F612-D612</f>
        <v>304240</v>
      </c>
    </row>
    <row r="613" customFormat="false" ht="15" hidden="false" customHeight="false" outlineLevel="0" collapsed="false">
      <c r="A613" s="38" t="n">
        <v>46059</v>
      </c>
      <c r="B613" s="11" t="n">
        <v>2</v>
      </c>
      <c r="C613" s="38" t="n">
        <v>46069</v>
      </c>
      <c r="D613" s="15" t="n">
        <v>479424.35</v>
      </c>
      <c r="E613" s="15" t="n">
        <v>554124.35</v>
      </c>
      <c r="F613" s="15" t="n">
        <v>772842.35</v>
      </c>
      <c r="G613" s="15" t="n">
        <f aca="false">E613-D613</f>
        <v>74700</v>
      </c>
      <c r="H613" s="15" t="n">
        <f aca="false">F613-D613</f>
        <v>293418</v>
      </c>
    </row>
    <row r="614" customFormat="false" ht="15" hidden="false" customHeight="false" outlineLevel="0" collapsed="false">
      <c r="A614" s="38" t="n">
        <v>46059</v>
      </c>
      <c r="B614" s="11" t="n">
        <v>3</v>
      </c>
      <c r="C614" s="38" t="n">
        <v>46076</v>
      </c>
      <c r="D614" s="15" t="n">
        <v>446880.96</v>
      </c>
      <c r="E614" s="15" t="n">
        <v>501204.96</v>
      </c>
      <c r="F614" s="15" t="n">
        <v>701448.96</v>
      </c>
      <c r="G614" s="15" t="n">
        <f aca="false">E614-D614</f>
        <v>54324</v>
      </c>
      <c r="H614" s="15" t="n">
        <f aca="false">F614-D614</f>
        <v>254568</v>
      </c>
    </row>
    <row r="615" customFormat="false" ht="15" hidden="false" customHeight="false" outlineLevel="0" collapsed="false">
      <c r="A615" s="38" t="n">
        <v>46059</v>
      </c>
      <c r="B615" s="11" t="n">
        <v>4</v>
      </c>
      <c r="C615" s="38" t="n">
        <v>46083</v>
      </c>
      <c r="D615" s="15" t="n">
        <v>434876.33</v>
      </c>
      <c r="E615" s="15" t="n">
        <v>464924.33</v>
      </c>
      <c r="F615" s="15" t="n">
        <v>676172.33</v>
      </c>
      <c r="G615" s="15" t="n">
        <f aca="false">E615-D615</f>
        <v>30048</v>
      </c>
      <c r="H615" s="15" t="n">
        <f aca="false">F615-D615</f>
        <v>241296</v>
      </c>
    </row>
    <row r="616" customFormat="false" ht="15" hidden="false" customHeight="false" outlineLevel="0" collapsed="false">
      <c r="A616" s="38" t="n">
        <v>46059</v>
      </c>
      <c r="B616" s="11" t="n">
        <v>5</v>
      </c>
      <c r="C616" s="38" t="n">
        <v>46090</v>
      </c>
      <c r="D616" s="15" t="n">
        <v>510482.14</v>
      </c>
      <c r="E616" s="15" t="n">
        <v>573086.14</v>
      </c>
      <c r="F616" s="15" t="n">
        <v>782282.14</v>
      </c>
      <c r="G616" s="15" t="n">
        <f aca="false">E616-D616</f>
        <v>62604</v>
      </c>
      <c r="H616" s="15" t="n">
        <f aca="false">F616-D616</f>
        <v>271800</v>
      </c>
    </row>
    <row r="617" customFormat="false" ht="15" hidden="false" customHeight="false" outlineLevel="0" collapsed="false">
      <c r="A617" s="38" t="n">
        <v>46059</v>
      </c>
      <c r="B617" s="11" t="n">
        <v>6</v>
      </c>
      <c r="C617" s="38" t="n">
        <v>46097</v>
      </c>
      <c r="D617" s="15" t="n">
        <v>449009.13</v>
      </c>
      <c r="E617" s="15" t="n">
        <v>529889.13</v>
      </c>
      <c r="F617" s="15" t="n">
        <v>684173.13</v>
      </c>
      <c r="G617" s="15" t="n">
        <f aca="false">E617-D617</f>
        <v>80880</v>
      </c>
      <c r="H617" s="15" t="n">
        <f aca="false">F617-D617</f>
        <v>235164</v>
      </c>
    </row>
    <row r="618" customFormat="false" ht="15" hidden="false" customHeight="false" outlineLevel="0" collapsed="false">
      <c r="A618" s="38" t="n">
        <v>46059</v>
      </c>
      <c r="B618" s="11" t="n">
        <v>7</v>
      </c>
      <c r="C618" s="38" t="n">
        <v>46104</v>
      </c>
      <c r="D618" s="15" t="n">
        <v>438284.71</v>
      </c>
      <c r="E618" s="15" t="n">
        <v>539514.71</v>
      </c>
      <c r="F618" s="15" t="n">
        <v>723402.71</v>
      </c>
      <c r="G618" s="15" t="n">
        <f aca="false">E618-D618</f>
        <v>101230</v>
      </c>
      <c r="H618" s="15" t="n">
        <f aca="false">F618-D618</f>
        <v>285118</v>
      </c>
    </row>
    <row r="619" customFormat="false" ht="15" hidden="false" customHeight="false" outlineLevel="0" collapsed="false">
      <c r="A619" s="38" t="n">
        <v>46059</v>
      </c>
      <c r="B619" s="11" t="n">
        <v>8</v>
      </c>
      <c r="C619" s="38" t="n">
        <v>46111</v>
      </c>
      <c r="D619" s="15" t="n">
        <v>292283.74</v>
      </c>
      <c r="E619" s="15" t="n">
        <v>382729.74</v>
      </c>
      <c r="F619" s="15" t="n">
        <v>581975.74</v>
      </c>
      <c r="G619" s="15" t="n">
        <f aca="false">E619-D619</f>
        <v>90446</v>
      </c>
      <c r="H619" s="15" t="n">
        <f aca="false">F619-D619</f>
        <v>289692</v>
      </c>
    </row>
    <row r="620" customFormat="false" ht="15" hidden="false" customHeight="false" outlineLevel="0" collapsed="false">
      <c r="A620" s="38" t="n">
        <v>46059</v>
      </c>
      <c r="B620" s="11" t="n">
        <v>9</v>
      </c>
      <c r="C620" s="38" t="n">
        <v>46118</v>
      </c>
      <c r="D620" s="15" t="n">
        <v>294778.79</v>
      </c>
      <c r="E620" s="15" t="n">
        <v>456034.79</v>
      </c>
      <c r="F620" s="15" t="n">
        <v>716460.79</v>
      </c>
      <c r="G620" s="15" t="n">
        <f aca="false">E620-D620</f>
        <v>161256</v>
      </c>
      <c r="H620" s="15" t="n">
        <f aca="false">F620-D620</f>
        <v>421682</v>
      </c>
    </row>
    <row r="621" customFormat="false" ht="15" hidden="false" customHeight="false" outlineLevel="0" collapsed="false">
      <c r="A621" s="38" t="n">
        <v>46059</v>
      </c>
      <c r="B621" s="11" t="n">
        <v>10</v>
      </c>
      <c r="C621" s="38" t="n">
        <v>46125</v>
      </c>
      <c r="D621" s="15" t="n">
        <v>387064.45</v>
      </c>
      <c r="E621" s="15" t="n">
        <v>445386.45</v>
      </c>
      <c r="F621" s="15" t="n">
        <v>724718.45</v>
      </c>
      <c r="G621" s="15" t="n">
        <f aca="false">E621-D621</f>
        <v>58322</v>
      </c>
      <c r="H621" s="15" t="n">
        <f aca="false">F621-D621</f>
        <v>337654</v>
      </c>
    </row>
    <row r="622" customFormat="false" ht="15" hidden="false" customHeight="false" outlineLevel="0" collapsed="false">
      <c r="A622" s="38" t="n">
        <v>46059</v>
      </c>
      <c r="B622" s="11" t="n">
        <v>11</v>
      </c>
      <c r="C622" s="38" t="n">
        <v>46132</v>
      </c>
      <c r="D622" s="15" t="n">
        <v>444316.96</v>
      </c>
      <c r="E622" s="15" t="n">
        <v>549604.96</v>
      </c>
      <c r="F622" s="15" t="n">
        <v>777340.96</v>
      </c>
      <c r="G622" s="15" t="n">
        <f aca="false">E622-D622</f>
        <v>105288</v>
      </c>
      <c r="H622" s="15" t="n">
        <f aca="false">F622-D622</f>
        <v>333024</v>
      </c>
    </row>
    <row r="623" customFormat="false" ht="15" hidden="false" customHeight="false" outlineLevel="0" collapsed="false">
      <c r="A623" s="38" t="n">
        <v>46059</v>
      </c>
      <c r="B623" s="11" t="n">
        <v>12</v>
      </c>
      <c r="C623" s="38" t="n">
        <v>46139</v>
      </c>
      <c r="D623" s="15" t="n">
        <v>422047.12</v>
      </c>
      <c r="E623" s="15" t="n">
        <v>519151.12</v>
      </c>
      <c r="F623" s="15" t="n">
        <v>742087.12</v>
      </c>
      <c r="G623" s="15" t="n">
        <f aca="false">E623-D623</f>
        <v>97104</v>
      </c>
      <c r="H623" s="15" t="n">
        <f aca="false">F623-D623</f>
        <v>320040</v>
      </c>
    </row>
    <row r="624" customFormat="false" ht="15" hidden="false" customHeight="false" outlineLevel="0" collapsed="false">
      <c r="A624" s="38" t="n">
        <v>46059</v>
      </c>
      <c r="B624" s="11" t="n">
        <v>13</v>
      </c>
      <c r="C624" s="38" t="n">
        <v>46146</v>
      </c>
      <c r="D624" s="15" t="n">
        <v>448506.02</v>
      </c>
      <c r="E624" s="15" t="n">
        <v>497094.02</v>
      </c>
      <c r="F624" s="15" t="n">
        <v>733054.02</v>
      </c>
      <c r="G624" s="15" t="n">
        <f aca="false">E624-D624</f>
        <v>48588</v>
      </c>
      <c r="H624" s="15" t="n">
        <f aca="false">F624-D624</f>
        <v>284548</v>
      </c>
    </row>
    <row r="625" customFormat="false" ht="15" hidden="false" customHeight="false" outlineLevel="0" collapsed="false">
      <c r="A625" s="38" t="n">
        <v>46066</v>
      </c>
      <c r="B625" s="11" t="n">
        <v>1</v>
      </c>
      <c r="C625" s="38" t="n">
        <v>46069</v>
      </c>
      <c r="D625" s="15" t="n">
        <v>479424.35</v>
      </c>
      <c r="E625" s="15" t="n">
        <v>505020.35</v>
      </c>
      <c r="F625" s="15" t="n">
        <v>772842.35</v>
      </c>
      <c r="G625" s="15" t="n">
        <f aca="false">E625-D625</f>
        <v>25596</v>
      </c>
      <c r="H625" s="15" t="n">
        <f aca="false">F625-D625</f>
        <v>293418</v>
      </c>
    </row>
    <row r="626" customFormat="false" ht="15" hidden="false" customHeight="false" outlineLevel="0" collapsed="false">
      <c r="A626" s="38" t="n">
        <v>46066</v>
      </c>
      <c r="B626" s="11" t="n">
        <v>2</v>
      </c>
      <c r="C626" s="38" t="n">
        <v>46076</v>
      </c>
      <c r="D626" s="15" t="n">
        <v>446880.96</v>
      </c>
      <c r="E626" s="15" t="n">
        <v>489888.96</v>
      </c>
      <c r="F626" s="15" t="n">
        <v>701448.96</v>
      </c>
      <c r="G626" s="15" t="n">
        <f aca="false">E626-D626</f>
        <v>43008</v>
      </c>
      <c r="H626" s="15" t="n">
        <f aca="false">F626-D626</f>
        <v>254568</v>
      </c>
    </row>
    <row r="627" customFormat="false" ht="15" hidden="false" customHeight="false" outlineLevel="0" collapsed="false">
      <c r="A627" s="38" t="n">
        <v>46066</v>
      </c>
      <c r="B627" s="11" t="n">
        <v>3</v>
      </c>
      <c r="C627" s="38" t="n">
        <v>46083</v>
      </c>
      <c r="D627" s="15" t="n">
        <v>434876.33</v>
      </c>
      <c r="E627" s="15" t="n">
        <v>464924.33</v>
      </c>
      <c r="F627" s="15" t="n">
        <v>676172.33</v>
      </c>
      <c r="G627" s="15" t="n">
        <f aca="false">E627-D627</f>
        <v>30048</v>
      </c>
      <c r="H627" s="15" t="n">
        <f aca="false">F627-D627</f>
        <v>241296</v>
      </c>
    </row>
    <row r="628" customFormat="false" ht="15" hidden="false" customHeight="false" outlineLevel="0" collapsed="false">
      <c r="A628" s="38" t="n">
        <v>46066</v>
      </c>
      <c r="B628" s="11" t="n">
        <v>4</v>
      </c>
      <c r="C628" s="38" t="n">
        <v>46090</v>
      </c>
      <c r="D628" s="15" t="n">
        <v>510482.14</v>
      </c>
      <c r="E628" s="15" t="n">
        <v>573086.14</v>
      </c>
      <c r="F628" s="15" t="n">
        <v>782282.14</v>
      </c>
      <c r="G628" s="15" t="n">
        <f aca="false">E628-D628</f>
        <v>62604</v>
      </c>
      <c r="H628" s="15" t="n">
        <f aca="false">F628-D628</f>
        <v>271800</v>
      </c>
    </row>
    <row r="629" customFormat="false" ht="15" hidden="false" customHeight="false" outlineLevel="0" collapsed="false">
      <c r="A629" s="38" t="n">
        <v>46066</v>
      </c>
      <c r="B629" s="11" t="n">
        <v>5</v>
      </c>
      <c r="C629" s="38" t="n">
        <v>46097</v>
      </c>
      <c r="D629" s="15" t="n">
        <v>449009.13</v>
      </c>
      <c r="E629" s="15" t="n">
        <v>529889.13</v>
      </c>
      <c r="F629" s="15" t="n">
        <v>684173.13</v>
      </c>
      <c r="G629" s="15" t="n">
        <f aca="false">E629-D629</f>
        <v>80880</v>
      </c>
      <c r="H629" s="15" t="n">
        <f aca="false">F629-D629</f>
        <v>235164</v>
      </c>
    </row>
    <row r="630" customFormat="false" ht="15" hidden="false" customHeight="false" outlineLevel="0" collapsed="false">
      <c r="A630" s="38" t="n">
        <v>46066</v>
      </c>
      <c r="B630" s="11" t="n">
        <v>6</v>
      </c>
      <c r="C630" s="38" t="n">
        <v>46104</v>
      </c>
      <c r="D630" s="15" t="n">
        <v>438284.71</v>
      </c>
      <c r="E630" s="15" t="n">
        <v>539514.71</v>
      </c>
      <c r="F630" s="15" t="n">
        <v>723402.71</v>
      </c>
      <c r="G630" s="15" t="n">
        <f aca="false">E630-D630</f>
        <v>101230</v>
      </c>
      <c r="H630" s="15" t="n">
        <f aca="false">F630-D630</f>
        <v>285118</v>
      </c>
    </row>
    <row r="631" customFormat="false" ht="15" hidden="false" customHeight="false" outlineLevel="0" collapsed="false">
      <c r="A631" s="38" t="n">
        <v>46066</v>
      </c>
      <c r="B631" s="11" t="n">
        <v>7</v>
      </c>
      <c r="C631" s="38" t="n">
        <v>46111</v>
      </c>
      <c r="D631" s="15" t="n">
        <v>292283.74</v>
      </c>
      <c r="E631" s="15" t="n">
        <v>382729.74</v>
      </c>
      <c r="F631" s="15" t="n">
        <v>581975.74</v>
      </c>
      <c r="G631" s="15" t="n">
        <f aca="false">E631-D631</f>
        <v>90446</v>
      </c>
      <c r="H631" s="15" t="n">
        <f aca="false">F631-D631</f>
        <v>289692</v>
      </c>
    </row>
    <row r="632" customFormat="false" ht="15" hidden="false" customHeight="false" outlineLevel="0" collapsed="false">
      <c r="A632" s="38" t="n">
        <v>46066</v>
      </c>
      <c r="B632" s="11" t="n">
        <v>8</v>
      </c>
      <c r="C632" s="38" t="n">
        <v>46118</v>
      </c>
      <c r="D632" s="15" t="n">
        <v>294778.79</v>
      </c>
      <c r="E632" s="15" t="n">
        <v>456034.79</v>
      </c>
      <c r="F632" s="15" t="n">
        <v>716460.79</v>
      </c>
      <c r="G632" s="15" t="n">
        <f aca="false">E632-D632</f>
        <v>161256</v>
      </c>
      <c r="H632" s="15" t="n">
        <f aca="false">F632-D632</f>
        <v>421682</v>
      </c>
    </row>
    <row r="633" customFormat="false" ht="15" hidden="false" customHeight="false" outlineLevel="0" collapsed="false">
      <c r="A633" s="38" t="n">
        <v>46066</v>
      </c>
      <c r="B633" s="11" t="n">
        <v>9</v>
      </c>
      <c r="C633" s="38" t="n">
        <v>46125</v>
      </c>
      <c r="D633" s="15" t="n">
        <v>387064.45</v>
      </c>
      <c r="E633" s="15" t="n">
        <v>445386.45</v>
      </c>
      <c r="F633" s="15" t="n">
        <v>724718.45</v>
      </c>
      <c r="G633" s="15" t="n">
        <f aca="false">E633-D633</f>
        <v>58322</v>
      </c>
      <c r="H633" s="15" t="n">
        <f aca="false">F633-D633</f>
        <v>337654</v>
      </c>
    </row>
    <row r="634" customFormat="false" ht="15" hidden="false" customHeight="false" outlineLevel="0" collapsed="false">
      <c r="A634" s="38" t="n">
        <v>46066</v>
      </c>
      <c r="B634" s="11" t="n">
        <v>10</v>
      </c>
      <c r="C634" s="38" t="n">
        <v>46132</v>
      </c>
      <c r="D634" s="15" t="n">
        <v>444316.96</v>
      </c>
      <c r="E634" s="15" t="n">
        <v>549604.96</v>
      </c>
      <c r="F634" s="15" t="n">
        <v>777340.96</v>
      </c>
      <c r="G634" s="15" t="n">
        <f aca="false">E634-D634</f>
        <v>105288</v>
      </c>
      <c r="H634" s="15" t="n">
        <f aca="false">F634-D634</f>
        <v>333024</v>
      </c>
    </row>
    <row r="635" customFormat="false" ht="15" hidden="false" customHeight="false" outlineLevel="0" collapsed="false">
      <c r="A635" s="38" t="n">
        <v>46066</v>
      </c>
      <c r="B635" s="11" t="n">
        <v>11</v>
      </c>
      <c r="C635" s="38" t="n">
        <v>46139</v>
      </c>
      <c r="D635" s="15" t="n">
        <v>422047.12</v>
      </c>
      <c r="E635" s="15" t="n">
        <v>519151.12</v>
      </c>
      <c r="F635" s="15" t="n">
        <v>742087.12</v>
      </c>
      <c r="G635" s="15" t="n">
        <f aca="false">E635-D635</f>
        <v>97104</v>
      </c>
      <c r="H635" s="15" t="n">
        <f aca="false">F635-D635</f>
        <v>320040</v>
      </c>
    </row>
    <row r="636" customFormat="false" ht="15" hidden="false" customHeight="false" outlineLevel="0" collapsed="false">
      <c r="A636" s="38" t="n">
        <v>46066</v>
      </c>
      <c r="B636" s="11" t="n">
        <v>12</v>
      </c>
      <c r="C636" s="38" t="n">
        <v>46146</v>
      </c>
      <c r="D636" s="15" t="n">
        <v>448506.02</v>
      </c>
      <c r="E636" s="15" t="n">
        <v>497094.02</v>
      </c>
      <c r="F636" s="15" t="n">
        <v>733054.02</v>
      </c>
      <c r="G636" s="15" t="n">
        <f aca="false">E636-D636</f>
        <v>48588</v>
      </c>
      <c r="H636" s="15" t="n">
        <f aca="false">F636-D636</f>
        <v>284548</v>
      </c>
    </row>
    <row r="637" customFormat="false" ht="15" hidden="false" customHeight="false" outlineLevel="0" collapsed="false">
      <c r="A637" s="38" t="n">
        <v>46066</v>
      </c>
      <c r="B637" s="11" t="n">
        <v>13</v>
      </c>
      <c r="C637" s="38" t="n">
        <v>46153</v>
      </c>
      <c r="D637" s="15" t="n">
        <v>444482.14</v>
      </c>
      <c r="E637" s="15" t="n">
        <v>471698.14</v>
      </c>
      <c r="F637" s="15" t="n">
        <v>621602.14</v>
      </c>
      <c r="G637" s="15" t="n">
        <f aca="false">E637-D637</f>
        <v>27216</v>
      </c>
      <c r="H637" s="15" t="n">
        <f aca="false">F637-D637</f>
        <v>177120</v>
      </c>
    </row>
    <row r="638" customFormat="false" ht="15" hidden="false" customHeight="false" outlineLevel="0" collapsed="false">
      <c r="A638" s="38" t="n">
        <v>46073</v>
      </c>
      <c r="B638" s="11" t="n">
        <v>1</v>
      </c>
      <c r="C638" s="38" t="n">
        <v>46076</v>
      </c>
      <c r="D638" s="15" t="n">
        <v>446880.96</v>
      </c>
      <c r="E638" s="15" t="n">
        <v>493428.96</v>
      </c>
      <c r="F638" s="15" t="n">
        <v>701448.96</v>
      </c>
      <c r="G638" s="15" t="n">
        <f aca="false">E638-D638</f>
        <v>46548</v>
      </c>
      <c r="H638" s="15" t="n">
        <f aca="false">F638-D638</f>
        <v>254568</v>
      </c>
    </row>
    <row r="639" customFormat="false" ht="15" hidden="false" customHeight="false" outlineLevel="0" collapsed="false">
      <c r="A639" s="38" t="n">
        <v>46073</v>
      </c>
      <c r="B639" s="11" t="n">
        <v>2</v>
      </c>
      <c r="C639" s="38" t="n">
        <v>46083</v>
      </c>
      <c r="D639" s="15" t="n">
        <v>434876.33</v>
      </c>
      <c r="E639" s="15" t="n">
        <v>449660.33</v>
      </c>
      <c r="F639" s="15" t="n">
        <v>676172.33</v>
      </c>
      <c r="G639" s="15" t="n">
        <f aca="false">E639-D639</f>
        <v>14784</v>
      </c>
      <c r="H639" s="15" t="n">
        <f aca="false">F639-D639</f>
        <v>241296</v>
      </c>
    </row>
    <row r="640" customFormat="false" ht="15" hidden="false" customHeight="false" outlineLevel="0" collapsed="false">
      <c r="A640" s="38" t="n">
        <v>46073</v>
      </c>
      <c r="B640" s="11" t="n">
        <v>3</v>
      </c>
      <c r="C640" s="38" t="n">
        <v>46090</v>
      </c>
      <c r="D640" s="15" t="n">
        <v>510482.14</v>
      </c>
      <c r="E640" s="15" t="n">
        <v>573086.14</v>
      </c>
      <c r="F640" s="15" t="n">
        <v>782282.14</v>
      </c>
      <c r="G640" s="15" t="n">
        <f aca="false">E640-D640</f>
        <v>62604</v>
      </c>
      <c r="H640" s="15" t="n">
        <f aca="false">F640-D640</f>
        <v>271800</v>
      </c>
    </row>
    <row r="641" customFormat="false" ht="15" hidden="false" customHeight="false" outlineLevel="0" collapsed="false">
      <c r="A641" s="38" t="n">
        <v>46073</v>
      </c>
      <c r="B641" s="11" t="n">
        <v>4</v>
      </c>
      <c r="C641" s="38" t="n">
        <v>46097</v>
      </c>
      <c r="D641" s="15" t="n">
        <v>449009.13</v>
      </c>
      <c r="E641" s="15" t="n">
        <v>529889.13</v>
      </c>
      <c r="F641" s="15" t="n">
        <v>684173.13</v>
      </c>
      <c r="G641" s="15" t="n">
        <f aca="false">E641-D641</f>
        <v>80880</v>
      </c>
      <c r="H641" s="15" t="n">
        <f aca="false">F641-D641</f>
        <v>235164</v>
      </c>
    </row>
    <row r="642" customFormat="false" ht="15" hidden="false" customHeight="false" outlineLevel="0" collapsed="false">
      <c r="A642" s="38" t="n">
        <v>46073</v>
      </c>
      <c r="B642" s="11" t="n">
        <v>5</v>
      </c>
      <c r="C642" s="38" t="n">
        <v>46104</v>
      </c>
      <c r="D642" s="15" t="n">
        <v>438284.71</v>
      </c>
      <c r="E642" s="15" t="n">
        <v>539514.71</v>
      </c>
      <c r="F642" s="15" t="n">
        <v>723402.71</v>
      </c>
      <c r="G642" s="15" t="n">
        <f aca="false">E642-D642</f>
        <v>101230</v>
      </c>
      <c r="H642" s="15" t="n">
        <f aca="false">F642-D642</f>
        <v>285118</v>
      </c>
    </row>
    <row r="643" customFormat="false" ht="15" hidden="false" customHeight="false" outlineLevel="0" collapsed="false">
      <c r="A643" s="38" t="n">
        <v>46073</v>
      </c>
      <c r="B643" s="11" t="n">
        <v>6</v>
      </c>
      <c r="C643" s="38" t="n">
        <v>46111</v>
      </c>
      <c r="D643" s="15" t="n">
        <v>292283.74</v>
      </c>
      <c r="E643" s="15" t="n">
        <v>382729.74</v>
      </c>
      <c r="F643" s="15" t="n">
        <v>581975.74</v>
      </c>
      <c r="G643" s="15" t="n">
        <f aca="false">E643-D643</f>
        <v>90446</v>
      </c>
      <c r="H643" s="15" t="n">
        <f aca="false">F643-D643</f>
        <v>289692</v>
      </c>
    </row>
    <row r="644" customFormat="false" ht="15" hidden="false" customHeight="false" outlineLevel="0" collapsed="false">
      <c r="A644" s="38" t="n">
        <v>46073</v>
      </c>
      <c r="B644" s="11" t="n">
        <v>7</v>
      </c>
      <c r="C644" s="38" t="n">
        <v>46118</v>
      </c>
      <c r="D644" s="15" t="n">
        <v>294778.79</v>
      </c>
      <c r="E644" s="15" t="n">
        <v>456034.79</v>
      </c>
      <c r="F644" s="15" t="n">
        <v>716460.79</v>
      </c>
      <c r="G644" s="15" t="n">
        <f aca="false">E644-D644</f>
        <v>161256</v>
      </c>
      <c r="H644" s="15" t="n">
        <f aca="false">F644-D644</f>
        <v>421682</v>
      </c>
    </row>
    <row r="645" customFormat="false" ht="15" hidden="false" customHeight="false" outlineLevel="0" collapsed="false">
      <c r="A645" s="38" t="n">
        <v>46073</v>
      </c>
      <c r="B645" s="11" t="n">
        <v>8</v>
      </c>
      <c r="C645" s="38" t="n">
        <v>46125</v>
      </c>
      <c r="D645" s="15" t="n">
        <v>387064.45</v>
      </c>
      <c r="E645" s="15" t="n">
        <v>445386.45</v>
      </c>
      <c r="F645" s="15" t="n">
        <v>724718.45</v>
      </c>
      <c r="G645" s="15" t="n">
        <f aca="false">E645-D645</f>
        <v>58322</v>
      </c>
      <c r="H645" s="15" t="n">
        <f aca="false">F645-D645</f>
        <v>337654</v>
      </c>
    </row>
    <row r="646" customFormat="false" ht="15" hidden="false" customHeight="false" outlineLevel="0" collapsed="false">
      <c r="A646" s="38" t="n">
        <v>46073</v>
      </c>
      <c r="B646" s="11" t="n">
        <v>9</v>
      </c>
      <c r="C646" s="38" t="n">
        <v>46132</v>
      </c>
      <c r="D646" s="15" t="n">
        <v>444316.96</v>
      </c>
      <c r="E646" s="15" t="n">
        <v>549604.96</v>
      </c>
      <c r="F646" s="15" t="n">
        <v>777340.96</v>
      </c>
      <c r="G646" s="15" t="n">
        <f aca="false">E646-D646</f>
        <v>105288</v>
      </c>
      <c r="H646" s="15" t="n">
        <f aca="false">F646-D646</f>
        <v>333024</v>
      </c>
    </row>
    <row r="647" customFormat="false" ht="15" hidden="false" customHeight="false" outlineLevel="0" collapsed="false">
      <c r="A647" s="38" t="n">
        <v>46073</v>
      </c>
      <c r="B647" s="11" t="n">
        <v>10</v>
      </c>
      <c r="C647" s="38" t="n">
        <v>46139</v>
      </c>
      <c r="D647" s="15" t="n">
        <v>422047.12</v>
      </c>
      <c r="E647" s="15" t="n">
        <v>519151.12</v>
      </c>
      <c r="F647" s="15" t="n">
        <v>742087.12</v>
      </c>
      <c r="G647" s="15" t="n">
        <f aca="false">E647-D647</f>
        <v>97104</v>
      </c>
      <c r="H647" s="15" t="n">
        <f aca="false">F647-D647</f>
        <v>320040</v>
      </c>
    </row>
    <row r="648" customFormat="false" ht="15" hidden="false" customHeight="false" outlineLevel="0" collapsed="false">
      <c r="A648" s="38" t="n">
        <v>46073</v>
      </c>
      <c r="B648" s="11" t="n">
        <v>11</v>
      </c>
      <c r="C648" s="38" t="n">
        <v>46146</v>
      </c>
      <c r="D648" s="15" t="n">
        <v>448506.02</v>
      </c>
      <c r="E648" s="15" t="n">
        <v>497094.02</v>
      </c>
      <c r="F648" s="15" t="n">
        <v>733054.02</v>
      </c>
      <c r="G648" s="15" t="n">
        <f aca="false">E648-D648</f>
        <v>48588</v>
      </c>
      <c r="H648" s="15" t="n">
        <f aca="false">F648-D648</f>
        <v>284548</v>
      </c>
    </row>
    <row r="649" customFormat="false" ht="15" hidden="false" customHeight="false" outlineLevel="0" collapsed="false">
      <c r="A649" s="38" t="n">
        <v>46073</v>
      </c>
      <c r="B649" s="11" t="n">
        <v>12</v>
      </c>
      <c r="C649" s="38" t="n">
        <v>46153</v>
      </c>
      <c r="D649" s="15" t="n">
        <v>444482.14</v>
      </c>
      <c r="E649" s="15" t="n">
        <v>471698.14</v>
      </c>
      <c r="F649" s="15" t="n">
        <v>621602.14</v>
      </c>
      <c r="G649" s="15" t="n">
        <f aca="false">E649-D649</f>
        <v>27216</v>
      </c>
      <c r="H649" s="15" t="n">
        <f aca="false">F649-D649</f>
        <v>177120</v>
      </c>
    </row>
    <row r="650" customFormat="false" ht="15" hidden="false" customHeight="false" outlineLevel="0" collapsed="false">
      <c r="A650" s="38" t="n">
        <v>46073</v>
      </c>
      <c r="B650" s="11" t="n">
        <v>13</v>
      </c>
      <c r="C650" s="38" t="n">
        <v>46160</v>
      </c>
      <c r="D650" s="15" t="n">
        <v>537889.28</v>
      </c>
      <c r="E650" s="15" t="n">
        <v>565089.28</v>
      </c>
      <c r="F650" s="15" t="n">
        <v>889627.28</v>
      </c>
      <c r="G650" s="15" t="n">
        <f aca="false">E650-D650</f>
        <v>27200</v>
      </c>
      <c r="H650" s="15" t="n">
        <f aca="false">F650-D650</f>
        <v>351738</v>
      </c>
    </row>
    <row r="651" customFormat="false" ht="15" hidden="false" customHeight="false" outlineLevel="0" collapsed="false">
      <c r="A651" s="38" t="n">
        <v>46080</v>
      </c>
      <c r="B651" s="11" t="n">
        <v>1</v>
      </c>
      <c r="C651" s="38" t="n">
        <v>46083</v>
      </c>
      <c r="D651" s="15" t="n">
        <v>434876.33</v>
      </c>
      <c r="E651" s="15" t="n">
        <v>398036.33</v>
      </c>
      <c r="F651" s="15" t="n">
        <v>676172.33</v>
      </c>
      <c r="G651" s="15" t="n">
        <f aca="false">E651-D651</f>
        <v>-36840</v>
      </c>
      <c r="H651" s="15" t="n">
        <f aca="false">F651-D651</f>
        <v>241296</v>
      </c>
    </row>
    <row r="652" customFormat="false" ht="15" hidden="false" customHeight="false" outlineLevel="0" collapsed="false">
      <c r="A652" s="38" t="n">
        <v>46080</v>
      </c>
      <c r="B652" s="11" t="n">
        <v>2</v>
      </c>
      <c r="C652" s="38" t="n">
        <v>46090</v>
      </c>
      <c r="D652" s="15" t="n">
        <v>510482.14</v>
      </c>
      <c r="E652" s="15" t="n">
        <v>573086.14</v>
      </c>
      <c r="F652" s="15" t="n">
        <v>782282.14</v>
      </c>
      <c r="G652" s="15" t="n">
        <f aca="false">E652-D652</f>
        <v>62604</v>
      </c>
      <c r="H652" s="15" t="n">
        <f aca="false">F652-D652</f>
        <v>271800</v>
      </c>
    </row>
    <row r="653" customFormat="false" ht="15" hidden="false" customHeight="false" outlineLevel="0" collapsed="false">
      <c r="A653" s="38" t="n">
        <v>46080</v>
      </c>
      <c r="B653" s="11" t="n">
        <v>3</v>
      </c>
      <c r="C653" s="38" t="n">
        <v>46097</v>
      </c>
      <c r="D653" s="15" t="n">
        <v>449009.13</v>
      </c>
      <c r="E653" s="15" t="n">
        <v>547637.13</v>
      </c>
      <c r="F653" s="15" t="n">
        <v>684173.13</v>
      </c>
      <c r="G653" s="15" t="n">
        <f aca="false">E653-D653</f>
        <v>98628</v>
      </c>
      <c r="H653" s="15" t="n">
        <f aca="false">F653-D653</f>
        <v>235164</v>
      </c>
    </row>
    <row r="654" customFormat="false" ht="15" hidden="false" customHeight="false" outlineLevel="0" collapsed="false">
      <c r="A654" s="38" t="n">
        <v>46080</v>
      </c>
      <c r="B654" s="11" t="n">
        <v>4</v>
      </c>
      <c r="C654" s="38" t="n">
        <v>46104</v>
      </c>
      <c r="D654" s="15" t="n">
        <v>438284.71</v>
      </c>
      <c r="E654" s="15" t="n">
        <v>539514.71</v>
      </c>
      <c r="F654" s="15" t="n">
        <v>723402.71</v>
      </c>
      <c r="G654" s="15" t="n">
        <f aca="false">E654-D654</f>
        <v>101230</v>
      </c>
      <c r="H654" s="15" t="n">
        <f aca="false">F654-D654</f>
        <v>285118</v>
      </c>
    </row>
    <row r="655" customFormat="false" ht="15" hidden="false" customHeight="false" outlineLevel="0" collapsed="false">
      <c r="A655" s="38" t="n">
        <v>46080</v>
      </c>
      <c r="B655" s="11" t="n">
        <v>5</v>
      </c>
      <c r="C655" s="38" t="n">
        <v>46111</v>
      </c>
      <c r="D655" s="15" t="n">
        <v>292283.74</v>
      </c>
      <c r="E655" s="15" t="n">
        <v>382729.74</v>
      </c>
      <c r="F655" s="15" t="n">
        <v>581975.74</v>
      </c>
      <c r="G655" s="15" t="n">
        <f aca="false">E655-D655</f>
        <v>90446</v>
      </c>
      <c r="H655" s="15" t="n">
        <f aca="false">F655-D655</f>
        <v>289692</v>
      </c>
    </row>
    <row r="656" customFormat="false" ht="15" hidden="false" customHeight="false" outlineLevel="0" collapsed="false">
      <c r="A656" s="38" t="n">
        <v>46080</v>
      </c>
      <c r="B656" s="11" t="n">
        <v>6</v>
      </c>
      <c r="C656" s="38" t="n">
        <v>46118</v>
      </c>
      <c r="D656" s="15" t="n">
        <v>294778.79</v>
      </c>
      <c r="E656" s="15" t="n">
        <v>456034.79</v>
      </c>
      <c r="F656" s="15" t="n">
        <v>716460.79</v>
      </c>
      <c r="G656" s="15" t="n">
        <f aca="false">E656-D656</f>
        <v>161256</v>
      </c>
      <c r="H656" s="15" t="n">
        <f aca="false">F656-D656</f>
        <v>421682</v>
      </c>
    </row>
    <row r="657" customFormat="false" ht="15" hidden="false" customHeight="false" outlineLevel="0" collapsed="false">
      <c r="A657" s="38" t="n">
        <v>46080</v>
      </c>
      <c r="B657" s="11" t="n">
        <v>7</v>
      </c>
      <c r="C657" s="38" t="n">
        <v>46125</v>
      </c>
      <c r="D657" s="15" t="n">
        <v>387064.45</v>
      </c>
      <c r="E657" s="15" t="n">
        <v>466686.45</v>
      </c>
      <c r="F657" s="15" t="n">
        <v>724718.45</v>
      </c>
      <c r="G657" s="15" t="n">
        <f aca="false">E657-D657</f>
        <v>79622</v>
      </c>
      <c r="H657" s="15" t="n">
        <f aca="false">F657-D657</f>
        <v>337654</v>
      </c>
    </row>
    <row r="658" customFormat="false" ht="15" hidden="false" customHeight="false" outlineLevel="0" collapsed="false">
      <c r="A658" s="38" t="n">
        <v>46080</v>
      </c>
      <c r="B658" s="11" t="n">
        <v>8</v>
      </c>
      <c r="C658" s="38" t="n">
        <v>46132</v>
      </c>
      <c r="D658" s="15" t="n">
        <v>444316.96</v>
      </c>
      <c r="E658" s="15" t="n">
        <v>549604.96</v>
      </c>
      <c r="F658" s="15" t="n">
        <v>777340.96</v>
      </c>
      <c r="G658" s="15" t="n">
        <f aca="false">E658-D658</f>
        <v>105288</v>
      </c>
      <c r="H658" s="15" t="n">
        <f aca="false">F658-D658</f>
        <v>333024</v>
      </c>
    </row>
    <row r="659" customFormat="false" ht="15" hidden="false" customHeight="false" outlineLevel="0" collapsed="false">
      <c r="A659" s="38" t="n">
        <v>46080</v>
      </c>
      <c r="B659" s="11" t="n">
        <v>9</v>
      </c>
      <c r="C659" s="38" t="n">
        <v>46139</v>
      </c>
      <c r="D659" s="15" t="n">
        <v>422047.12</v>
      </c>
      <c r="E659" s="15" t="n">
        <v>519151.12</v>
      </c>
      <c r="F659" s="15" t="n">
        <v>742087.12</v>
      </c>
      <c r="G659" s="15" t="n">
        <f aca="false">E659-D659</f>
        <v>97104</v>
      </c>
      <c r="H659" s="15" t="n">
        <f aca="false">F659-D659</f>
        <v>320040</v>
      </c>
    </row>
    <row r="660" customFormat="false" ht="15" hidden="false" customHeight="false" outlineLevel="0" collapsed="false">
      <c r="A660" s="38" t="n">
        <v>46080</v>
      </c>
      <c r="B660" s="11" t="n">
        <v>10</v>
      </c>
      <c r="C660" s="38" t="n">
        <v>46146</v>
      </c>
      <c r="D660" s="15" t="n">
        <v>448506.02</v>
      </c>
      <c r="E660" s="15" t="n">
        <v>497094.02</v>
      </c>
      <c r="F660" s="15" t="n">
        <v>733054.02</v>
      </c>
      <c r="G660" s="15" t="n">
        <f aca="false">E660-D660</f>
        <v>48588</v>
      </c>
      <c r="H660" s="15" t="n">
        <f aca="false">F660-D660</f>
        <v>284548</v>
      </c>
    </row>
    <row r="661" customFormat="false" ht="15" hidden="false" customHeight="false" outlineLevel="0" collapsed="false">
      <c r="A661" s="38" t="n">
        <v>46080</v>
      </c>
      <c r="B661" s="11" t="n">
        <v>11</v>
      </c>
      <c r="C661" s="38" t="n">
        <v>46153</v>
      </c>
      <c r="D661" s="15" t="n">
        <v>444482.14</v>
      </c>
      <c r="E661" s="15" t="n">
        <v>471698.14</v>
      </c>
      <c r="F661" s="15" t="n">
        <v>621602.14</v>
      </c>
      <c r="G661" s="15" t="n">
        <f aca="false">E661-D661</f>
        <v>27216</v>
      </c>
      <c r="H661" s="15" t="n">
        <f aca="false">F661-D661</f>
        <v>177120</v>
      </c>
    </row>
    <row r="662" customFormat="false" ht="15" hidden="false" customHeight="false" outlineLevel="0" collapsed="false">
      <c r="A662" s="38" t="n">
        <v>46080</v>
      </c>
      <c r="B662" s="11" t="n">
        <v>12</v>
      </c>
      <c r="C662" s="38" t="n">
        <v>46160</v>
      </c>
      <c r="D662" s="15" t="n">
        <v>537889.28</v>
      </c>
      <c r="E662" s="15" t="n">
        <v>565089.28</v>
      </c>
      <c r="F662" s="15" t="n">
        <v>889627.28</v>
      </c>
      <c r="G662" s="15" t="n">
        <f aca="false">E662-D662</f>
        <v>27200</v>
      </c>
      <c r="H662" s="15" t="n">
        <f aca="false">F662-D662</f>
        <v>351738</v>
      </c>
    </row>
    <row r="663" customFormat="false" ht="15" hidden="false" customHeight="false" outlineLevel="0" collapsed="false">
      <c r="A663" s="38" t="n">
        <v>46080</v>
      </c>
      <c r="B663" s="11" t="n">
        <v>13</v>
      </c>
      <c r="C663" s="38" t="n">
        <v>46167</v>
      </c>
      <c r="D663" s="15" t="n">
        <v>477111.93</v>
      </c>
      <c r="E663" s="15" t="n">
        <v>535689.93</v>
      </c>
      <c r="F663" s="15" t="n">
        <v>755579.93</v>
      </c>
      <c r="G663" s="15" t="n">
        <f aca="false">E663-D663</f>
        <v>58578.0000000001</v>
      </c>
      <c r="H663" s="15" t="n">
        <f aca="false">F663-D663</f>
        <v>278468</v>
      </c>
    </row>
    <row r="664" customFormat="false" ht="15" hidden="false" customHeight="false" outlineLevel="0" collapsed="false">
      <c r="A664" s="38" t="n">
        <v>46087</v>
      </c>
      <c r="B664" s="11" t="n">
        <v>1</v>
      </c>
      <c r="C664" s="38" t="n">
        <v>46090</v>
      </c>
      <c r="D664" s="15" t="n">
        <v>510482.14</v>
      </c>
      <c r="E664" s="15" t="n">
        <v>548486.14</v>
      </c>
      <c r="F664" s="15" t="n">
        <v>782282.14</v>
      </c>
      <c r="G664" s="15" t="n">
        <f aca="false">E664-D664</f>
        <v>38004</v>
      </c>
      <c r="H664" s="15" t="n">
        <f aca="false">F664-D664</f>
        <v>271800</v>
      </c>
    </row>
    <row r="665" customFormat="false" ht="15" hidden="false" customHeight="false" outlineLevel="0" collapsed="false">
      <c r="A665" s="38" t="n">
        <v>46087</v>
      </c>
      <c r="B665" s="11" t="n">
        <v>2</v>
      </c>
      <c r="C665" s="38" t="n">
        <v>46097</v>
      </c>
      <c r="D665" s="15" t="n">
        <v>449009.13</v>
      </c>
      <c r="E665" s="15" t="n">
        <v>523205.13</v>
      </c>
      <c r="F665" s="15" t="n">
        <v>684173.13</v>
      </c>
      <c r="G665" s="15" t="n">
        <f aca="false">E665-D665</f>
        <v>74196</v>
      </c>
      <c r="H665" s="15" t="n">
        <f aca="false">F665-D665</f>
        <v>235164</v>
      </c>
    </row>
    <row r="666" customFormat="false" ht="15" hidden="false" customHeight="false" outlineLevel="0" collapsed="false">
      <c r="A666" s="38" t="n">
        <v>46087</v>
      </c>
      <c r="B666" s="11" t="n">
        <v>3</v>
      </c>
      <c r="C666" s="38" t="n">
        <v>46104</v>
      </c>
      <c r="D666" s="15" t="n">
        <v>438284.71</v>
      </c>
      <c r="E666" s="15" t="n">
        <v>539514.71</v>
      </c>
      <c r="F666" s="15" t="n">
        <v>723402.71</v>
      </c>
      <c r="G666" s="15" t="n">
        <f aca="false">E666-D666</f>
        <v>101230</v>
      </c>
      <c r="H666" s="15" t="n">
        <f aca="false">F666-D666</f>
        <v>285118</v>
      </c>
    </row>
    <row r="667" customFormat="false" ht="15" hidden="false" customHeight="false" outlineLevel="0" collapsed="false">
      <c r="A667" s="38" t="n">
        <v>46087</v>
      </c>
      <c r="B667" s="11" t="n">
        <v>4</v>
      </c>
      <c r="C667" s="38" t="n">
        <v>46111</v>
      </c>
      <c r="D667" s="15" t="n">
        <v>292283.74</v>
      </c>
      <c r="E667" s="15" t="n">
        <v>382729.74</v>
      </c>
      <c r="F667" s="15" t="n">
        <v>581975.74</v>
      </c>
      <c r="G667" s="15" t="n">
        <f aca="false">E667-D667</f>
        <v>90446</v>
      </c>
      <c r="H667" s="15" t="n">
        <f aca="false">F667-D667</f>
        <v>289692</v>
      </c>
    </row>
    <row r="668" customFormat="false" ht="15" hidden="false" customHeight="false" outlineLevel="0" collapsed="false">
      <c r="A668" s="38" t="n">
        <v>46087</v>
      </c>
      <c r="B668" s="11" t="n">
        <v>5</v>
      </c>
      <c r="C668" s="38" t="n">
        <v>46118</v>
      </c>
      <c r="D668" s="15" t="n">
        <v>294778.79</v>
      </c>
      <c r="E668" s="15" t="n">
        <v>456034.79</v>
      </c>
      <c r="F668" s="15" t="n">
        <v>716460.79</v>
      </c>
      <c r="G668" s="15" t="n">
        <f aca="false">E668-D668</f>
        <v>161256</v>
      </c>
      <c r="H668" s="15" t="n">
        <f aca="false">F668-D668</f>
        <v>421682</v>
      </c>
    </row>
    <row r="669" customFormat="false" ht="15" hidden="false" customHeight="false" outlineLevel="0" collapsed="false">
      <c r="A669" s="38" t="n">
        <v>46087</v>
      </c>
      <c r="B669" s="11" t="n">
        <v>6</v>
      </c>
      <c r="C669" s="38" t="n">
        <v>46125</v>
      </c>
      <c r="D669" s="15" t="n">
        <v>387064.45</v>
      </c>
      <c r="E669" s="15" t="n">
        <v>445386.45</v>
      </c>
      <c r="F669" s="15" t="n">
        <v>724718.45</v>
      </c>
      <c r="G669" s="15" t="n">
        <f aca="false">E669-D669</f>
        <v>58322</v>
      </c>
      <c r="H669" s="15" t="n">
        <f aca="false">F669-D669</f>
        <v>337654</v>
      </c>
    </row>
    <row r="670" customFormat="false" ht="15" hidden="false" customHeight="false" outlineLevel="0" collapsed="false">
      <c r="A670" s="38" t="n">
        <v>46087</v>
      </c>
      <c r="B670" s="11" t="n">
        <v>7</v>
      </c>
      <c r="C670" s="38" t="n">
        <v>46132</v>
      </c>
      <c r="D670" s="15" t="n">
        <v>444316.96</v>
      </c>
      <c r="E670" s="15" t="n">
        <v>549604.96</v>
      </c>
      <c r="F670" s="15" t="n">
        <v>777340.96</v>
      </c>
      <c r="G670" s="15" t="n">
        <f aca="false">E670-D670</f>
        <v>105288</v>
      </c>
      <c r="H670" s="15" t="n">
        <f aca="false">F670-D670</f>
        <v>333024</v>
      </c>
    </row>
    <row r="671" customFormat="false" ht="15" hidden="false" customHeight="false" outlineLevel="0" collapsed="false">
      <c r="A671" s="38" t="n">
        <v>46087</v>
      </c>
      <c r="B671" s="11" t="n">
        <v>8</v>
      </c>
      <c r="C671" s="38" t="n">
        <v>46139</v>
      </c>
      <c r="D671" s="15" t="n">
        <v>422047.12</v>
      </c>
      <c r="E671" s="15" t="n">
        <v>519151.12</v>
      </c>
      <c r="F671" s="15" t="n">
        <v>742087.12</v>
      </c>
      <c r="G671" s="15" t="n">
        <f aca="false">E671-D671</f>
        <v>97104</v>
      </c>
      <c r="H671" s="15" t="n">
        <f aca="false">F671-D671</f>
        <v>320040</v>
      </c>
    </row>
    <row r="672" customFormat="false" ht="15" hidden="false" customHeight="false" outlineLevel="0" collapsed="false">
      <c r="A672" s="38" t="n">
        <v>46087</v>
      </c>
      <c r="B672" s="11" t="n">
        <v>9</v>
      </c>
      <c r="C672" s="38" t="n">
        <v>46146</v>
      </c>
      <c r="D672" s="15" t="n">
        <v>448506.02</v>
      </c>
      <c r="E672" s="15" t="n">
        <v>497094.02</v>
      </c>
      <c r="F672" s="15" t="n">
        <v>733054.02</v>
      </c>
      <c r="G672" s="15" t="n">
        <f aca="false">E672-D672</f>
        <v>48588</v>
      </c>
      <c r="H672" s="15" t="n">
        <f aca="false">F672-D672</f>
        <v>284548</v>
      </c>
    </row>
    <row r="673" customFormat="false" ht="15" hidden="false" customHeight="false" outlineLevel="0" collapsed="false">
      <c r="A673" s="38" t="n">
        <v>46087</v>
      </c>
      <c r="B673" s="11" t="n">
        <v>10</v>
      </c>
      <c r="C673" s="38" t="n">
        <v>46153</v>
      </c>
      <c r="D673" s="15" t="n">
        <v>444482.14</v>
      </c>
      <c r="E673" s="15" t="n">
        <v>471698.14</v>
      </c>
      <c r="F673" s="15" t="n">
        <v>621602.14</v>
      </c>
      <c r="G673" s="15" t="n">
        <f aca="false">E673-D673</f>
        <v>27216</v>
      </c>
      <c r="H673" s="15" t="n">
        <f aca="false">F673-D673</f>
        <v>177120</v>
      </c>
    </row>
    <row r="674" customFormat="false" ht="15" hidden="false" customHeight="false" outlineLevel="0" collapsed="false">
      <c r="A674" s="38" t="n">
        <v>46087</v>
      </c>
      <c r="B674" s="11" t="n">
        <v>11</v>
      </c>
      <c r="C674" s="38" t="n">
        <v>46160</v>
      </c>
      <c r="D674" s="15" t="n">
        <v>537889.28</v>
      </c>
      <c r="E674" s="15" t="n">
        <v>565089.28</v>
      </c>
      <c r="F674" s="15" t="n">
        <v>889627.28</v>
      </c>
      <c r="G674" s="15" t="n">
        <f aca="false">E674-D674</f>
        <v>27200</v>
      </c>
      <c r="H674" s="15" t="n">
        <f aca="false">F674-D674</f>
        <v>351738</v>
      </c>
    </row>
    <row r="675" customFormat="false" ht="15" hidden="false" customHeight="false" outlineLevel="0" collapsed="false">
      <c r="A675" s="38" t="n">
        <v>46087</v>
      </c>
      <c r="B675" s="11" t="n">
        <v>12</v>
      </c>
      <c r="C675" s="38" t="n">
        <v>46167</v>
      </c>
      <c r="D675" s="15" t="n">
        <v>477111.93</v>
      </c>
      <c r="E675" s="15" t="n">
        <v>535689.93</v>
      </c>
      <c r="F675" s="15" t="n">
        <v>755579.93</v>
      </c>
      <c r="G675" s="15" t="n">
        <f aca="false">E675-D675</f>
        <v>58578.0000000001</v>
      </c>
      <c r="H675" s="15" t="n">
        <f aca="false">F675-D675</f>
        <v>278468</v>
      </c>
    </row>
    <row r="676" customFormat="false" ht="15" hidden="false" customHeight="false" outlineLevel="0" collapsed="false">
      <c r="A676" s="38" t="n">
        <v>46087</v>
      </c>
      <c r="B676" s="11" t="n">
        <v>13</v>
      </c>
      <c r="C676" s="38" t="n">
        <v>46174</v>
      </c>
      <c r="D676" s="15" t="n">
        <v>390148.54</v>
      </c>
      <c r="E676" s="15" t="n">
        <v>464618.54</v>
      </c>
      <c r="F676" s="15" t="n">
        <v>713570.54</v>
      </c>
      <c r="G676" s="15" t="n">
        <f aca="false">E676-D676</f>
        <v>74470</v>
      </c>
      <c r="H676" s="15" t="n">
        <f aca="false">F676-D676</f>
        <v>323422</v>
      </c>
    </row>
    <row r="677" customFormat="false" ht="15" hidden="false" customHeight="false" outlineLevel="0" collapsed="false">
      <c r="A677" s="38" t="n">
        <v>46094</v>
      </c>
      <c r="B677" s="11" t="n">
        <v>1</v>
      </c>
      <c r="C677" s="38" t="n">
        <v>46097</v>
      </c>
      <c r="D677" s="15" t="n">
        <v>449009.13</v>
      </c>
      <c r="E677" s="15" t="n">
        <v>380885.13</v>
      </c>
      <c r="F677" s="15" t="n">
        <v>684173.13</v>
      </c>
      <c r="G677" s="15" t="n">
        <f aca="false">E677-D677</f>
        <v>-68124</v>
      </c>
      <c r="H677" s="15" t="n">
        <f aca="false">F677-D677</f>
        <v>235164</v>
      </c>
    </row>
    <row r="678" customFormat="false" ht="15" hidden="false" customHeight="false" outlineLevel="0" collapsed="false">
      <c r="A678" s="38" t="n">
        <v>46094</v>
      </c>
      <c r="B678" s="11" t="n">
        <v>2</v>
      </c>
      <c r="C678" s="38" t="n">
        <v>46104</v>
      </c>
      <c r="D678" s="15" t="n">
        <v>438284.71</v>
      </c>
      <c r="E678" s="15" t="n">
        <v>539514.71</v>
      </c>
      <c r="F678" s="15" t="n">
        <v>723402.71</v>
      </c>
      <c r="G678" s="15" t="n">
        <f aca="false">E678-D678</f>
        <v>101230</v>
      </c>
      <c r="H678" s="15" t="n">
        <f aca="false">F678-D678</f>
        <v>285118</v>
      </c>
    </row>
    <row r="679" customFormat="false" ht="15" hidden="false" customHeight="false" outlineLevel="0" collapsed="false">
      <c r="A679" s="38" t="n">
        <v>46094</v>
      </c>
      <c r="B679" s="11" t="n">
        <v>3</v>
      </c>
      <c r="C679" s="38" t="n">
        <v>46111</v>
      </c>
      <c r="D679" s="15" t="n">
        <v>292283.74</v>
      </c>
      <c r="E679" s="15" t="n">
        <v>382729.74</v>
      </c>
      <c r="F679" s="15" t="n">
        <v>581975.74</v>
      </c>
      <c r="G679" s="15" t="n">
        <f aca="false">E679-D679</f>
        <v>90446</v>
      </c>
      <c r="H679" s="15" t="n">
        <f aca="false">F679-D679</f>
        <v>289692</v>
      </c>
    </row>
    <row r="680" customFormat="false" ht="15" hidden="false" customHeight="false" outlineLevel="0" collapsed="false">
      <c r="A680" s="38" t="n">
        <v>46094</v>
      </c>
      <c r="B680" s="11" t="n">
        <v>4</v>
      </c>
      <c r="C680" s="38" t="n">
        <v>46118</v>
      </c>
      <c r="D680" s="15" t="n">
        <v>294778.79</v>
      </c>
      <c r="E680" s="15" t="n">
        <v>456034.79</v>
      </c>
      <c r="F680" s="15" t="n">
        <v>716460.79</v>
      </c>
      <c r="G680" s="15" t="n">
        <f aca="false">E680-D680</f>
        <v>161256</v>
      </c>
      <c r="H680" s="15" t="n">
        <f aca="false">F680-D680</f>
        <v>421682</v>
      </c>
    </row>
    <row r="681" customFormat="false" ht="15" hidden="false" customHeight="false" outlineLevel="0" collapsed="false">
      <c r="A681" s="38" t="n">
        <v>46094</v>
      </c>
      <c r="B681" s="11" t="n">
        <v>5</v>
      </c>
      <c r="C681" s="38" t="n">
        <v>46125</v>
      </c>
      <c r="D681" s="15" t="n">
        <v>387064.45</v>
      </c>
      <c r="E681" s="15" t="n">
        <v>445386.45</v>
      </c>
      <c r="F681" s="15" t="n">
        <v>724718.45</v>
      </c>
      <c r="G681" s="15" t="n">
        <f aca="false">E681-D681</f>
        <v>58322</v>
      </c>
      <c r="H681" s="15" t="n">
        <f aca="false">F681-D681</f>
        <v>337654</v>
      </c>
    </row>
    <row r="682" customFormat="false" ht="15" hidden="false" customHeight="false" outlineLevel="0" collapsed="false">
      <c r="A682" s="38" t="n">
        <v>46094</v>
      </c>
      <c r="B682" s="11" t="n">
        <v>6</v>
      </c>
      <c r="C682" s="38" t="n">
        <v>46132</v>
      </c>
      <c r="D682" s="15" t="n">
        <v>444316.96</v>
      </c>
      <c r="E682" s="15" t="n">
        <v>549604.96</v>
      </c>
      <c r="F682" s="15" t="n">
        <v>777340.96</v>
      </c>
      <c r="G682" s="15" t="n">
        <f aca="false">E682-D682</f>
        <v>105288</v>
      </c>
      <c r="H682" s="15" t="n">
        <f aca="false">F682-D682</f>
        <v>333024</v>
      </c>
    </row>
    <row r="683" customFormat="false" ht="15" hidden="false" customHeight="false" outlineLevel="0" collapsed="false">
      <c r="A683" s="38" t="n">
        <v>46094</v>
      </c>
      <c r="B683" s="11" t="n">
        <v>7</v>
      </c>
      <c r="C683" s="38" t="n">
        <v>46139</v>
      </c>
      <c r="D683" s="15" t="n">
        <v>422047.12</v>
      </c>
      <c r="E683" s="15" t="n">
        <v>519151.12</v>
      </c>
      <c r="F683" s="15" t="n">
        <v>742087.12</v>
      </c>
      <c r="G683" s="15" t="n">
        <f aca="false">E683-D683</f>
        <v>97104</v>
      </c>
      <c r="H683" s="15" t="n">
        <f aca="false">F683-D683</f>
        <v>320040</v>
      </c>
    </row>
    <row r="684" customFormat="false" ht="15" hidden="false" customHeight="false" outlineLevel="0" collapsed="false">
      <c r="A684" s="38" t="n">
        <v>46094</v>
      </c>
      <c r="B684" s="11" t="n">
        <v>8</v>
      </c>
      <c r="C684" s="38" t="n">
        <v>46146</v>
      </c>
      <c r="D684" s="15" t="n">
        <v>448506.02</v>
      </c>
      <c r="E684" s="15" t="n">
        <v>497094.02</v>
      </c>
      <c r="F684" s="15" t="n">
        <v>733054.02</v>
      </c>
      <c r="G684" s="15" t="n">
        <f aca="false">E684-D684</f>
        <v>48588</v>
      </c>
      <c r="H684" s="15" t="n">
        <f aca="false">F684-D684</f>
        <v>284548</v>
      </c>
    </row>
    <row r="685" customFormat="false" ht="15" hidden="false" customHeight="false" outlineLevel="0" collapsed="false">
      <c r="A685" s="38" t="n">
        <v>46094</v>
      </c>
      <c r="B685" s="11" t="n">
        <v>9</v>
      </c>
      <c r="C685" s="38" t="n">
        <v>46153</v>
      </c>
      <c r="D685" s="15" t="n">
        <v>444482.14</v>
      </c>
      <c r="E685" s="15" t="n">
        <v>471698.14</v>
      </c>
      <c r="F685" s="15" t="n">
        <v>621602.14</v>
      </c>
      <c r="G685" s="15" t="n">
        <f aca="false">E685-D685</f>
        <v>27216</v>
      </c>
      <c r="H685" s="15" t="n">
        <f aca="false">F685-D685</f>
        <v>177120</v>
      </c>
    </row>
    <row r="686" customFormat="false" ht="15" hidden="false" customHeight="false" outlineLevel="0" collapsed="false">
      <c r="A686" s="38" t="n">
        <v>46094</v>
      </c>
      <c r="B686" s="11" t="n">
        <v>10</v>
      </c>
      <c r="C686" s="38" t="n">
        <v>46160</v>
      </c>
      <c r="D686" s="15" t="n">
        <v>537889.28</v>
      </c>
      <c r="E686" s="15" t="n">
        <v>586641.28</v>
      </c>
      <c r="F686" s="15" t="n">
        <v>889627.28</v>
      </c>
      <c r="G686" s="15" t="n">
        <f aca="false">E686-D686</f>
        <v>48752</v>
      </c>
      <c r="H686" s="15" t="n">
        <f aca="false">F686-D686</f>
        <v>351738</v>
      </c>
    </row>
    <row r="687" customFormat="false" ht="15" hidden="false" customHeight="false" outlineLevel="0" collapsed="false">
      <c r="A687" s="38" t="n">
        <v>46094</v>
      </c>
      <c r="B687" s="11" t="n">
        <v>11</v>
      </c>
      <c r="C687" s="38" t="n">
        <v>46167</v>
      </c>
      <c r="D687" s="15" t="n">
        <v>477111.93</v>
      </c>
      <c r="E687" s="15" t="n">
        <v>535689.93</v>
      </c>
      <c r="F687" s="15" t="n">
        <v>755579.93</v>
      </c>
      <c r="G687" s="15" t="n">
        <f aca="false">E687-D687</f>
        <v>58578.0000000001</v>
      </c>
      <c r="H687" s="15" t="n">
        <f aca="false">F687-D687</f>
        <v>278468</v>
      </c>
    </row>
    <row r="688" customFormat="false" ht="15" hidden="false" customHeight="false" outlineLevel="0" collapsed="false">
      <c r="A688" s="38" t="n">
        <v>46094</v>
      </c>
      <c r="B688" s="11" t="n">
        <v>12</v>
      </c>
      <c r="C688" s="38" t="n">
        <v>46174</v>
      </c>
      <c r="D688" s="15" t="n">
        <v>390148.54</v>
      </c>
      <c r="E688" s="15" t="n">
        <v>464618.54</v>
      </c>
      <c r="F688" s="15" t="n">
        <v>713570.54</v>
      </c>
      <c r="G688" s="15" t="n">
        <f aca="false">E688-D688</f>
        <v>74470</v>
      </c>
      <c r="H688" s="15" t="n">
        <f aca="false">F688-D688</f>
        <v>323422</v>
      </c>
    </row>
    <row r="689" customFormat="false" ht="15" hidden="false" customHeight="false" outlineLevel="0" collapsed="false">
      <c r="A689" s="38" t="n">
        <v>46094</v>
      </c>
      <c r="B689" s="11" t="n">
        <v>13</v>
      </c>
      <c r="C689" s="38" t="n">
        <v>46181</v>
      </c>
      <c r="D689" s="15" t="n">
        <v>531636.1</v>
      </c>
      <c r="E689" s="15" t="n">
        <v>546000.1</v>
      </c>
      <c r="F689" s="15" t="n">
        <v>796704.1</v>
      </c>
      <c r="G689" s="15" t="n">
        <f aca="false">E689-D689</f>
        <v>14364</v>
      </c>
      <c r="H689" s="15" t="n">
        <f aca="false">F689-D689</f>
        <v>265068</v>
      </c>
    </row>
    <row r="690" customFormat="false" ht="15" hidden="false" customHeight="false" outlineLevel="0" collapsed="false">
      <c r="A690" s="38" t="n">
        <v>46101</v>
      </c>
      <c r="B690" s="11" t="n">
        <v>1</v>
      </c>
      <c r="C690" s="38" t="n">
        <v>46104</v>
      </c>
      <c r="D690" s="15" t="n">
        <v>438284.71</v>
      </c>
      <c r="E690" s="15" t="n">
        <v>419742.71</v>
      </c>
      <c r="F690" s="15" t="n">
        <v>723402.71</v>
      </c>
      <c r="G690" s="15" t="n">
        <f aca="false">E690-D690</f>
        <v>-18542</v>
      </c>
      <c r="H690" s="15" t="n">
        <f aca="false">F690-D690</f>
        <v>285118</v>
      </c>
    </row>
    <row r="691" customFormat="false" ht="15" hidden="false" customHeight="false" outlineLevel="0" collapsed="false">
      <c r="A691" s="38" t="n">
        <v>46101</v>
      </c>
      <c r="B691" s="11" t="n">
        <v>2</v>
      </c>
      <c r="C691" s="38" t="n">
        <v>46111</v>
      </c>
      <c r="D691" s="15" t="n">
        <v>292283.74</v>
      </c>
      <c r="E691" s="15" t="n">
        <v>372949.74</v>
      </c>
      <c r="F691" s="15" t="n">
        <v>581975.74</v>
      </c>
      <c r="G691" s="15" t="n">
        <f aca="false">E691-D691</f>
        <v>80666</v>
      </c>
      <c r="H691" s="15" t="n">
        <f aca="false">F691-D691</f>
        <v>289692</v>
      </c>
    </row>
    <row r="692" customFormat="false" ht="15" hidden="false" customHeight="false" outlineLevel="0" collapsed="false">
      <c r="A692" s="38" t="n">
        <v>46101</v>
      </c>
      <c r="B692" s="11" t="n">
        <v>3</v>
      </c>
      <c r="C692" s="38" t="n">
        <v>46118</v>
      </c>
      <c r="D692" s="15" t="n">
        <v>294778.79</v>
      </c>
      <c r="E692" s="15" t="n">
        <v>456034.79</v>
      </c>
      <c r="F692" s="15" t="n">
        <v>716460.79</v>
      </c>
      <c r="G692" s="15" t="n">
        <f aca="false">E692-D692</f>
        <v>161256</v>
      </c>
      <c r="H692" s="15" t="n">
        <f aca="false">F692-D692</f>
        <v>421682</v>
      </c>
    </row>
    <row r="693" customFormat="false" ht="15" hidden="false" customHeight="false" outlineLevel="0" collapsed="false">
      <c r="A693" s="38" t="n">
        <v>46101</v>
      </c>
      <c r="B693" s="11" t="n">
        <v>4</v>
      </c>
      <c r="C693" s="38" t="n">
        <v>46125</v>
      </c>
      <c r="D693" s="15" t="n">
        <v>387064.45</v>
      </c>
      <c r="E693" s="15" t="n">
        <v>466686.45</v>
      </c>
      <c r="F693" s="15" t="n">
        <v>724718.45</v>
      </c>
      <c r="G693" s="15" t="n">
        <f aca="false">E693-D693</f>
        <v>79622</v>
      </c>
      <c r="H693" s="15" t="n">
        <f aca="false">F693-D693</f>
        <v>337654</v>
      </c>
    </row>
    <row r="694" customFormat="false" ht="15" hidden="false" customHeight="false" outlineLevel="0" collapsed="false">
      <c r="A694" s="38" t="n">
        <v>46101</v>
      </c>
      <c r="B694" s="11" t="n">
        <v>5</v>
      </c>
      <c r="C694" s="38" t="n">
        <v>46132</v>
      </c>
      <c r="D694" s="15" t="n">
        <v>444316.96</v>
      </c>
      <c r="E694" s="15" t="n">
        <v>549604.96</v>
      </c>
      <c r="F694" s="15" t="n">
        <v>777340.96</v>
      </c>
      <c r="G694" s="15" t="n">
        <f aca="false">E694-D694</f>
        <v>105288</v>
      </c>
      <c r="H694" s="15" t="n">
        <f aca="false">F694-D694</f>
        <v>333024</v>
      </c>
    </row>
    <row r="695" customFormat="false" ht="15" hidden="false" customHeight="false" outlineLevel="0" collapsed="false">
      <c r="A695" s="38" t="n">
        <v>46101</v>
      </c>
      <c r="B695" s="11" t="n">
        <v>6</v>
      </c>
      <c r="C695" s="38" t="n">
        <v>46139</v>
      </c>
      <c r="D695" s="15" t="n">
        <v>422047.12</v>
      </c>
      <c r="E695" s="15" t="n">
        <v>519151.12</v>
      </c>
      <c r="F695" s="15" t="n">
        <v>742087.12</v>
      </c>
      <c r="G695" s="15" t="n">
        <f aca="false">E695-D695</f>
        <v>97104</v>
      </c>
      <c r="H695" s="15" t="n">
        <f aca="false">F695-D695</f>
        <v>320040</v>
      </c>
    </row>
    <row r="696" customFormat="false" ht="15" hidden="false" customHeight="false" outlineLevel="0" collapsed="false">
      <c r="A696" s="38" t="n">
        <v>46101</v>
      </c>
      <c r="B696" s="11" t="n">
        <v>7</v>
      </c>
      <c r="C696" s="38" t="n">
        <v>46146</v>
      </c>
      <c r="D696" s="15" t="n">
        <v>448506.02</v>
      </c>
      <c r="E696" s="15" t="n">
        <v>497094.02</v>
      </c>
      <c r="F696" s="15" t="n">
        <v>733054.02</v>
      </c>
      <c r="G696" s="15" t="n">
        <f aca="false">E696-D696</f>
        <v>48588</v>
      </c>
      <c r="H696" s="15" t="n">
        <f aca="false">F696-D696</f>
        <v>284548</v>
      </c>
    </row>
    <row r="697" customFormat="false" ht="15" hidden="false" customHeight="false" outlineLevel="0" collapsed="false">
      <c r="A697" s="38" t="n">
        <v>46101</v>
      </c>
      <c r="B697" s="11" t="n">
        <v>8</v>
      </c>
      <c r="C697" s="38" t="n">
        <v>46153</v>
      </c>
      <c r="D697" s="15" t="n">
        <v>444482.14</v>
      </c>
      <c r="E697" s="15" t="n">
        <v>471698.14</v>
      </c>
      <c r="F697" s="15" t="n">
        <v>621602.14</v>
      </c>
      <c r="G697" s="15" t="n">
        <f aca="false">E697-D697</f>
        <v>27216</v>
      </c>
      <c r="H697" s="15" t="n">
        <f aca="false">F697-D697</f>
        <v>177120</v>
      </c>
    </row>
    <row r="698" customFormat="false" ht="15" hidden="false" customHeight="false" outlineLevel="0" collapsed="false">
      <c r="A698" s="38" t="n">
        <v>46101</v>
      </c>
      <c r="B698" s="11" t="n">
        <v>9</v>
      </c>
      <c r="C698" s="38" t="n">
        <v>46160</v>
      </c>
      <c r="D698" s="15" t="n">
        <v>537889.28</v>
      </c>
      <c r="E698" s="15" t="n">
        <v>565089.28</v>
      </c>
      <c r="F698" s="15" t="n">
        <v>889627.28</v>
      </c>
      <c r="G698" s="15" t="n">
        <f aca="false">E698-D698</f>
        <v>27200</v>
      </c>
      <c r="H698" s="15" t="n">
        <f aca="false">F698-D698</f>
        <v>351738</v>
      </c>
    </row>
    <row r="699" customFormat="false" ht="15" hidden="false" customHeight="false" outlineLevel="0" collapsed="false">
      <c r="A699" s="38" t="n">
        <v>46101</v>
      </c>
      <c r="B699" s="11" t="n">
        <v>10</v>
      </c>
      <c r="C699" s="38" t="n">
        <v>46167</v>
      </c>
      <c r="D699" s="15" t="n">
        <v>477111.93</v>
      </c>
      <c r="E699" s="15" t="n">
        <v>535689.93</v>
      </c>
      <c r="F699" s="15" t="n">
        <v>755579.93</v>
      </c>
      <c r="G699" s="15" t="n">
        <f aca="false">E699-D699</f>
        <v>58578.0000000001</v>
      </c>
      <c r="H699" s="15" t="n">
        <f aca="false">F699-D699</f>
        <v>278468</v>
      </c>
    </row>
    <row r="700" customFormat="false" ht="15" hidden="false" customHeight="false" outlineLevel="0" collapsed="false">
      <c r="A700" s="38" t="n">
        <v>46101</v>
      </c>
      <c r="B700" s="11" t="n">
        <v>11</v>
      </c>
      <c r="C700" s="38" t="n">
        <v>46174</v>
      </c>
      <c r="D700" s="15" t="n">
        <v>390148.54</v>
      </c>
      <c r="E700" s="15" t="n">
        <v>464618.54</v>
      </c>
      <c r="F700" s="15" t="n">
        <v>713570.54</v>
      </c>
      <c r="G700" s="15" t="n">
        <f aca="false">E700-D700</f>
        <v>74470</v>
      </c>
      <c r="H700" s="15" t="n">
        <f aca="false">F700-D700</f>
        <v>323422</v>
      </c>
    </row>
    <row r="701" customFormat="false" ht="15" hidden="false" customHeight="false" outlineLevel="0" collapsed="false">
      <c r="A701" s="38" t="n">
        <v>46101</v>
      </c>
      <c r="B701" s="11" t="n">
        <v>12</v>
      </c>
      <c r="C701" s="38" t="n">
        <v>46181</v>
      </c>
      <c r="D701" s="15" t="n">
        <v>531636.1</v>
      </c>
      <c r="E701" s="15" t="n">
        <v>541188.1</v>
      </c>
      <c r="F701" s="15" t="n">
        <v>796704.1</v>
      </c>
      <c r="G701" s="15" t="n">
        <f aca="false">E701-D701</f>
        <v>9552</v>
      </c>
      <c r="H701" s="15" t="n">
        <f aca="false">F701-D701</f>
        <v>265068</v>
      </c>
    </row>
    <row r="702" customFormat="false" ht="15" hidden="false" customHeight="false" outlineLevel="0" collapsed="false">
      <c r="A702" s="38" t="n">
        <v>46101</v>
      </c>
      <c r="B702" s="11" t="n">
        <v>13</v>
      </c>
      <c r="C702" s="38" t="n">
        <v>46188</v>
      </c>
      <c r="D702" s="15" t="n">
        <v>562687.11</v>
      </c>
      <c r="E702" s="15" t="n">
        <v>591295.11</v>
      </c>
      <c r="F702" s="15" t="n">
        <v>810043.11</v>
      </c>
      <c r="G702" s="15" t="n">
        <f aca="false">E702-D702</f>
        <v>28608</v>
      </c>
      <c r="H702" s="15" t="n">
        <f aca="false">F702-D702</f>
        <v>247356</v>
      </c>
    </row>
    <row r="703" customFormat="false" ht="15" hidden="false" customHeight="false" outlineLevel="0" collapsed="false">
      <c r="A703" s="38" t="n">
        <v>46108</v>
      </c>
      <c r="B703" s="11" t="n">
        <v>1</v>
      </c>
      <c r="C703" s="38" t="n">
        <v>46111</v>
      </c>
      <c r="D703" s="15" t="n">
        <v>292283.74</v>
      </c>
      <c r="E703" s="15" t="n">
        <v>295345.74</v>
      </c>
      <c r="F703" s="15" t="n">
        <v>581975.74</v>
      </c>
      <c r="G703" s="15" t="n">
        <f aca="false">E703-D703</f>
        <v>3062</v>
      </c>
      <c r="H703" s="15" t="n">
        <f aca="false">F703-D703</f>
        <v>289692</v>
      </c>
    </row>
    <row r="704" customFormat="false" ht="15" hidden="false" customHeight="false" outlineLevel="0" collapsed="false">
      <c r="A704" s="38" t="n">
        <v>46108</v>
      </c>
      <c r="B704" s="11" t="n">
        <v>2</v>
      </c>
      <c r="C704" s="38" t="n">
        <v>46118</v>
      </c>
      <c r="D704" s="15" t="n">
        <v>294778.79</v>
      </c>
      <c r="E704" s="15" t="n">
        <v>447610.79</v>
      </c>
      <c r="F704" s="15" t="n">
        <v>716460.79</v>
      </c>
      <c r="G704" s="15" t="n">
        <f aca="false">E704-D704</f>
        <v>152832</v>
      </c>
      <c r="H704" s="15" t="n">
        <f aca="false">F704-D704</f>
        <v>421682</v>
      </c>
    </row>
    <row r="705" customFormat="false" ht="15" hidden="false" customHeight="false" outlineLevel="0" collapsed="false">
      <c r="A705" s="38" t="n">
        <v>46108</v>
      </c>
      <c r="B705" s="11" t="n">
        <v>3</v>
      </c>
      <c r="C705" s="38" t="n">
        <v>46125</v>
      </c>
      <c r="D705" s="15" t="n">
        <v>387064.45</v>
      </c>
      <c r="E705" s="15" t="n">
        <v>466686.45</v>
      </c>
      <c r="F705" s="15" t="n">
        <v>724718.45</v>
      </c>
      <c r="G705" s="15" t="n">
        <f aca="false">E705-D705</f>
        <v>79622</v>
      </c>
      <c r="H705" s="15" t="n">
        <f aca="false">F705-D705</f>
        <v>337654</v>
      </c>
    </row>
    <row r="706" customFormat="false" ht="15" hidden="false" customHeight="false" outlineLevel="0" collapsed="false">
      <c r="A706" s="38" t="n">
        <v>46108</v>
      </c>
      <c r="B706" s="11" t="n">
        <v>4</v>
      </c>
      <c r="C706" s="38" t="n">
        <v>46132</v>
      </c>
      <c r="D706" s="15" t="n">
        <v>444316.96</v>
      </c>
      <c r="E706" s="15" t="n">
        <v>549604.96</v>
      </c>
      <c r="F706" s="15" t="n">
        <v>777340.96</v>
      </c>
      <c r="G706" s="15" t="n">
        <f aca="false">E706-D706</f>
        <v>105288</v>
      </c>
      <c r="H706" s="15" t="n">
        <f aca="false">F706-D706</f>
        <v>333024</v>
      </c>
    </row>
    <row r="707" customFormat="false" ht="15" hidden="false" customHeight="false" outlineLevel="0" collapsed="false">
      <c r="A707" s="38" t="n">
        <v>46108</v>
      </c>
      <c r="B707" s="11" t="n">
        <v>5</v>
      </c>
      <c r="C707" s="38" t="n">
        <v>46139</v>
      </c>
      <c r="D707" s="15" t="n">
        <v>422047.12</v>
      </c>
      <c r="E707" s="15" t="n">
        <v>519151.12</v>
      </c>
      <c r="F707" s="15" t="n">
        <v>742087.12</v>
      </c>
      <c r="G707" s="15" t="n">
        <f aca="false">E707-D707</f>
        <v>97104</v>
      </c>
      <c r="H707" s="15" t="n">
        <f aca="false">F707-D707</f>
        <v>320040</v>
      </c>
    </row>
    <row r="708" customFormat="false" ht="15" hidden="false" customHeight="false" outlineLevel="0" collapsed="false">
      <c r="A708" s="38" t="n">
        <v>46108</v>
      </c>
      <c r="B708" s="11" t="n">
        <v>6</v>
      </c>
      <c r="C708" s="38" t="n">
        <v>46146</v>
      </c>
      <c r="D708" s="15" t="n">
        <v>448506.02</v>
      </c>
      <c r="E708" s="15" t="n">
        <v>497094.02</v>
      </c>
      <c r="F708" s="15" t="n">
        <v>733054.02</v>
      </c>
      <c r="G708" s="15" t="n">
        <f aca="false">E708-D708</f>
        <v>48588</v>
      </c>
      <c r="H708" s="15" t="n">
        <f aca="false">F708-D708</f>
        <v>284548</v>
      </c>
    </row>
    <row r="709" customFormat="false" ht="15" hidden="false" customHeight="false" outlineLevel="0" collapsed="false">
      <c r="A709" s="38" t="n">
        <v>46108</v>
      </c>
      <c r="B709" s="11" t="n">
        <v>7</v>
      </c>
      <c r="C709" s="38" t="n">
        <v>46153</v>
      </c>
      <c r="D709" s="15" t="n">
        <v>444482.14</v>
      </c>
      <c r="E709" s="15" t="n">
        <v>471698.14</v>
      </c>
      <c r="F709" s="15" t="n">
        <v>621602.14</v>
      </c>
      <c r="G709" s="15" t="n">
        <f aca="false">E709-D709</f>
        <v>27216</v>
      </c>
      <c r="H709" s="15" t="n">
        <f aca="false">F709-D709</f>
        <v>177120</v>
      </c>
    </row>
    <row r="710" customFormat="false" ht="15" hidden="false" customHeight="false" outlineLevel="0" collapsed="false">
      <c r="A710" s="38" t="n">
        <v>46108</v>
      </c>
      <c r="B710" s="11" t="n">
        <v>8</v>
      </c>
      <c r="C710" s="38" t="n">
        <v>46160</v>
      </c>
      <c r="D710" s="15" t="n">
        <v>537889.28</v>
      </c>
      <c r="E710" s="15" t="n">
        <v>565089.28</v>
      </c>
      <c r="F710" s="15" t="n">
        <v>889627.28</v>
      </c>
      <c r="G710" s="15" t="n">
        <f aca="false">E710-D710</f>
        <v>27200</v>
      </c>
      <c r="H710" s="15" t="n">
        <f aca="false">F710-D710</f>
        <v>351738</v>
      </c>
    </row>
    <row r="711" customFormat="false" ht="15" hidden="false" customHeight="false" outlineLevel="0" collapsed="false">
      <c r="A711" s="38" t="n">
        <v>46108</v>
      </c>
      <c r="B711" s="11" t="n">
        <v>9</v>
      </c>
      <c r="C711" s="38" t="n">
        <v>46167</v>
      </c>
      <c r="D711" s="15" t="n">
        <v>477111.93</v>
      </c>
      <c r="E711" s="15" t="n">
        <v>535689.93</v>
      </c>
      <c r="F711" s="15" t="n">
        <v>755579.93</v>
      </c>
      <c r="G711" s="15" t="n">
        <f aca="false">E711-D711</f>
        <v>58578.0000000001</v>
      </c>
      <c r="H711" s="15" t="n">
        <f aca="false">F711-D711</f>
        <v>278468</v>
      </c>
    </row>
    <row r="712" customFormat="false" ht="15" hidden="false" customHeight="false" outlineLevel="0" collapsed="false">
      <c r="A712" s="38" t="n">
        <v>46108</v>
      </c>
      <c r="B712" s="11" t="n">
        <v>10</v>
      </c>
      <c r="C712" s="38" t="n">
        <v>46174</v>
      </c>
      <c r="D712" s="15" t="n">
        <v>390148.54</v>
      </c>
      <c r="E712" s="15" t="n">
        <v>464618.54</v>
      </c>
      <c r="F712" s="15" t="n">
        <v>713570.54</v>
      </c>
      <c r="G712" s="15" t="n">
        <f aca="false">E712-D712</f>
        <v>74470</v>
      </c>
      <c r="H712" s="15" t="n">
        <f aca="false">F712-D712</f>
        <v>323422</v>
      </c>
    </row>
    <row r="713" customFormat="false" ht="15" hidden="false" customHeight="false" outlineLevel="0" collapsed="false">
      <c r="A713" s="38" t="n">
        <v>46108</v>
      </c>
      <c r="B713" s="11" t="n">
        <v>11</v>
      </c>
      <c r="C713" s="38" t="n">
        <v>46181</v>
      </c>
      <c r="D713" s="15" t="n">
        <v>531636.1</v>
      </c>
      <c r="E713" s="15" t="n">
        <v>541188.1</v>
      </c>
      <c r="F713" s="15" t="n">
        <v>796704.1</v>
      </c>
      <c r="G713" s="15" t="n">
        <f aca="false">E713-D713</f>
        <v>9552</v>
      </c>
      <c r="H713" s="15" t="n">
        <f aca="false">F713-D713</f>
        <v>265068</v>
      </c>
    </row>
    <row r="714" customFormat="false" ht="15" hidden="false" customHeight="false" outlineLevel="0" collapsed="false">
      <c r="A714" s="38" t="n">
        <v>46108</v>
      </c>
      <c r="B714" s="11" t="n">
        <v>12</v>
      </c>
      <c r="C714" s="38" t="n">
        <v>46188</v>
      </c>
      <c r="D714" s="15" t="n">
        <v>562687.11</v>
      </c>
      <c r="E714" s="15" t="n">
        <v>591295.11</v>
      </c>
      <c r="F714" s="15" t="n">
        <v>810043.11</v>
      </c>
      <c r="G714" s="15" t="n">
        <f aca="false">E714-D714</f>
        <v>28608</v>
      </c>
      <c r="H714" s="15" t="n">
        <f aca="false">F714-D714</f>
        <v>247356</v>
      </c>
    </row>
    <row r="715" customFormat="false" ht="15" hidden="false" customHeight="false" outlineLevel="0" collapsed="false">
      <c r="A715" s="38" t="n">
        <v>46108</v>
      </c>
      <c r="B715" s="11" t="n">
        <v>13</v>
      </c>
      <c r="C715" s="38" t="n">
        <v>46195</v>
      </c>
      <c r="D715" s="15" t="n">
        <v>471965.78</v>
      </c>
      <c r="E715" s="15" t="n">
        <v>521043.78</v>
      </c>
      <c r="F715" s="15" t="n">
        <v>715431.78</v>
      </c>
      <c r="G715" s="15" t="n">
        <f aca="false">E715-D715</f>
        <v>49078</v>
      </c>
      <c r="H715" s="15" t="n">
        <f aca="false">F715-D715</f>
        <v>243466</v>
      </c>
    </row>
    <row r="716" customFormat="false" ht="15" hidden="false" customHeight="false" outlineLevel="0" collapsed="false">
      <c r="A716" s="38" t="n">
        <v>46115</v>
      </c>
      <c r="B716" s="11" t="n">
        <v>1</v>
      </c>
      <c r="C716" s="38" t="n">
        <v>46118</v>
      </c>
      <c r="D716" s="15" t="n">
        <v>294778.79</v>
      </c>
      <c r="E716" s="15" t="n">
        <v>351430.79</v>
      </c>
      <c r="F716" s="15" t="n">
        <v>716460.79</v>
      </c>
      <c r="G716" s="15" t="n">
        <f aca="false">E716-D716</f>
        <v>56652</v>
      </c>
      <c r="H716" s="15" t="n">
        <f aca="false">F716-D716</f>
        <v>421682</v>
      </c>
    </row>
    <row r="717" customFormat="false" ht="15" hidden="false" customHeight="false" outlineLevel="0" collapsed="false">
      <c r="A717" s="38" t="n">
        <v>46115</v>
      </c>
      <c r="B717" s="11" t="n">
        <v>2</v>
      </c>
      <c r="C717" s="38" t="n">
        <v>46125</v>
      </c>
      <c r="D717" s="15" t="n">
        <v>387064.45</v>
      </c>
      <c r="E717" s="15" t="n">
        <v>445386.45</v>
      </c>
      <c r="F717" s="15" t="n">
        <v>724718.45</v>
      </c>
      <c r="G717" s="15" t="n">
        <f aca="false">E717-D717</f>
        <v>58322</v>
      </c>
      <c r="H717" s="15" t="n">
        <f aca="false">F717-D717</f>
        <v>337654</v>
      </c>
    </row>
    <row r="718" customFormat="false" ht="15" hidden="false" customHeight="false" outlineLevel="0" collapsed="false">
      <c r="A718" s="38" t="n">
        <v>46115</v>
      </c>
      <c r="B718" s="11" t="n">
        <v>3</v>
      </c>
      <c r="C718" s="38" t="n">
        <v>46132</v>
      </c>
      <c r="D718" s="15" t="n">
        <v>444316.96</v>
      </c>
      <c r="E718" s="15" t="n">
        <v>549604.96</v>
      </c>
      <c r="F718" s="15" t="n">
        <v>777340.96</v>
      </c>
      <c r="G718" s="15" t="n">
        <f aca="false">E718-D718</f>
        <v>105288</v>
      </c>
      <c r="H718" s="15" t="n">
        <f aca="false">F718-D718</f>
        <v>333024</v>
      </c>
    </row>
    <row r="719" customFormat="false" ht="15" hidden="false" customHeight="false" outlineLevel="0" collapsed="false">
      <c r="A719" s="38" t="n">
        <v>46115</v>
      </c>
      <c r="B719" s="11" t="n">
        <v>4</v>
      </c>
      <c r="C719" s="38" t="n">
        <v>46139</v>
      </c>
      <c r="D719" s="15" t="n">
        <v>422047.12</v>
      </c>
      <c r="E719" s="15" t="n">
        <v>519151.12</v>
      </c>
      <c r="F719" s="15" t="n">
        <v>742087.12</v>
      </c>
      <c r="G719" s="15" t="n">
        <f aca="false">E719-D719</f>
        <v>97104</v>
      </c>
      <c r="H719" s="15" t="n">
        <f aca="false">F719-D719</f>
        <v>320040</v>
      </c>
    </row>
    <row r="720" customFormat="false" ht="15" hidden="false" customHeight="false" outlineLevel="0" collapsed="false">
      <c r="A720" s="38" t="n">
        <v>46115</v>
      </c>
      <c r="B720" s="11" t="n">
        <v>5</v>
      </c>
      <c r="C720" s="38" t="n">
        <v>46146</v>
      </c>
      <c r="D720" s="15" t="n">
        <v>448506.02</v>
      </c>
      <c r="E720" s="15" t="n">
        <v>497094.02</v>
      </c>
      <c r="F720" s="15" t="n">
        <v>733054.02</v>
      </c>
      <c r="G720" s="15" t="n">
        <f aca="false">E720-D720</f>
        <v>48588</v>
      </c>
      <c r="H720" s="15" t="n">
        <f aca="false">F720-D720</f>
        <v>284548</v>
      </c>
    </row>
    <row r="721" customFormat="false" ht="15" hidden="false" customHeight="false" outlineLevel="0" collapsed="false">
      <c r="A721" s="38" t="n">
        <v>46115</v>
      </c>
      <c r="B721" s="11" t="n">
        <v>6</v>
      </c>
      <c r="C721" s="38" t="n">
        <v>46153</v>
      </c>
      <c r="D721" s="15" t="n">
        <v>444482.14</v>
      </c>
      <c r="E721" s="15" t="n">
        <v>471698.14</v>
      </c>
      <c r="F721" s="15" t="n">
        <v>621602.14</v>
      </c>
      <c r="G721" s="15" t="n">
        <f aca="false">E721-D721</f>
        <v>27216</v>
      </c>
      <c r="H721" s="15" t="n">
        <f aca="false">F721-D721</f>
        <v>177120</v>
      </c>
    </row>
    <row r="722" customFormat="false" ht="15" hidden="false" customHeight="false" outlineLevel="0" collapsed="false">
      <c r="A722" s="38" t="n">
        <v>46115</v>
      </c>
      <c r="B722" s="11" t="n">
        <v>7</v>
      </c>
      <c r="C722" s="38" t="n">
        <v>46160</v>
      </c>
      <c r="D722" s="15" t="n">
        <v>537889.28</v>
      </c>
      <c r="E722" s="15" t="n">
        <v>565089.28</v>
      </c>
      <c r="F722" s="15" t="n">
        <v>889627.28</v>
      </c>
      <c r="G722" s="15" t="n">
        <f aca="false">E722-D722</f>
        <v>27200</v>
      </c>
      <c r="H722" s="15" t="n">
        <f aca="false">F722-D722</f>
        <v>351738</v>
      </c>
    </row>
    <row r="723" customFormat="false" ht="15" hidden="false" customHeight="false" outlineLevel="0" collapsed="false">
      <c r="A723" s="38" t="n">
        <v>46115</v>
      </c>
      <c r="B723" s="11" t="n">
        <v>8</v>
      </c>
      <c r="C723" s="38" t="n">
        <v>46167</v>
      </c>
      <c r="D723" s="15" t="n">
        <v>477111.93</v>
      </c>
      <c r="E723" s="15" t="n">
        <v>535689.93</v>
      </c>
      <c r="F723" s="15" t="n">
        <v>755579.93</v>
      </c>
      <c r="G723" s="15" t="n">
        <f aca="false">E723-D723</f>
        <v>58578.0000000001</v>
      </c>
      <c r="H723" s="15" t="n">
        <f aca="false">F723-D723</f>
        <v>278468</v>
      </c>
    </row>
    <row r="724" customFormat="false" ht="15" hidden="false" customHeight="false" outlineLevel="0" collapsed="false">
      <c r="A724" s="38" t="n">
        <v>46115</v>
      </c>
      <c r="B724" s="11" t="n">
        <v>9</v>
      </c>
      <c r="C724" s="38" t="n">
        <v>46174</v>
      </c>
      <c r="D724" s="15" t="n">
        <v>390148.54</v>
      </c>
      <c r="E724" s="15" t="n">
        <v>457022.54</v>
      </c>
      <c r="F724" s="15" t="n">
        <v>713570.54</v>
      </c>
      <c r="G724" s="15" t="n">
        <f aca="false">E724-D724</f>
        <v>66874</v>
      </c>
      <c r="H724" s="15" t="n">
        <f aca="false">F724-D724</f>
        <v>323422</v>
      </c>
    </row>
    <row r="725" customFormat="false" ht="15" hidden="false" customHeight="false" outlineLevel="0" collapsed="false">
      <c r="A725" s="38" t="n">
        <v>46115</v>
      </c>
      <c r="B725" s="11" t="n">
        <v>10</v>
      </c>
      <c r="C725" s="38" t="n">
        <v>46181</v>
      </c>
      <c r="D725" s="15" t="n">
        <v>531636.1</v>
      </c>
      <c r="E725" s="15" t="n">
        <v>520860.1</v>
      </c>
      <c r="F725" s="15" t="n">
        <v>796704.1</v>
      </c>
      <c r="G725" s="15" t="n">
        <f aca="false">E725-D725</f>
        <v>-10776</v>
      </c>
      <c r="H725" s="15" t="n">
        <f aca="false">F725-D725</f>
        <v>265068</v>
      </c>
    </row>
    <row r="726" customFormat="false" ht="15" hidden="false" customHeight="false" outlineLevel="0" collapsed="false">
      <c r="A726" s="38" t="n">
        <v>46115</v>
      </c>
      <c r="B726" s="11" t="n">
        <v>11</v>
      </c>
      <c r="C726" s="38" t="n">
        <v>46188</v>
      </c>
      <c r="D726" s="15" t="n">
        <v>562687.11</v>
      </c>
      <c r="E726" s="15" t="n">
        <v>591295.11</v>
      </c>
      <c r="F726" s="15" t="n">
        <v>810043.11</v>
      </c>
      <c r="G726" s="15" t="n">
        <f aca="false">E726-D726</f>
        <v>28608</v>
      </c>
      <c r="H726" s="15" t="n">
        <f aca="false">F726-D726</f>
        <v>247356</v>
      </c>
    </row>
    <row r="727" customFormat="false" ht="15" hidden="false" customHeight="false" outlineLevel="0" collapsed="false">
      <c r="A727" s="38" t="n">
        <v>46115</v>
      </c>
      <c r="B727" s="11" t="n">
        <v>12</v>
      </c>
      <c r="C727" s="38" t="n">
        <v>46195</v>
      </c>
      <c r="D727" s="15" t="n">
        <v>471965.78</v>
      </c>
      <c r="E727" s="15" t="n">
        <v>521043.78</v>
      </c>
      <c r="F727" s="15" t="n">
        <v>715431.78</v>
      </c>
      <c r="G727" s="15" t="n">
        <f aca="false">E727-D727</f>
        <v>49078</v>
      </c>
      <c r="H727" s="15" t="n">
        <f aca="false">F727-D727</f>
        <v>243466</v>
      </c>
    </row>
    <row r="728" customFormat="false" ht="15" hidden="false" customHeight="false" outlineLevel="0" collapsed="false">
      <c r="A728" s="38" t="n">
        <v>46115</v>
      </c>
      <c r="B728" s="11" t="n">
        <v>13</v>
      </c>
      <c r="C728" s="38" t="n">
        <v>46202</v>
      </c>
      <c r="D728" s="15" t="n">
        <v>256731.64</v>
      </c>
      <c r="E728" s="15" t="n">
        <v>306987.64</v>
      </c>
      <c r="F728" s="15" t="n">
        <v>514459.64</v>
      </c>
      <c r="G728" s="15" t="n">
        <f aca="false">E728-D728</f>
        <v>50256</v>
      </c>
      <c r="H728" s="15" t="n">
        <f aca="false">F728-D728</f>
        <v>257728</v>
      </c>
    </row>
    <row r="729" customFormat="false" ht="15" hidden="false" customHeight="false" outlineLevel="0" collapsed="false">
      <c r="A729" s="38" t="n">
        <v>46122</v>
      </c>
      <c r="B729" s="11" t="n">
        <v>1</v>
      </c>
      <c r="C729" s="38" t="n">
        <v>46125</v>
      </c>
      <c r="D729" s="15" t="n">
        <v>387064.45</v>
      </c>
      <c r="E729" s="15" t="n">
        <v>366230.45</v>
      </c>
      <c r="F729" s="15" t="n">
        <v>724718.45</v>
      </c>
      <c r="G729" s="15" t="n">
        <f aca="false">E729-D729</f>
        <v>-20834</v>
      </c>
      <c r="H729" s="15" t="n">
        <f aca="false">F729-D729</f>
        <v>337654</v>
      </c>
    </row>
    <row r="730" customFormat="false" ht="15" hidden="false" customHeight="false" outlineLevel="0" collapsed="false">
      <c r="A730" s="38" t="n">
        <v>46122</v>
      </c>
      <c r="B730" s="11" t="n">
        <v>2</v>
      </c>
      <c r="C730" s="38" t="n">
        <v>46132</v>
      </c>
      <c r="D730" s="15" t="n">
        <v>444316.96</v>
      </c>
      <c r="E730" s="15" t="n">
        <v>541224.96</v>
      </c>
      <c r="F730" s="15" t="n">
        <v>777340.96</v>
      </c>
      <c r="G730" s="15" t="n">
        <f aca="false">E730-D730</f>
        <v>96907.9999999999</v>
      </c>
      <c r="H730" s="15" t="n">
        <f aca="false">F730-D730</f>
        <v>333024</v>
      </c>
    </row>
    <row r="731" customFormat="false" ht="15" hidden="false" customHeight="false" outlineLevel="0" collapsed="false">
      <c r="A731" s="38" t="n">
        <v>46122</v>
      </c>
      <c r="B731" s="11" t="n">
        <v>3</v>
      </c>
      <c r="C731" s="38" t="n">
        <v>46139</v>
      </c>
      <c r="D731" s="15" t="n">
        <v>422047.12</v>
      </c>
      <c r="E731" s="15" t="n">
        <v>519151.12</v>
      </c>
      <c r="F731" s="15" t="n">
        <v>742087.12</v>
      </c>
      <c r="G731" s="15" t="n">
        <f aca="false">E731-D731</f>
        <v>97104</v>
      </c>
      <c r="H731" s="15" t="n">
        <f aca="false">F731-D731</f>
        <v>320040</v>
      </c>
    </row>
    <row r="732" customFormat="false" ht="15" hidden="false" customHeight="false" outlineLevel="0" collapsed="false">
      <c r="A732" s="38" t="n">
        <v>46122</v>
      </c>
      <c r="B732" s="11" t="n">
        <v>4</v>
      </c>
      <c r="C732" s="38" t="n">
        <v>46146</v>
      </c>
      <c r="D732" s="15" t="n">
        <v>448506.02</v>
      </c>
      <c r="E732" s="15" t="n">
        <v>497094.02</v>
      </c>
      <c r="F732" s="15" t="n">
        <v>733054.02</v>
      </c>
      <c r="G732" s="15" t="n">
        <f aca="false">E732-D732</f>
        <v>48588</v>
      </c>
      <c r="H732" s="15" t="n">
        <f aca="false">F732-D732</f>
        <v>284548</v>
      </c>
    </row>
    <row r="733" customFormat="false" ht="15" hidden="false" customHeight="false" outlineLevel="0" collapsed="false">
      <c r="A733" s="38" t="n">
        <v>46122</v>
      </c>
      <c r="B733" s="11" t="n">
        <v>5</v>
      </c>
      <c r="C733" s="38" t="n">
        <v>46153</v>
      </c>
      <c r="D733" s="15" t="n">
        <v>444482.14</v>
      </c>
      <c r="E733" s="15" t="n">
        <v>471698.14</v>
      </c>
      <c r="F733" s="15" t="n">
        <v>621602.14</v>
      </c>
      <c r="G733" s="15" t="n">
        <f aca="false">E733-D733</f>
        <v>27216</v>
      </c>
      <c r="H733" s="15" t="n">
        <f aca="false">F733-D733</f>
        <v>177120</v>
      </c>
    </row>
    <row r="734" customFormat="false" ht="15" hidden="false" customHeight="false" outlineLevel="0" collapsed="false">
      <c r="A734" s="38" t="n">
        <v>46122</v>
      </c>
      <c r="B734" s="11" t="n">
        <v>6</v>
      </c>
      <c r="C734" s="38" t="n">
        <v>46160</v>
      </c>
      <c r="D734" s="15" t="n">
        <v>537889.28</v>
      </c>
      <c r="E734" s="15" t="n">
        <v>586641.28</v>
      </c>
      <c r="F734" s="15" t="n">
        <v>889627.28</v>
      </c>
      <c r="G734" s="15" t="n">
        <f aca="false">E734-D734</f>
        <v>48752</v>
      </c>
      <c r="H734" s="15" t="n">
        <f aca="false">F734-D734</f>
        <v>351738</v>
      </c>
    </row>
    <row r="735" customFormat="false" ht="15" hidden="false" customHeight="false" outlineLevel="0" collapsed="false">
      <c r="A735" s="38" t="n">
        <v>46122</v>
      </c>
      <c r="B735" s="11" t="n">
        <v>7</v>
      </c>
      <c r="C735" s="38" t="n">
        <v>46167</v>
      </c>
      <c r="D735" s="15" t="n">
        <v>477111.93</v>
      </c>
      <c r="E735" s="15" t="n">
        <v>535689.93</v>
      </c>
      <c r="F735" s="15" t="n">
        <v>755579.93</v>
      </c>
      <c r="G735" s="15" t="n">
        <f aca="false">E735-D735</f>
        <v>58578.0000000001</v>
      </c>
      <c r="H735" s="15" t="n">
        <f aca="false">F735-D735</f>
        <v>278468</v>
      </c>
    </row>
    <row r="736" customFormat="false" ht="15" hidden="false" customHeight="false" outlineLevel="0" collapsed="false">
      <c r="A736" s="38" t="n">
        <v>46122</v>
      </c>
      <c r="B736" s="11" t="n">
        <v>8</v>
      </c>
      <c r="C736" s="38" t="n">
        <v>46174</v>
      </c>
      <c r="D736" s="15" t="n">
        <v>390148.54</v>
      </c>
      <c r="E736" s="15" t="n">
        <v>457022.54</v>
      </c>
      <c r="F736" s="15" t="n">
        <v>713570.54</v>
      </c>
      <c r="G736" s="15" t="n">
        <f aca="false">E736-D736</f>
        <v>66874</v>
      </c>
      <c r="H736" s="15" t="n">
        <f aca="false">F736-D736</f>
        <v>323422</v>
      </c>
    </row>
    <row r="737" customFormat="false" ht="15" hidden="false" customHeight="false" outlineLevel="0" collapsed="false">
      <c r="A737" s="38" t="n">
        <v>46122</v>
      </c>
      <c r="B737" s="11" t="n">
        <v>9</v>
      </c>
      <c r="C737" s="38" t="n">
        <v>46181</v>
      </c>
      <c r="D737" s="15" t="n">
        <v>531636.1</v>
      </c>
      <c r="E737" s="15" t="n">
        <v>541236.1</v>
      </c>
      <c r="F737" s="15" t="n">
        <v>796704.1</v>
      </c>
      <c r="G737" s="15" t="n">
        <f aca="false">E737-D737</f>
        <v>9600</v>
      </c>
      <c r="H737" s="15" t="n">
        <f aca="false">F737-D737</f>
        <v>265068</v>
      </c>
    </row>
    <row r="738" customFormat="false" ht="15" hidden="false" customHeight="false" outlineLevel="0" collapsed="false">
      <c r="A738" s="38" t="n">
        <v>46122</v>
      </c>
      <c r="B738" s="11" t="n">
        <v>10</v>
      </c>
      <c r="C738" s="38" t="n">
        <v>46188</v>
      </c>
      <c r="D738" s="15" t="n">
        <v>562687.11</v>
      </c>
      <c r="E738" s="15" t="n">
        <v>591295.11</v>
      </c>
      <c r="F738" s="15" t="n">
        <v>810043.11</v>
      </c>
      <c r="G738" s="15" t="n">
        <f aca="false">E738-D738</f>
        <v>28608</v>
      </c>
      <c r="H738" s="15" t="n">
        <f aca="false">F738-D738</f>
        <v>247356</v>
      </c>
    </row>
    <row r="739" customFormat="false" ht="15" hidden="false" customHeight="false" outlineLevel="0" collapsed="false">
      <c r="A739" s="38" t="n">
        <v>46122</v>
      </c>
      <c r="B739" s="11" t="n">
        <v>11</v>
      </c>
      <c r="C739" s="38" t="n">
        <v>46195</v>
      </c>
      <c r="D739" s="15" t="n">
        <v>471965.78</v>
      </c>
      <c r="E739" s="15" t="n">
        <v>521043.78</v>
      </c>
      <c r="F739" s="15" t="n">
        <v>715431.78</v>
      </c>
      <c r="G739" s="15" t="n">
        <f aca="false">E739-D739</f>
        <v>49078</v>
      </c>
      <c r="H739" s="15" t="n">
        <f aca="false">F739-D739</f>
        <v>243466</v>
      </c>
    </row>
    <row r="740" customFormat="false" ht="15" hidden="false" customHeight="false" outlineLevel="0" collapsed="false">
      <c r="A740" s="38" t="n">
        <v>46122</v>
      </c>
      <c r="B740" s="11" t="n">
        <v>12</v>
      </c>
      <c r="C740" s="38" t="n">
        <v>46202</v>
      </c>
      <c r="D740" s="15" t="n">
        <v>256731.64</v>
      </c>
      <c r="E740" s="15" t="n">
        <v>306987.64</v>
      </c>
      <c r="F740" s="15" t="n">
        <v>514459.64</v>
      </c>
      <c r="G740" s="15" t="n">
        <f aca="false">E740-D740</f>
        <v>50256</v>
      </c>
      <c r="H740" s="15" t="n">
        <f aca="false">F740-D740</f>
        <v>257728</v>
      </c>
    </row>
    <row r="741" customFormat="false" ht="15" hidden="false" customHeight="false" outlineLevel="0" collapsed="false">
      <c r="A741" s="38" t="n">
        <v>46122</v>
      </c>
      <c r="B741" s="11" t="n">
        <v>13</v>
      </c>
      <c r="C741" s="38" t="n">
        <v>46209</v>
      </c>
      <c r="D741" s="15" t="n">
        <v>275276.88</v>
      </c>
      <c r="E741" s="15" t="n">
        <v>374948.88</v>
      </c>
      <c r="F741" s="15" t="n">
        <v>594002.88</v>
      </c>
      <c r="G741" s="15" t="n">
        <f aca="false">E741-D741</f>
        <v>99672</v>
      </c>
      <c r="H741" s="15" t="n">
        <f aca="false">F741-D741</f>
        <v>318726</v>
      </c>
    </row>
    <row r="742" customFormat="false" ht="15" hidden="false" customHeight="false" outlineLevel="0" collapsed="false">
      <c r="A742" s="38" t="n">
        <v>46129</v>
      </c>
      <c r="B742" s="11" t="n">
        <v>1</v>
      </c>
      <c r="C742" s="38" t="n">
        <v>46132</v>
      </c>
      <c r="D742" s="15" t="n">
        <v>444316.96</v>
      </c>
      <c r="E742" s="15" t="n">
        <v>458308.96</v>
      </c>
      <c r="F742" s="15" t="n">
        <v>777340.96</v>
      </c>
      <c r="G742" s="15" t="n">
        <f aca="false">E742-D742</f>
        <v>13992</v>
      </c>
      <c r="H742" s="15" t="n">
        <f aca="false">F742-D742</f>
        <v>333024</v>
      </c>
    </row>
    <row r="743" customFormat="false" ht="15" hidden="false" customHeight="false" outlineLevel="0" collapsed="false">
      <c r="A743" s="38" t="n">
        <v>46129</v>
      </c>
      <c r="B743" s="11" t="n">
        <v>2</v>
      </c>
      <c r="C743" s="38" t="n">
        <v>46139</v>
      </c>
      <c r="D743" s="15" t="n">
        <v>422047.12</v>
      </c>
      <c r="E743" s="15" t="n">
        <v>511519.12</v>
      </c>
      <c r="F743" s="15" t="n">
        <v>742087.12</v>
      </c>
      <c r="G743" s="15" t="n">
        <f aca="false">E743-D743</f>
        <v>89472</v>
      </c>
      <c r="H743" s="15" t="n">
        <f aca="false">F743-D743</f>
        <v>320040</v>
      </c>
    </row>
    <row r="744" customFormat="false" ht="15" hidden="false" customHeight="false" outlineLevel="0" collapsed="false">
      <c r="A744" s="38" t="n">
        <v>46129</v>
      </c>
      <c r="B744" s="11" t="n">
        <v>3</v>
      </c>
      <c r="C744" s="38" t="n">
        <v>46146</v>
      </c>
      <c r="D744" s="15" t="n">
        <v>448506.02</v>
      </c>
      <c r="E744" s="15" t="n">
        <v>497094.02</v>
      </c>
      <c r="F744" s="15" t="n">
        <v>733054.02</v>
      </c>
      <c r="G744" s="15" t="n">
        <f aca="false">E744-D744</f>
        <v>48588</v>
      </c>
      <c r="H744" s="15" t="n">
        <f aca="false">F744-D744</f>
        <v>284548</v>
      </c>
    </row>
    <row r="745" customFormat="false" ht="15" hidden="false" customHeight="false" outlineLevel="0" collapsed="false">
      <c r="A745" s="38" t="n">
        <v>46129</v>
      </c>
      <c r="B745" s="11" t="n">
        <v>4</v>
      </c>
      <c r="C745" s="38" t="n">
        <v>46153</v>
      </c>
      <c r="D745" s="15" t="n">
        <v>444482.14</v>
      </c>
      <c r="E745" s="15" t="n">
        <v>471698.14</v>
      </c>
      <c r="F745" s="15" t="n">
        <v>621602.14</v>
      </c>
      <c r="G745" s="15" t="n">
        <f aca="false">E745-D745</f>
        <v>27216</v>
      </c>
      <c r="H745" s="15" t="n">
        <f aca="false">F745-D745</f>
        <v>177120</v>
      </c>
    </row>
    <row r="746" customFormat="false" ht="15" hidden="false" customHeight="false" outlineLevel="0" collapsed="false">
      <c r="A746" s="38" t="n">
        <v>46129</v>
      </c>
      <c r="B746" s="11" t="n">
        <v>5</v>
      </c>
      <c r="C746" s="38" t="n">
        <v>46160</v>
      </c>
      <c r="D746" s="15" t="n">
        <v>537889.28</v>
      </c>
      <c r="E746" s="15" t="n">
        <v>565089.28</v>
      </c>
      <c r="F746" s="15" t="n">
        <v>889627.28</v>
      </c>
      <c r="G746" s="15" t="n">
        <f aca="false">E746-D746</f>
        <v>27200</v>
      </c>
      <c r="H746" s="15" t="n">
        <f aca="false">F746-D746</f>
        <v>351738</v>
      </c>
    </row>
    <row r="747" customFormat="false" ht="15" hidden="false" customHeight="false" outlineLevel="0" collapsed="false">
      <c r="A747" s="38" t="n">
        <v>46129</v>
      </c>
      <c r="B747" s="11" t="n">
        <v>6</v>
      </c>
      <c r="C747" s="38" t="n">
        <v>46167</v>
      </c>
      <c r="D747" s="15" t="n">
        <v>477111.93</v>
      </c>
      <c r="E747" s="15" t="n">
        <v>535689.93</v>
      </c>
      <c r="F747" s="15" t="n">
        <v>755579.93</v>
      </c>
      <c r="G747" s="15" t="n">
        <f aca="false">E747-D747</f>
        <v>58578.0000000001</v>
      </c>
      <c r="H747" s="15" t="n">
        <f aca="false">F747-D747</f>
        <v>278468</v>
      </c>
    </row>
    <row r="748" customFormat="false" ht="15" hidden="false" customHeight="false" outlineLevel="0" collapsed="false">
      <c r="A748" s="38" t="n">
        <v>46129</v>
      </c>
      <c r="B748" s="11" t="n">
        <v>7</v>
      </c>
      <c r="C748" s="38" t="n">
        <v>46174</v>
      </c>
      <c r="D748" s="15" t="n">
        <v>390148.54</v>
      </c>
      <c r="E748" s="15" t="n">
        <v>457022.54</v>
      </c>
      <c r="F748" s="15" t="n">
        <v>713570.54</v>
      </c>
      <c r="G748" s="15" t="n">
        <f aca="false">E748-D748</f>
        <v>66874</v>
      </c>
      <c r="H748" s="15" t="n">
        <f aca="false">F748-D748</f>
        <v>323422</v>
      </c>
    </row>
    <row r="749" customFormat="false" ht="15" hidden="false" customHeight="false" outlineLevel="0" collapsed="false">
      <c r="A749" s="38" t="n">
        <v>46129</v>
      </c>
      <c r="B749" s="11" t="n">
        <v>8</v>
      </c>
      <c r="C749" s="38" t="n">
        <v>46181</v>
      </c>
      <c r="D749" s="15" t="n">
        <v>531636.1</v>
      </c>
      <c r="E749" s="15" t="n">
        <v>520860.1</v>
      </c>
      <c r="F749" s="15" t="n">
        <v>796704.1</v>
      </c>
      <c r="G749" s="15" t="n">
        <f aca="false">E749-D749</f>
        <v>-10776</v>
      </c>
      <c r="H749" s="15" t="n">
        <f aca="false">F749-D749</f>
        <v>265068</v>
      </c>
    </row>
    <row r="750" customFormat="false" ht="15" hidden="false" customHeight="false" outlineLevel="0" collapsed="false">
      <c r="A750" s="38" t="n">
        <v>46129</v>
      </c>
      <c r="B750" s="11" t="n">
        <v>9</v>
      </c>
      <c r="C750" s="38" t="n">
        <v>46188</v>
      </c>
      <c r="D750" s="15" t="n">
        <v>562687.11</v>
      </c>
      <c r="E750" s="15" t="n">
        <v>591295.11</v>
      </c>
      <c r="F750" s="15" t="n">
        <v>810043.11</v>
      </c>
      <c r="G750" s="15" t="n">
        <f aca="false">E750-D750</f>
        <v>28608</v>
      </c>
      <c r="H750" s="15" t="n">
        <f aca="false">F750-D750</f>
        <v>247356</v>
      </c>
    </row>
    <row r="751" customFormat="false" ht="15" hidden="false" customHeight="false" outlineLevel="0" collapsed="false">
      <c r="A751" s="38" t="n">
        <v>46129</v>
      </c>
      <c r="B751" s="11" t="n">
        <v>10</v>
      </c>
      <c r="C751" s="38" t="n">
        <v>46195</v>
      </c>
      <c r="D751" s="15" t="n">
        <v>471965.78</v>
      </c>
      <c r="E751" s="15" t="n">
        <v>521043.78</v>
      </c>
      <c r="F751" s="15" t="n">
        <v>715431.78</v>
      </c>
      <c r="G751" s="15" t="n">
        <f aca="false">E751-D751</f>
        <v>49078</v>
      </c>
      <c r="H751" s="15" t="n">
        <f aca="false">F751-D751</f>
        <v>243466</v>
      </c>
    </row>
    <row r="752" customFormat="false" ht="15" hidden="false" customHeight="false" outlineLevel="0" collapsed="false">
      <c r="A752" s="38" t="n">
        <v>46129</v>
      </c>
      <c r="B752" s="11" t="n">
        <v>11</v>
      </c>
      <c r="C752" s="38" t="n">
        <v>46202</v>
      </c>
      <c r="D752" s="15" t="n">
        <v>256731.64</v>
      </c>
      <c r="E752" s="15" t="n">
        <v>306987.64</v>
      </c>
      <c r="F752" s="15" t="n">
        <v>514459.64</v>
      </c>
      <c r="G752" s="15" t="n">
        <f aca="false">E752-D752</f>
        <v>50256</v>
      </c>
      <c r="H752" s="15" t="n">
        <f aca="false">F752-D752</f>
        <v>257728</v>
      </c>
    </row>
    <row r="753" customFormat="false" ht="15" hidden="false" customHeight="false" outlineLevel="0" collapsed="false">
      <c r="A753" s="38" t="n">
        <v>46129</v>
      </c>
      <c r="B753" s="11" t="n">
        <v>12</v>
      </c>
      <c r="C753" s="38" t="n">
        <v>46209</v>
      </c>
      <c r="D753" s="15" t="n">
        <v>275276.88</v>
      </c>
      <c r="E753" s="15" t="n">
        <v>367988.88</v>
      </c>
      <c r="F753" s="15" t="n">
        <v>594002.88</v>
      </c>
      <c r="G753" s="15" t="n">
        <f aca="false">E753-D753</f>
        <v>92712</v>
      </c>
      <c r="H753" s="15" t="n">
        <f aca="false">F753-D753</f>
        <v>318726</v>
      </c>
    </row>
    <row r="754" customFormat="false" ht="15" hidden="false" customHeight="false" outlineLevel="0" collapsed="false">
      <c r="A754" s="38" t="n">
        <v>46129</v>
      </c>
      <c r="B754" s="11" t="n">
        <v>13</v>
      </c>
      <c r="C754" s="38" t="n">
        <v>46216</v>
      </c>
      <c r="D754" s="15" t="n">
        <v>214669.58</v>
      </c>
      <c r="E754" s="15" t="n">
        <v>313761.58</v>
      </c>
      <c r="F754" s="15" t="n">
        <v>545575.58</v>
      </c>
      <c r="G754" s="15" t="n">
        <f aca="false">E754-D754</f>
        <v>99092</v>
      </c>
      <c r="H754" s="15" t="n">
        <f aca="false">F754-D754</f>
        <v>330906</v>
      </c>
    </row>
    <row r="755" customFormat="false" ht="15" hidden="false" customHeight="false" outlineLevel="0" collapsed="false">
      <c r="A755" s="38" t="n">
        <v>46136</v>
      </c>
      <c r="B755" s="11" t="n">
        <v>1</v>
      </c>
      <c r="C755" s="38" t="n">
        <v>46139</v>
      </c>
      <c r="D755" s="15" t="n">
        <v>422047.12</v>
      </c>
      <c r="E755" s="15" t="n">
        <v>389119.12</v>
      </c>
      <c r="F755" s="15" t="n">
        <v>742087.12</v>
      </c>
      <c r="G755" s="15" t="n">
        <f aca="false">E755-D755</f>
        <v>-32928</v>
      </c>
      <c r="H755" s="15" t="n">
        <f aca="false">F755-D755</f>
        <v>320040</v>
      </c>
    </row>
    <row r="756" customFormat="false" ht="15" hidden="false" customHeight="false" outlineLevel="0" collapsed="false">
      <c r="A756" s="38" t="n">
        <v>46136</v>
      </c>
      <c r="B756" s="11" t="n">
        <v>2</v>
      </c>
      <c r="C756" s="38" t="n">
        <v>46146</v>
      </c>
      <c r="D756" s="15" t="n">
        <v>448506.02</v>
      </c>
      <c r="E756" s="15" t="n">
        <v>497094.02</v>
      </c>
      <c r="F756" s="15" t="n">
        <v>733054.02</v>
      </c>
      <c r="G756" s="15" t="n">
        <f aca="false">E756-D756</f>
        <v>48588</v>
      </c>
      <c r="H756" s="15" t="n">
        <f aca="false">F756-D756</f>
        <v>284548</v>
      </c>
    </row>
    <row r="757" customFormat="false" ht="15" hidden="false" customHeight="false" outlineLevel="0" collapsed="false">
      <c r="A757" s="38" t="n">
        <v>46136</v>
      </c>
      <c r="B757" s="11" t="n">
        <v>3</v>
      </c>
      <c r="C757" s="38" t="n">
        <v>46153</v>
      </c>
      <c r="D757" s="15" t="n">
        <v>444482.14</v>
      </c>
      <c r="E757" s="15" t="n">
        <v>471698.14</v>
      </c>
      <c r="F757" s="15" t="n">
        <v>621602.14</v>
      </c>
      <c r="G757" s="15" t="n">
        <f aca="false">E757-D757</f>
        <v>27216</v>
      </c>
      <c r="H757" s="15" t="n">
        <f aca="false">F757-D757</f>
        <v>177120</v>
      </c>
    </row>
    <row r="758" customFormat="false" ht="15" hidden="false" customHeight="false" outlineLevel="0" collapsed="false">
      <c r="A758" s="38" t="n">
        <v>46136</v>
      </c>
      <c r="B758" s="11" t="n">
        <v>4</v>
      </c>
      <c r="C758" s="38" t="n">
        <v>46160</v>
      </c>
      <c r="D758" s="15" t="n">
        <v>537889.28</v>
      </c>
      <c r="E758" s="15" t="n">
        <v>565089.28</v>
      </c>
      <c r="F758" s="15" t="n">
        <v>889627.28</v>
      </c>
      <c r="G758" s="15" t="n">
        <f aca="false">E758-D758</f>
        <v>27200</v>
      </c>
      <c r="H758" s="15" t="n">
        <f aca="false">F758-D758</f>
        <v>351738</v>
      </c>
    </row>
    <row r="759" customFormat="false" ht="15" hidden="false" customHeight="false" outlineLevel="0" collapsed="false">
      <c r="A759" s="38" t="n">
        <v>46136</v>
      </c>
      <c r="B759" s="11" t="n">
        <v>5</v>
      </c>
      <c r="C759" s="38" t="n">
        <v>46167</v>
      </c>
      <c r="D759" s="15" t="n">
        <v>477111.93</v>
      </c>
      <c r="E759" s="15" t="n">
        <v>535689.93</v>
      </c>
      <c r="F759" s="15" t="n">
        <v>755579.93</v>
      </c>
      <c r="G759" s="15" t="n">
        <f aca="false">E759-D759</f>
        <v>58578.0000000001</v>
      </c>
      <c r="H759" s="15" t="n">
        <f aca="false">F759-D759</f>
        <v>278468</v>
      </c>
    </row>
    <row r="760" customFormat="false" ht="15" hidden="false" customHeight="false" outlineLevel="0" collapsed="false">
      <c r="A760" s="38" t="n">
        <v>46136</v>
      </c>
      <c r="B760" s="11" t="n">
        <v>6</v>
      </c>
      <c r="C760" s="38" t="n">
        <v>46174</v>
      </c>
      <c r="D760" s="15" t="n">
        <v>390148.54</v>
      </c>
      <c r="E760" s="15" t="n">
        <v>457022.54</v>
      </c>
      <c r="F760" s="15" t="n">
        <v>713570.54</v>
      </c>
      <c r="G760" s="15" t="n">
        <f aca="false">E760-D760</f>
        <v>66874</v>
      </c>
      <c r="H760" s="15" t="n">
        <f aca="false">F760-D760</f>
        <v>323422</v>
      </c>
    </row>
    <row r="761" customFormat="false" ht="15" hidden="false" customHeight="false" outlineLevel="0" collapsed="false">
      <c r="A761" s="38" t="n">
        <v>46136</v>
      </c>
      <c r="B761" s="11" t="n">
        <v>7</v>
      </c>
      <c r="C761" s="38" t="n">
        <v>46181</v>
      </c>
      <c r="D761" s="15" t="n">
        <v>531636.1</v>
      </c>
      <c r="E761" s="15" t="n">
        <v>520860.1</v>
      </c>
      <c r="F761" s="15" t="n">
        <v>796704.1</v>
      </c>
      <c r="G761" s="15" t="n">
        <f aca="false">E761-D761</f>
        <v>-10776</v>
      </c>
      <c r="H761" s="15" t="n">
        <f aca="false">F761-D761</f>
        <v>265068</v>
      </c>
    </row>
    <row r="762" customFormat="false" ht="15" hidden="false" customHeight="false" outlineLevel="0" collapsed="false">
      <c r="A762" s="38" t="n">
        <v>46136</v>
      </c>
      <c r="B762" s="11" t="n">
        <v>8</v>
      </c>
      <c r="C762" s="38" t="n">
        <v>46188</v>
      </c>
      <c r="D762" s="15" t="n">
        <v>562687.11</v>
      </c>
      <c r="E762" s="15" t="n">
        <v>591295.11</v>
      </c>
      <c r="F762" s="15" t="n">
        <v>810043.11</v>
      </c>
      <c r="G762" s="15" t="n">
        <f aca="false">E762-D762</f>
        <v>28608</v>
      </c>
      <c r="H762" s="15" t="n">
        <f aca="false">F762-D762</f>
        <v>247356</v>
      </c>
    </row>
    <row r="763" customFormat="false" ht="15" hidden="false" customHeight="false" outlineLevel="0" collapsed="false">
      <c r="A763" s="38" t="n">
        <v>46136</v>
      </c>
      <c r="B763" s="11" t="n">
        <v>9</v>
      </c>
      <c r="C763" s="38" t="n">
        <v>46195</v>
      </c>
      <c r="D763" s="15" t="n">
        <v>471965.78</v>
      </c>
      <c r="E763" s="15" t="n">
        <v>521043.78</v>
      </c>
      <c r="F763" s="15" t="n">
        <v>715431.78</v>
      </c>
      <c r="G763" s="15" t="n">
        <f aca="false">E763-D763</f>
        <v>49078</v>
      </c>
      <c r="H763" s="15" t="n">
        <f aca="false">F763-D763</f>
        <v>243466</v>
      </c>
    </row>
    <row r="764" customFormat="false" ht="15" hidden="false" customHeight="false" outlineLevel="0" collapsed="false">
      <c r="A764" s="38" t="n">
        <v>46136</v>
      </c>
      <c r="B764" s="11" t="n">
        <v>10</v>
      </c>
      <c r="C764" s="38" t="n">
        <v>46202</v>
      </c>
      <c r="D764" s="15" t="n">
        <v>256731.64</v>
      </c>
      <c r="E764" s="15" t="n">
        <v>306987.64</v>
      </c>
      <c r="F764" s="15" t="n">
        <v>514459.64</v>
      </c>
      <c r="G764" s="15" t="n">
        <f aca="false">E764-D764</f>
        <v>50256</v>
      </c>
      <c r="H764" s="15" t="n">
        <f aca="false">F764-D764</f>
        <v>257728</v>
      </c>
    </row>
    <row r="765" customFormat="false" ht="15" hidden="false" customHeight="false" outlineLevel="0" collapsed="false">
      <c r="A765" s="38" t="n">
        <v>46136</v>
      </c>
      <c r="B765" s="11" t="n">
        <v>11</v>
      </c>
      <c r="C765" s="38" t="n">
        <v>46209</v>
      </c>
      <c r="D765" s="15" t="n">
        <v>275276.88</v>
      </c>
      <c r="E765" s="15" t="n">
        <v>367988.88</v>
      </c>
      <c r="F765" s="15" t="n">
        <v>594002.88</v>
      </c>
      <c r="G765" s="15" t="n">
        <f aca="false">E765-D765</f>
        <v>92712</v>
      </c>
      <c r="H765" s="15" t="n">
        <f aca="false">F765-D765</f>
        <v>318726</v>
      </c>
    </row>
    <row r="766" customFormat="false" ht="15" hidden="false" customHeight="false" outlineLevel="0" collapsed="false">
      <c r="A766" s="38" t="n">
        <v>46136</v>
      </c>
      <c r="B766" s="11" t="n">
        <v>12</v>
      </c>
      <c r="C766" s="38" t="n">
        <v>46216</v>
      </c>
      <c r="D766" s="15" t="n">
        <v>214669.58</v>
      </c>
      <c r="E766" s="15" t="n">
        <v>313761.58</v>
      </c>
      <c r="F766" s="15" t="n">
        <v>545575.58</v>
      </c>
      <c r="G766" s="15" t="n">
        <f aca="false">E766-D766</f>
        <v>99092</v>
      </c>
      <c r="H766" s="15" t="n">
        <f aca="false">F766-D766</f>
        <v>330906</v>
      </c>
    </row>
    <row r="767" customFormat="false" ht="15" hidden="false" customHeight="false" outlineLevel="0" collapsed="false">
      <c r="A767" s="38" t="n">
        <v>46136</v>
      </c>
      <c r="B767" s="11" t="n">
        <v>13</v>
      </c>
      <c r="C767" s="38" t="n">
        <v>46223</v>
      </c>
      <c r="D767" s="15" t="n">
        <v>251310.86</v>
      </c>
      <c r="E767" s="15" t="n">
        <v>334086.86</v>
      </c>
      <c r="F767" s="15" t="n">
        <v>591090.86</v>
      </c>
      <c r="G767" s="15" t="n">
        <f aca="false">E767-D767</f>
        <v>82776</v>
      </c>
      <c r="H767" s="15" t="n">
        <f aca="false">F767-D767</f>
        <v>339780</v>
      </c>
    </row>
    <row r="768" customFormat="false" ht="15" hidden="false" customHeight="false" outlineLevel="0" collapsed="false">
      <c r="A768" s="38" t="n">
        <v>46143</v>
      </c>
      <c r="B768" s="11" t="n">
        <v>1</v>
      </c>
      <c r="C768" s="38" t="n">
        <v>46146</v>
      </c>
      <c r="D768" s="15" t="n">
        <v>448506.02</v>
      </c>
      <c r="E768" s="15" t="n">
        <v>417246.02</v>
      </c>
      <c r="F768" s="15" t="n">
        <v>733054.02</v>
      </c>
      <c r="G768" s="15" t="n">
        <f aca="false">E768-D768</f>
        <v>-31260</v>
      </c>
      <c r="H768" s="15" t="n">
        <f aca="false">F768-D768</f>
        <v>284548</v>
      </c>
    </row>
    <row r="769" customFormat="false" ht="15" hidden="false" customHeight="false" outlineLevel="0" collapsed="false">
      <c r="A769" s="38" t="n">
        <v>46143</v>
      </c>
      <c r="B769" s="11" t="n">
        <v>2</v>
      </c>
      <c r="C769" s="38" t="n">
        <v>46153</v>
      </c>
      <c r="D769" s="15" t="n">
        <v>444482.14</v>
      </c>
      <c r="E769" s="15" t="n">
        <v>456530.14</v>
      </c>
      <c r="F769" s="15" t="n">
        <v>621602.14</v>
      </c>
      <c r="G769" s="15" t="n">
        <f aca="false">E769-D769</f>
        <v>12048</v>
      </c>
      <c r="H769" s="15" t="n">
        <f aca="false">F769-D769</f>
        <v>177120</v>
      </c>
    </row>
    <row r="770" customFormat="false" ht="15" hidden="false" customHeight="false" outlineLevel="0" collapsed="false">
      <c r="A770" s="38" t="n">
        <v>46143</v>
      </c>
      <c r="B770" s="11" t="n">
        <v>3</v>
      </c>
      <c r="C770" s="38" t="n">
        <v>46160</v>
      </c>
      <c r="D770" s="15" t="n">
        <v>537889.28</v>
      </c>
      <c r="E770" s="15" t="n">
        <v>565089.28</v>
      </c>
      <c r="F770" s="15" t="n">
        <v>889627.28</v>
      </c>
      <c r="G770" s="15" t="n">
        <f aca="false">E770-D770</f>
        <v>27200</v>
      </c>
      <c r="H770" s="15" t="n">
        <f aca="false">F770-D770</f>
        <v>351738</v>
      </c>
    </row>
    <row r="771" customFormat="false" ht="15" hidden="false" customHeight="false" outlineLevel="0" collapsed="false">
      <c r="A771" s="38" t="n">
        <v>46143</v>
      </c>
      <c r="B771" s="11" t="n">
        <v>4</v>
      </c>
      <c r="C771" s="38" t="n">
        <v>46167</v>
      </c>
      <c r="D771" s="15" t="n">
        <v>477111.93</v>
      </c>
      <c r="E771" s="15" t="n">
        <v>535689.93</v>
      </c>
      <c r="F771" s="15" t="n">
        <v>755579.93</v>
      </c>
      <c r="G771" s="15" t="n">
        <f aca="false">E771-D771</f>
        <v>58578.0000000001</v>
      </c>
      <c r="H771" s="15" t="n">
        <f aca="false">F771-D771</f>
        <v>278468</v>
      </c>
    </row>
    <row r="772" customFormat="false" ht="15" hidden="false" customHeight="false" outlineLevel="0" collapsed="false">
      <c r="A772" s="38" t="n">
        <v>46143</v>
      </c>
      <c r="B772" s="11" t="n">
        <v>5</v>
      </c>
      <c r="C772" s="38" t="n">
        <v>46174</v>
      </c>
      <c r="D772" s="15" t="n">
        <v>390148.54</v>
      </c>
      <c r="E772" s="15" t="n">
        <v>457022.54</v>
      </c>
      <c r="F772" s="15" t="n">
        <v>713570.54</v>
      </c>
      <c r="G772" s="15" t="n">
        <f aca="false">E772-D772</f>
        <v>66874</v>
      </c>
      <c r="H772" s="15" t="n">
        <f aca="false">F772-D772</f>
        <v>323422</v>
      </c>
    </row>
    <row r="773" customFormat="false" ht="15" hidden="false" customHeight="false" outlineLevel="0" collapsed="false">
      <c r="A773" s="38" t="n">
        <v>46143</v>
      </c>
      <c r="B773" s="11" t="n">
        <v>6</v>
      </c>
      <c r="C773" s="38" t="n">
        <v>46181</v>
      </c>
      <c r="D773" s="15" t="n">
        <v>531636.1</v>
      </c>
      <c r="E773" s="15" t="n">
        <v>520860.1</v>
      </c>
      <c r="F773" s="15" t="n">
        <v>796704.1</v>
      </c>
      <c r="G773" s="15" t="n">
        <f aca="false">E773-D773</f>
        <v>-10776</v>
      </c>
      <c r="H773" s="15" t="n">
        <f aca="false">F773-D773</f>
        <v>265068</v>
      </c>
    </row>
    <row r="774" customFormat="false" ht="15" hidden="false" customHeight="false" outlineLevel="0" collapsed="false">
      <c r="A774" s="38" t="n">
        <v>46143</v>
      </c>
      <c r="B774" s="11" t="n">
        <v>7</v>
      </c>
      <c r="C774" s="38" t="n">
        <v>46188</v>
      </c>
      <c r="D774" s="15" t="n">
        <v>562687.11</v>
      </c>
      <c r="E774" s="15" t="n">
        <v>591295.11</v>
      </c>
      <c r="F774" s="15" t="n">
        <v>810043.11</v>
      </c>
      <c r="G774" s="15" t="n">
        <f aca="false">E774-D774</f>
        <v>28608</v>
      </c>
      <c r="H774" s="15" t="n">
        <f aca="false">F774-D774</f>
        <v>247356</v>
      </c>
    </row>
    <row r="775" customFormat="false" ht="15" hidden="false" customHeight="false" outlineLevel="0" collapsed="false">
      <c r="A775" s="38" t="n">
        <v>46143</v>
      </c>
      <c r="B775" s="11" t="n">
        <v>8</v>
      </c>
      <c r="C775" s="38" t="n">
        <v>46195</v>
      </c>
      <c r="D775" s="15" t="n">
        <v>471965.78</v>
      </c>
      <c r="E775" s="15" t="n">
        <v>521043.78</v>
      </c>
      <c r="F775" s="15" t="n">
        <v>715431.78</v>
      </c>
      <c r="G775" s="15" t="n">
        <f aca="false">E775-D775</f>
        <v>49078</v>
      </c>
      <c r="H775" s="15" t="n">
        <f aca="false">F775-D775</f>
        <v>243466</v>
      </c>
    </row>
    <row r="776" customFormat="false" ht="15" hidden="false" customHeight="false" outlineLevel="0" collapsed="false">
      <c r="A776" s="38" t="n">
        <v>46143</v>
      </c>
      <c r="B776" s="11" t="n">
        <v>9</v>
      </c>
      <c r="C776" s="38" t="n">
        <v>46202</v>
      </c>
      <c r="D776" s="15" t="n">
        <v>256731.64</v>
      </c>
      <c r="E776" s="15" t="n">
        <v>306987.64</v>
      </c>
      <c r="F776" s="15" t="n">
        <v>514459.64</v>
      </c>
      <c r="G776" s="15" t="n">
        <f aca="false">E776-D776</f>
        <v>50256</v>
      </c>
      <c r="H776" s="15" t="n">
        <f aca="false">F776-D776</f>
        <v>257728</v>
      </c>
    </row>
    <row r="777" customFormat="false" ht="15" hidden="false" customHeight="false" outlineLevel="0" collapsed="false">
      <c r="A777" s="38" t="n">
        <v>46143</v>
      </c>
      <c r="B777" s="11" t="n">
        <v>10</v>
      </c>
      <c r="C777" s="38" t="n">
        <v>46209</v>
      </c>
      <c r="D777" s="15" t="n">
        <v>275276.88</v>
      </c>
      <c r="E777" s="15" t="n">
        <v>374948.88</v>
      </c>
      <c r="F777" s="15" t="n">
        <v>594002.88</v>
      </c>
      <c r="G777" s="15" t="n">
        <f aca="false">E777-D777</f>
        <v>99672</v>
      </c>
      <c r="H777" s="15" t="n">
        <f aca="false">F777-D777</f>
        <v>318726</v>
      </c>
    </row>
    <row r="778" customFormat="false" ht="15" hidden="false" customHeight="false" outlineLevel="0" collapsed="false">
      <c r="A778" s="38" t="n">
        <v>46143</v>
      </c>
      <c r="B778" s="11" t="n">
        <v>11</v>
      </c>
      <c r="C778" s="38" t="n">
        <v>46216</v>
      </c>
      <c r="D778" s="15" t="n">
        <v>214669.58</v>
      </c>
      <c r="E778" s="15" t="n">
        <v>313761.58</v>
      </c>
      <c r="F778" s="15" t="n">
        <v>545575.58</v>
      </c>
      <c r="G778" s="15" t="n">
        <f aca="false">E778-D778</f>
        <v>99092</v>
      </c>
      <c r="H778" s="15" t="n">
        <f aca="false">F778-D778</f>
        <v>330906</v>
      </c>
    </row>
    <row r="779" customFormat="false" ht="15" hidden="false" customHeight="false" outlineLevel="0" collapsed="false">
      <c r="A779" s="38" t="n">
        <v>46143</v>
      </c>
      <c r="B779" s="11" t="n">
        <v>12</v>
      </c>
      <c r="C779" s="38" t="n">
        <v>46223</v>
      </c>
      <c r="D779" s="15" t="n">
        <v>251310.86</v>
      </c>
      <c r="E779" s="15" t="n">
        <v>334086.86</v>
      </c>
      <c r="F779" s="15" t="n">
        <v>591090.86</v>
      </c>
      <c r="G779" s="15" t="n">
        <f aca="false">E779-D779</f>
        <v>82776</v>
      </c>
      <c r="H779" s="15" t="n">
        <f aca="false">F779-D779</f>
        <v>339780</v>
      </c>
    </row>
    <row r="780" customFormat="false" ht="15" hidden="false" customHeight="false" outlineLevel="0" collapsed="false">
      <c r="A780" s="38" t="n">
        <v>46143</v>
      </c>
      <c r="B780" s="11" t="n">
        <v>13</v>
      </c>
      <c r="C780" s="38" t="n">
        <v>46230</v>
      </c>
      <c r="D780" s="15" t="n">
        <v>147866.27</v>
      </c>
      <c r="E780" s="15" t="n">
        <v>223406.27</v>
      </c>
      <c r="F780" s="15" t="n">
        <v>643862.27</v>
      </c>
      <c r="G780" s="15" t="n">
        <f aca="false">E780-D780</f>
        <v>75540</v>
      </c>
      <c r="H780" s="15" t="n">
        <f aca="false">F780-D780</f>
        <v>495996</v>
      </c>
    </row>
    <row r="781" customFormat="false" ht="15" hidden="false" customHeight="false" outlineLevel="0" collapsed="false">
      <c r="A781" s="38" t="n">
        <v>46150</v>
      </c>
      <c r="B781" s="11" t="n">
        <v>1</v>
      </c>
      <c r="C781" s="38" t="n">
        <v>46153</v>
      </c>
      <c r="D781" s="15" t="n">
        <v>444482.14</v>
      </c>
      <c r="E781" s="15" t="n">
        <v>431378.14</v>
      </c>
      <c r="F781" s="15" t="n">
        <v>621602.14</v>
      </c>
      <c r="G781" s="15" t="n">
        <f aca="false">E781-D781</f>
        <v>-13104</v>
      </c>
      <c r="H781" s="15" t="n">
        <f aca="false">F781-D781</f>
        <v>177120</v>
      </c>
    </row>
    <row r="782" customFormat="false" ht="15" hidden="false" customHeight="false" outlineLevel="0" collapsed="false">
      <c r="A782" s="38" t="n">
        <v>46150</v>
      </c>
      <c r="B782" s="11" t="n">
        <v>2</v>
      </c>
      <c r="C782" s="38" t="n">
        <v>46160</v>
      </c>
      <c r="D782" s="15" t="n">
        <v>537889.28</v>
      </c>
      <c r="E782" s="15" t="n">
        <v>576465.28</v>
      </c>
      <c r="F782" s="15" t="n">
        <v>889627.28</v>
      </c>
      <c r="G782" s="15" t="n">
        <f aca="false">E782-D782</f>
        <v>38576</v>
      </c>
      <c r="H782" s="15" t="n">
        <f aca="false">F782-D782</f>
        <v>351738</v>
      </c>
    </row>
    <row r="783" customFormat="false" ht="15" hidden="false" customHeight="false" outlineLevel="0" collapsed="false">
      <c r="A783" s="38" t="n">
        <v>46150</v>
      </c>
      <c r="B783" s="11" t="n">
        <v>3</v>
      </c>
      <c r="C783" s="38" t="n">
        <v>46167</v>
      </c>
      <c r="D783" s="15" t="n">
        <v>477111.93</v>
      </c>
      <c r="E783" s="15" t="n">
        <v>535689.93</v>
      </c>
      <c r="F783" s="15" t="n">
        <v>755579.93</v>
      </c>
      <c r="G783" s="15" t="n">
        <f aca="false">E783-D783</f>
        <v>58578.0000000001</v>
      </c>
      <c r="H783" s="15" t="n">
        <f aca="false">F783-D783</f>
        <v>278468</v>
      </c>
    </row>
    <row r="784" customFormat="false" ht="15" hidden="false" customHeight="false" outlineLevel="0" collapsed="false">
      <c r="A784" s="38" t="n">
        <v>46150</v>
      </c>
      <c r="B784" s="11" t="n">
        <v>4</v>
      </c>
      <c r="C784" s="38" t="n">
        <v>46174</v>
      </c>
      <c r="D784" s="15" t="n">
        <v>390148.54</v>
      </c>
      <c r="E784" s="15" t="n">
        <v>457022.54</v>
      </c>
      <c r="F784" s="15" t="n">
        <v>713570.54</v>
      </c>
      <c r="G784" s="15" t="n">
        <f aca="false">E784-D784</f>
        <v>66874</v>
      </c>
      <c r="H784" s="15" t="n">
        <f aca="false">F784-D784</f>
        <v>323422</v>
      </c>
    </row>
    <row r="785" customFormat="false" ht="15" hidden="false" customHeight="false" outlineLevel="0" collapsed="false">
      <c r="A785" s="38" t="n">
        <v>46150</v>
      </c>
      <c r="B785" s="11" t="n">
        <v>5</v>
      </c>
      <c r="C785" s="38" t="n">
        <v>46181</v>
      </c>
      <c r="D785" s="15" t="n">
        <v>531636.1</v>
      </c>
      <c r="E785" s="15" t="n">
        <v>541236.1</v>
      </c>
      <c r="F785" s="15" t="n">
        <v>796704.1</v>
      </c>
      <c r="G785" s="15" t="n">
        <f aca="false">E785-D785</f>
        <v>9600</v>
      </c>
      <c r="H785" s="15" t="n">
        <f aca="false">F785-D785</f>
        <v>265068</v>
      </c>
    </row>
    <row r="786" customFormat="false" ht="15" hidden="false" customHeight="false" outlineLevel="0" collapsed="false">
      <c r="A786" s="38" t="n">
        <v>46150</v>
      </c>
      <c r="B786" s="11" t="n">
        <v>6</v>
      </c>
      <c r="C786" s="38" t="n">
        <v>46188</v>
      </c>
      <c r="D786" s="15" t="n">
        <v>562687.11</v>
      </c>
      <c r="E786" s="15" t="n">
        <v>591295.11</v>
      </c>
      <c r="F786" s="15" t="n">
        <v>810043.11</v>
      </c>
      <c r="G786" s="15" t="n">
        <f aca="false">E786-D786</f>
        <v>28608</v>
      </c>
      <c r="H786" s="15" t="n">
        <f aca="false">F786-D786</f>
        <v>247356</v>
      </c>
    </row>
    <row r="787" customFormat="false" ht="15" hidden="false" customHeight="false" outlineLevel="0" collapsed="false">
      <c r="A787" s="38" t="n">
        <v>46150</v>
      </c>
      <c r="B787" s="11" t="n">
        <v>7</v>
      </c>
      <c r="C787" s="38" t="n">
        <v>46195</v>
      </c>
      <c r="D787" s="15" t="n">
        <v>471965.78</v>
      </c>
      <c r="E787" s="15" t="n">
        <v>521043.78</v>
      </c>
      <c r="F787" s="15" t="n">
        <v>715431.78</v>
      </c>
      <c r="G787" s="15" t="n">
        <f aca="false">E787-D787</f>
        <v>49078</v>
      </c>
      <c r="H787" s="15" t="n">
        <f aca="false">F787-D787</f>
        <v>243466</v>
      </c>
    </row>
    <row r="788" customFormat="false" ht="15" hidden="false" customHeight="false" outlineLevel="0" collapsed="false">
      <c r="A788" s="38" t="n">
        <v>46150</v>
      </c>
      <c r="B788" s="11" t="n">
        <v>8</v>
      </c>
      <c r="C788" s="38" t="n">
        <v>46202</v>
      </c>
      <c r="D788" s="15" t="n">
        <v>256731.64</v>
      </c>
      <c r="E788" s="15" t="n">
        <v>306987.64</v>
      </c>
      <c r="F788" s="15" t="n">
        <v>514459.64</v>
      </c>
      <c r="G788" s="15" t="n">
        <f aca="false">E788-D788</f>
        <v>50256</v>
      </c>
      <c r="H788" s="15" t="n">
        <f aca="false">F788-D788</f>
        <v>257728</v>
      </c>
    </row>
    <row r="789" customFormat="false" ht="15" hidden="false" customHeight="false" outlineLevel="0" collapsed="false">
      <c r="A789" s="38" t="n">
        <v>46150</v>
      </c>
      <c r="B789" s="11" t="n">
        <v>9</v>
      </c>
      <c r="C789" s="38" t="n">
        <v>46209</v>
      </c>
      <c r="D789" s="15" t="n">
        <v>275276.88</v>
      </c>
      <c r="E789" s="15" t="n">
        <v>367988.88</v>
      </c>
      <c r="F789" s="15" t="n">
        <v>594002.88</v>
      </c>
      <c r="G789" s="15" t="n">
        <f aca="false">E789-D789</f>
        <v>92712</v>
      </c>
      <c r="H789" s="15" t="n">
        <f aca="false">F789-D789</f>
        <v>318726</v>
      </c>
    </row>
    <row r="790" customFormat="false" ht="15" hidden="false" customHeight="false" outlineLevel="0" collapsed="false">
      <c r="A790" s="38" t="n">
        <v>46150</v>
      </c>
      <c r="B790" s="11" t="n">
        <v>10</v>
      </c>
      <c r="C790" s="38" t="n">
        <v>46216</v>
      </c>
      <c r="D790" s="15" t="n">
        <v>214669.58</v>
      </c>
      <c r="E790" s="15" t="n">
        <v>313761.58</v>
      </c>
      <c r="F790" s="15" t="n">
        <v>545575.58</v>
      </c>
      <c r="G790" s="15" t="n">
        <f aca="false">E790-D790</f>
        <v>99092</v>
      </c>
      <c r="H790" s="15" t="n">
        <f aca="false">F790-D790</f>
        <v>330906</v>
      </c>
    </row>
    <row r="791" customFormat="false" ht="15" hidden="false" customHeight="false" outlineLevel="0" collapsed="false">
      <c r="A791" s="38" t="n">
        <v>46150</v>
      </c>
      <c r="B791" s="11" t="n">
        <v>11</v>
      </c>
      <c r="C791" s="38" t="n">
        <v>46223</v>
      </c>
      <c r="D791" s="15" t="n">
        <v>251310.86</v>
      </c>
      <c r="E791" s="15" t="n">
        <v>334086.86</v>
      </c>
      <c r="F791" s="15" t="n">
        <v>591090.86</v>
      </c>
      <c r="G791" s="15" t="n">
        <f aca="false">E791-D791</f>
        <v>82776</v>
      </c>
      <c r="H791" s="15" t="n">
        <f aca="false">F791-D791</f>
        <v>339780</v>
      </c>
    </row>
    <row r="792" customFormat="false" ht="15" hidden="false" customHeight="false" outlineLevel="0" collapsed="false">
      <c r="A792" s="38" t="n">
        <v>46150</v>
      </c>
      <c r="B792" s="11" t="n">
        <v>12</v>
      </c>
      <c r="C792" s="38" t="n">
        <v>46230</v>
      </c>
      <c r="D792" s="15" t="n">
        <v>147866.27</v>
      </c>
      <c r="E792" s="15" t="n">
        <v>223406.27</v>
      </c>
      <c r="F792" s="15" t="n">
        <v>643862.27</v>
      </c>
      <c r="G792" s="15" t="n">
        <f aca="false">E792-D792</f>
        <v>75540</v>
      </c>
      <c r="H792" s="15" t="n">
        <f aca="false">F792-D792</f>
        <v>495996</v>
      </c>
    </row>
    <row r="793" customFormat="false" ht="15" hidden="false" customHeight="false" outlineLevel="0" collapsed="false">
      <c r="A793" s="38" t="n">
        <v>46150</v>
      </c>
      <c r="B793" s="11" t="n">
        <v>13</v>
      </c>
      <c r="C793" s="38" t="n">
        <v>46237</v>
      </c>
      <c r="D793" s="15" t="n">
        <v>264300.23</v>
      </c>
      <c r="E793" s="15" t="n">
        <v>346320.23</v>
      </c>
      <c r="F793" s="15" t="n">
        <v>684648.23</v>
      </c>
      <c r="G793" s="15" t="n">
        <f aca="false">E793-D793</f>
        <v>82020</v>
      </c>
      <c r="H793" s="15" t="n">
        <f aca="false">F793-D793</f>
        <v>420348</v>
      </c>
    </row>
    <row r="794" customFormat="false" ht="15" hidden="false" customHeight="false" outlineLevel="0" collapsed="false">
      <c r="A794" s="38" t="n">
        <v>46157</v>
      </c>
      <c r="B794" s="11" t="n">
        <v>1</v>
      </c>
      <c r="C794" s="38" t="n">
        <v>46160</v>
      </c>
      <c r="D794" s="15" t="n">
        <v>537889.28</v>
      </c>
      <c r="E794" s="15" t="n">
        <v>531477.28</v>
      </c>
      <c r="F794" s="15" t="n">
        <v>889627.28</v>
      </c>
      <c r="G794" s="15" t="n">
        <f aca="false">E794-D794</f>
        <v>-6412</v>
      </c>
      <c r="H794" s="15" t="n">
        <f aca="false">F794-D794</f>
        <v>351738</v>
      </c>
    </row>
    <row r="795" customFormat="false" ht="15" hidden="false" customHeight="false" outlineLevel="0" collapsed="false">
      <c r="A795" s="38" t="n">
        <v>46157</v>
      </c>
      <c r="B795" s="11" t="n">
        <v>2</v>
      </c>
      <c r="C795" s="38" t="n">
        <v>46167</v>
      </c>
      <c r="D795" s="15" t="n">
        <v>477111.93</v>
      </c>
      <c r="E795" s="15" t="n">
        <v>535689.93</v>
      </c>
      <c r="F795" s="15" t="n">
        <v>755579.93</v>
      </c>
      <c r="G795" s="15" t="n">
        <f aca="false">E795-D795</f>
        <v>58578.0000000001</v>
      </c>
      <c r="H795" s="15" t="n">
        <f aca="false">F795-D795</f>
        <v>278468</v>
      </c>
    </row>
    <row r="796" customFormat="false" ht="15" hidden="false" customHeight="false" outlineLevel="0" collapsed="false">
      <c r="A796" s="38" t="n">
        <v>46157</v>
      </c>
      <c r="B796" s="11" t="n">
        <v>3</v>
      </c>
      <c r="C796" s="38" t="n">
        <v>46174</v>
      </c>
      <c r="D796" s="15" t="n">
        <v>390148.54</v>
      </c>
      <c r="E796" s="15" t="n">
        <v>457022.54</v>
      </c>
      <c r="F796" s="15" t="n">
        <v>713570.54</v>
      </c>
      <c r="G796" s="15" t="n">
        <f aca="false">E796-D796</f>
        <v>66874</v>
      </c>
      <c r="H796" s="15" t="n">
        <f aca="false">F796-D796</f>
        <v>323422</v>
      </c>
    </row>
    <row r="797" customFormat="false" ht="15" hidden="false" customHeight="false" outlineLevel="0" collapsed="false">
      <c r="A797" s="38" t="n">
        <v>46157</v>
      </c>
      <c r="B797" s="11" t="n">
        <v>4</v>
      </c>
      <c r="C797" s="38" t="n">
        <v>46181</v>
      </c>
      <c r="D797" s="15" t="n">
        <v>531636.1</v>
      </c>
      <c r="E797" s="15" t="n">
        <v>591804.1</v>
      </c>
      <c r="F797" s="15" t="n">
        <v>796704.1</v>
      </c>
      <c r="G797" s="15" t="n">
        <f aca="false">E797-D797</f>
        <v>60168</v>
      </c>
      <c r="H797" s="15" t="n">
        <f aca="false">F797-D797</f>
        <v>265068</v>
      </c>
    </row>
    <row r="798" customFormat="false" ht="15" hidden="false" customHeight="false" outlineLevel="0" collapsed="false">
      <c r="A798" s="38" t="n">
        <v>46157</v>
      </c>
      <c r="B798" s="11" t="n">
        <v>5</v>
      </c>
      <c r="C798" s="38" t="n">
        <v>46188</v>
      </c>
      <c r="D798" s="15" t="n">
        <v>562687.11</v>
      </c>
      <c r="E798" s="15" t="n">
        <v>591295.11</v>
      </c>
      <c r="F798" s="15" t="n">
        <v>810043.11</v>
      </c>
      <c r="G798" s="15" t="n">
        <f aca="false">E798-D798</f>
        <v>28608</v>
      </c>
      <c r="H798" s="15" t="n">
        <f aca="false">F798-D798</f>
        <v>247356</v>
      </c>
    </row>
    <row r="799" customFormat="false" ht="15" hidden="false" customHeight="false" outlineLevel="0" collapsed="false">
      <c r="A799" s="38" t="n">
        <v>46157</v>
      </c>
      <c r="B799" s="11" t="n">
        <v>6</v>
      </c>
      <c r="C799" s="38" t="n">
        <v>46195</v>
      </c>
      <c r="D799" s="15" t="n">
        <v>471965.78</v>
      </c>
      <c r="E799" s="15" t="n">
        <v>521043.78</v>
      </c>
      <c r="F799" s="15" t="n">
        <v>715431.78</v>
      </c>
      <c r="G799" s="15" t="n">
        <f aca="false">E799-D799</f>
        <v>49078</v>
      </c>
      <c r="H799" s="15" t="n">
        <f aca="false">F799-D799</f>
        <v>243466</v>
      </c>
    </row>
    <row r="800" customFormat="false" ht="15" hidden="false" customHeight="false" outlineLevel="0" collapsed="false">
      <c r="A800" s="38" t="n">
        <v>46157</v>
      </c>
      <c r="B800" s="11" t="n">
        <v>7</v>
      </c>
      <c r="C800" s="38" t="n">
        <v>46202</v>
      </c>
      <c r="D800" s="15" t="n">
        <v>256731.64</v>
      </c>
      <c r="E800" s="15" t="n">
        <v>306987.64</v>
      </c>
      <c r="F800" s="15" t="n">
        <v>514459.64</v>
      </c>
      <c r="G800" s="15" t="n">
        <f aca="false">E800-D800</f>
        <v>50256</v>
      </c>
      <c r="H800" s="15" t="n">
        <f aca="false">F800-D800</f>
        <v>257728</v>
      </c>
    </row>
    <row r="801" customFormat="false" ht="15" hidden="false" customHeight="false" outlineLevel="0" collapsed="false">
      <c r="A801" s="38" t="n">
        <v>46157</v>
      </c>
      <c r="B801" s="11" t="n">
        <v>8</v>
      </c>
      <c r="C801" s="38" t="n">
        <v>46209</v>
      </c>
      <c r="D801" s="15" t="n">
        <v>275276.88</v>
      </c>
      <c r="E801" s="15" t="n">
        <v>374948.88</v>
      </c>
      <c r="F801" s="15" t="n">
        <v>594002.88</v>
      </c>
      <c r="G801" s="15" t="n">
        <f aca="false">E801-D801</f>
        <v>99672</v>
      </c>
      <c r="H801" s="15" t="n">
        <f aca="false">F801-D801</f>
        <v>318726</v>
      </c>
    </row>
    <row r="802" customFormat="false" ht="15" hidden="false" customHeight="false" outlineLevel="0" collapsed="false">
      <c r="A802" s="38" t="n">
        <v>46157</v>
      </c>
      <c r="B802" s="11" t="n">
        <v>9</v>
      </c>
      <c r="C802" s="38" t="n">
        <v>46216</v>
      </c>
      <c r="D802" s="15" t="n">
        <v>214669.58</v>
      </c>
      <c r="E802" s="15" t="n">
        <v>313761.58</v>
      </c>
      <c r="F802" s="15" t="n">
        <v>545575.58</v>
      </c>
      <c r="G802" s="15" t="n">
        <f aca="false">E802-D802</f>
        <v>99092</v>
      </c>
      <c r="H802" s="15" t="n">
        <f aca="false">F802-D802</f>
        <v>330906</v>
      </c>
    </row>
    <row r="803" customFormat="false" ht="15" hidden="false" customHeight="false" outlineLevel="0" collapsed="false">
      <c r="A803" s="38" t="n">
        <v>46157</v>
      </c>
      <c r="B803" s="11" t="n">
        <v>10</v>
      </c>
      <c r="C803" s="38" t="n">
        <v>46223</v>
      </c>
      <c r="D803" s="15" t="n">
        <v>251310.86</v>
      </c>
      <c r="E803" s="15" t="n">
        <v>334086.86</v>
      </c>
      <c r="F803" s="15" t="n">
        <v>591090.86</v>
      </c>
      <c r="G803" s="15" t="n">
        <f aca="false">E803-D803</f>
        <v>82776</v>
      </c>
      <c r="H803" s="15" t="n">
        <f aca="false">F803-D803</f>
        <v>339780</v>
      </c>
    </row>
    <row r="804" customFormat="false" ht="15" hidden="false" customHeight="false" outlineLevel="0" collapsed="false">
      <c r="A804" s="38" t="n">
        <v>46157</v>
      </c>
      <c r="B804" s="11" t="n">
        <v>11</v>
      </c>
      <c r="C804" s="38" t="n">
        <v>46230</v>
      </c>
      <c r="D804" s="15" t="n">
        <v>147866.27</v>
      </c>
      <c r="E804" s="15" t="n">
        <v>272786.27</v>
      </c>
      <c r="F804" s="15" t="n">
        <v>643862.27</v>
      </c>
      <c r="G804" s="15" t="n">
        <f aca="false">E804-D804</f>
        <v>124920</v>
      </c>
      <c r="H804" s="15" t="n">
        <f aca="false">F804-D804</f>
        <v>495996</v>
      </c>
    </row>
    <row r="805" customFormat="false" ht="15" hidden="false" customHeight="false" outlineLevel="0" collapsed="false">
      <c r="A805" s="38" t="n">
        <v>46157</v>
      </c>
      <c r="B805" s="11" t="n">
        <v>12</v>
      </c>
      <c r="C805" s="38" t="n">
        <v>46237</v>
      </c>
      <c r="D805" s="15" t="n">
        <v>264300.23</v>
      </c>
      <c r="E805" s="15" t="n">
        <v>346320.23</v>
      </c>
      <c r="F805" s="15" t="n">
        <v>684648.23</v>
      </c>
      <c r="G805" s="15" t="n">
        <f aca="false">E805-D805</f>
        <v>82020</v>
      </c>
      <c r="H805" s="15" t="n">
        <f aca="false">F805-D805</f>
        <v>420348</v>
      </c>
    </row>
    <row r="806" customFormat="false" ht="15" hidden="false" customHeight="false" outlineLevel="0" collapsed="false">
      <c r="A806" s="38" t="n">
        <v>46157</v>
      </c>
      <c r="B806" s="11" t="n">
        <v>13</v>
      </c>
      <c r="C806" s="38" t="n">
        <v>46244</v>
      </c>
      <c r="D806" s="15" t="n">
        <v>545370.36</v>
      </c>
      <c r="E806" s="15" t="n">
        <v>611012.36</v>
      </c>
      <c r="F806" s="15" t="n">
        <v>836758.36</v>
      </c>
      <c r="G806" s="15" t="n">
        <f aca="false">E806-D806</f>
        <v>65642</v>
      </c>
      <c r="H806" s="15" t="n">
        <f aca="false">F806-D806</f>
        <v>291388</v>
      </c>
    </row>
    <row r="807" customFormat="false" ht="15" hidden="false" customHeight="false" outlineLevel="0" collapsed="false">
      <c r="A807" s="38" t="n">
        <v>46164</v>
      </c>
      <c r="B807" s="11" t="n">
        <v>1</v>
      </c>
      <c r="C807" s="38" t="n">
        <v>46167</v>
      </c>
      <c r="D807" s="15" t="n">
        <v>477111.93</v>
      </c>
      <c r="E807" s="15" t="n">
        <v>447445.93</v>
      </c>
      <c r="F807" s="15" t="n">
        <v>755579.93</v>
      </c>
      <c r="G807" s="15" t="n">
        <f aca="false">E807-D807</f>
        <v>-29666</v>
      </c>
      <c r="H807" s="15" t="n">
        <f aca="false">F807-D807</f>
        <v>278468</v>
      </c>
    </row>
    <row r="808" customFormat="false" ht="15" hidden="false" customHeight="false" outlineLevel="0" collapsed="false">
      <c r="A808" s="38" t="n">
        <v>46164</v>
      </c>
      <c r="B808" s="11" t="n">
        <v>2</v>
      </c>
      <c r="C808" s="38" t="n">
        <v>46174</v>
      </c>
      <c r="D808" s="15" t="n">
        <v>390148.54</v>
      </c>
      <c r="E808" s="15" t="n">
        <v>425798.54</v>
      </c>
      <c r="F808" s="15" t="n">
        <v>713570.54</v>
      </c>
      <c r="G808" s="15" t="n">
        <f aca="false">E808-D808</f>
        <v>35650</v>
      </c>
      <c r="H808" s="15" t="n">
        <f aca="false">F808-D808</f>
        <v>323422</v>
      </c>
    </row>
    <row r="809" customFormat="false" ht="15" hidden="false" customHeight="false" outlineLevel="0" collapsed="false">
      <c r="A809" s="38" t="n">
        <v>46164</v>
      </c>
      <c r="B809" s="11" t="n">
        <v>3</v>
      </c>
      <c r="C809" s="38" t="n">
        <v>46181</v>
      </c>
      <c r="D809" s="15" t="n">
        <v>531636.1</v>
      </c>
      <c r="E809" s="15" t="n">
        <v>591804.1</v>
      </c>
      <c r="F809" s="15" t="n">
        <v>796704.1</v>
      </c>
      <c r="G809" s="15" t="n">
        <f aca="false">E809-D809</f>
        <v>60168</v>
      </c>
      <c r="H809" s="15" t="n">
        <f aca="false">F809-D809</f>
        <v>265068</v>
      </c>
    </row>
    <row r="810" customFormat="false" ht="15" hidden="false" customHeight="false" outlineLevel="0" collapsed="false">
      <c r="A810" s="38" t="n">
        <v>46164</v>
      </c>
      <c r="B810" s="11" t="n">
        <v>4</v>
      </c>
      <c r="C810" s="38" t="n">
        <v>46188</v>
      </c>
      <c r="D810" s="15" t="n">
        <v>562687.11</v>
      </c>
      <c r="E810" s="15" t="n">
        <v>591295.11</v>
      </c>
      <c r="F810" s="15" t="n">
        <v>810043.11</v>
      </c>
      <c r="G810" s="15" t="n">
        <f aca="false">E810-D810</f>
        <v>28608</v>
      </c>
      <c r="H810" s="15" t="n">
        <f aca="false">F810-D810</f>
        <v>247356</v>
      </c>
    </row>
    <row r="811" customFormat="false" ht="15" hidden="false" customHeight="false" outlineLevel="0" collapsed="false">
      <c r="A811" s="38" t="n">
        <v>46164</v>
      </c>
      <c r="B811" s="11" t="n">
        <v>5</v>
      </c>
      <c r="C811" s="38" t="n">
        <v>46195</v>
      </c>
      <c r="D811" s="15" t="n">
        <v>471965.78</v>
      </c>
      <c r="E811" s="15" t="n">
        <v>521043.78</v>
      </c>
      <c r="F811" s="15" t="n">
        <v>715431.78</v>
      </c>
      <c r="G811" s="15" t="n">
        <f aca="false">E811-D811</f>
        <v>49078</v>
      </c>
      <c r="H811" s="15" t="n">
        <f aca="false">F811-D811</f>
        <v>243466</v>
      </c>
    </row>
    <row r="812" customFormat="false" ht="15" hidden="false" customHeight="false" outlineLevel="0" collapsed="false">
      <c r="A812" s="38" t="n">
        <v>46164</v>
      </c>
      <c r="B812" s="11" t="n">
        <v>6</v>
      </c>
      <c r="C812" s="38" t="n">
        <v>46202</v>
      </c>
      <c r="D812" s="15" t="n">
        <v>256731.64</v>
      </c>
      <c r="E812" s="15" t="n">
        <v>306987.64</v>
      </c>
      <c r="F812" s="15" t="n">
        <v>514459.64</v>
      </c>
      <c r="G812" s="15" t="n">
        <f aca="false">E812-D812</f>
        <v>50256</v>
      </c>
      <c r="H812" s="15" t="n">
        <f aca="false">F812-D812</f>
        <v>257728</v>
      </c>
    </row>
    <row r="813" customFormat="false" ht="15" hidden="false" customHeight="false" outlineLevel="0" collapsed="false">
      <c r="A813" s="38" t="n">
        <v>46164</v>
      </c>
      <c r="B813" s="11" t="n">
        <v>7</v>
      </c>
      <c r="C813" s="38" t="n">
        <v>46209</v>
      </c>
      <c r="D813" s="15" t="n">
        <v>275276.88</v>
      </c>
      <c r="E813" s="15" t="n">
        <v>374948.88</v>
      </c>
      <c r="F813" s="15" t="n">
        <v>594002.88</v>
      </c>
      <c r="G813" s="15" t="n">
        <f aca="false">E813-D813</f>
        <v>99672</v>
      </c>
      <c r="H813" s="15" t="n">
        <f aca="false">F813-D813</f>
        <v>318726</v>
      </c>
    </row>
    <row r="814" customFormat="false" ht="15" hidden="false" customHeight="false" outlineLevel="0" collapsed="false">
      <c r="A814" s="38" t="n">
        <v>46164</v>
      </c>
      <c r="B814" s="11" t="n">
        <v>8</v>
      </c>
      <c r="C814" s="38" t="n">
        <v>46216</v>
      </c>
      <c r="D814" s="15" t="n">
        <v>214669.58</v>
      </c>
      <c r="E814" s="15" t="n">
        <v>313761.58</v>
      </c>
      <c r="F814" s="15" t="n">
        <v>545575.58</v>
      </c>
      <c r="G814" s="15" t="n">
        <f aca="false">E814-D814</f>
        <v>99092</v>
      </c>
      <c r="H814" s="15" t="n">
        <f aca="false">F814-D814</f>
        <v>330906</v>
      </c>
    </row>
    <row r="815" customFormat="false" ht="15" hidden="false" customHeight="false" outlineLevel="0" collapsed="false">
      <c r="A815" s="38" t="n">
        <v>46164</v>
      </c>
      <c r="B815" s="11" t="n">
        <v>9</v>
      </c>
      <c r="C815" s="38" t="n">
        <v>46223</v>
      </c>
      <c r="D815" s="15" t="n">
        <v>251310.86</v>
      </c>
      <c r="E815" s="15" t="n">
        <v>334086.86</v>
      </c>
      <c r="F815" s="15" t="n">
        <v>591090.86</v>
      </c>
      <c r="G815" s="15" t="n">
        <f aca="false">E815-D815</f>
        <v>82776</v>
      </c>
      <c r="H815" s="15" t="n">
        <f aca="false">F815-D815</f>
        <v>339780</v>
      </c>
    </row>
    <row r="816" customFormat="false" ht="15" hidden="false" customHeight="false" outlineLevel="0" collapsed="false">
      <c r="A816" s="38" t="n">
        <v>46164</v>
      </c>
      <c r="B816" s="11" t="n">
        <v>10</v>
      </c>
      <c r="C816" s="38" t="n">
        <v>46230</v>
      </c>
      <c r="D816" s="15" t="n">
        <v>147866.27</v>
      </c>
      <c r="E816" s="15" t="n">
        <v>272786.27</v>
      </c>
      <c r="F816" s="15" t="n">
        <v>643862.27</v>
      </c>
      <c r="G816" s="15" t="n">
        <f aca="false">E816-D816</f>
        <v>124920</v>
      </c>
      <c r="H816" s="15" t="n">
        <f aca="false">F816-D816</f>
        <v>495996</v>
      </c>
    </row>
    <row r="817" customFormat="false" ht="15" hidden="false" customHeight="false" outlineLevel="0" collapsed="false">
      <c r="A817" s="38" t="n">
        <v>46164</v>
      </c>
      <c r="B817" s="11" t="n">
        <v>11</v>
      </c>
      <c r="C817" s="38" t="n">
        <v>46237</v>
      </c>
      <c r="D817" s="15" t="n">
        <v>264300.23</v>
      </c>
      <c r="E817" s="15" t="n">
        <v>346320.23</v>
      </c>
      <c r="F817" s="15" t="n">
        <v>684648.23</v>
      </c>
      <c r="G817" s="15" t="n">
        <f aca="false">E817-D817</f>
        <v>82020</v>
      </c>
      <c r="H817" s="15" t="n">
        <f aca="false">F817-D817</f>
        <v>420348</v>
      </c>
    </row>
    <row r="818" customFormat="false" ht="15" hidden="false" customHeight="false" outlineLevel="0" collapsed="false">
      <c r="A818" s="38" t="n">
        <v>46164</v>
      </c>
      <c r="B818" s="11" t="n">
        <v>12</v>
      </c>
      <c r="C818" s="38" t="n">
        <v>46244</v>
      </c>
      <c r="D818" s="15" t="n">
        <v>545370.36</v>
      </c>
      <c r="E818" s="15" t="n">
        <v>611012.36</v>
      </c>
      <c r="F818" s="15" t="n">
        <v>836758.36</v>
      </c>
      <c r="G818" s="15" t="n">
        <f aca="false">E818-D818</f>
        <v>65642</v>
      </c>
      <c r="H818" s="15" t="n">
        <f aca="false">F818-D818</f>
        <v>291388</v>
      </c>
    </row>
    <row r="819" customFormat="false" ht="15" hidden="false" customHeight="false" outlineLevel="0" collapsed="false">
      <c r="A819" s="38" t="n">
        <v>46164</v>
      </c>
      <c r="B819" s="11" t="n">
        <v>13</v>
      </c>
      <c r="C819" s="38" t="n">
        <v>46251</v>
      </c>
      <c r="D819" s="15" t="n">
        <v>470260.22</v>
      </c>
      <c r="E819" s="15" t="n">
        <v>599634.22</v>
      </c>
      <c r="F819" s="15" t="n">
        <v>843210.22</v>
      </c>
      <c r="G819" s="15" t="n">
        <f aca="false">E819-D819</f>
        <v>129374</v>
      </c>
      <c r="H819" s="15" t="n">
        <f aca="false">F819-D819</f>
        <v>372950</v>
      </c>
    </row>
    <row r="820" customFormat="false" ht="15" hidden="false" customHeight="false" outlineLevel="0" collapsed="false">
      <c r="A820" s="38" t="n">
        <v>46171</v>
      </c>
      <c r="B820" s="11" t="n">
        <v>1</v>
      </c>
      <c r="C820" s="38" t="n">
        <v>46174</v>
      </c>
      <c r="D820" s="15" t="n">
        <v>390148.54</v>
      </c>
      <c r="E820" s="15" t="n">
        <v>419222.54</v>
      </c>
      <c r="F820" s="15" t="n">
        <v>713570.54</v>
      </c>
      <c r="G820" s="15" t="n">
        <f aca="false">E820-D820</f>
        <v>29074</v>
      </c>
      <c r="H820" s="15" t="n">
        <f aca="false">F820-D820</f>
        <v>323422</v>
      </c>
    </row>
    <row r="821" customFormat="false" ht="15" hidden="false" customHeight="false" outlineLevel="0" collapsed="false">
      <c r="A821" s="38" t="n">
        <v>46171</v>
      </c>
      <c r="B821" s="11" t="n">
        <v>2</v>
      </c>
      <c r="C821" s="38" t="n">
        <v>46181</v>
      </c>
      <c r="D821" s="15" t="n">
        <v>531636.1</v>
      </c>
      <c r="E821" s="15" t="n">
        <v>520860.1</v>
      </c>
      <c r="F821" s="15" t="n">
        <v>796704.1</v>
      </c>
      <c r="G821" s="15" t="n">
        <f aca="false">E821-D821</f>
        <v>-10776</v>
      </c>
      <c r="H821" s="15" t="n">
        <f aca="false">F821-D821</f>
        <v>265068</v>
      </c>
    </row>
    <row r="822" customFormat="false" ht="15" hidden="false" customHeight="false" outlineLevel="0" collapsed="false">
      <c r="A822" s="38" t="n">
        <v>46171</v>
      </c>
      <c r="B822" s="11" t="n">
        <v>3</v>
      </c>
      <c r="C822" s="38" t="n">
        <v>46188</v>
      </c>
      <c r="D822" s="15" t="n">
        <v>562687.11</v>
      </c>
      <c r="E822" s="15" t="n">
        <v>591295.11</v>
      </c>
      <c r="F822" s="15" t="n">
        <v>810043.11</v>
      </c>
      <c r="G822" s="15" t="n">
        <f aca="false">E822-D822</f>
        <v>28608</v>
      </c>
      <c r="H822" s="15" t="n">
        <f aca="false">F822-D822</f>
        <v>247356</v>
      </c>
    </row>
    <row r="823" customFormat="false" ht="15" hidden="false" customHeight="false" outlineLevel="0" collapsed="false">
      <c r="A823" s="38" t="n">
        <v>46171</v>
      </c>
      <c r="B823" s="11" t="n">
        <v>4</v>
      </c>
      <c r="C823" s="38" t="n">
        <v>46195</v>
      </c>
      <c r="D823" s="15" t="n">
        <v>471965.78</v>
      </c>
      <c r="E823" s="15" t="n">
        <v>521043.78</v>
      </c>
      <c r="F823" s="15" t="n">
        <v>715431.78</v>
      </c>
      <c r="G823" s="15" t="n">
        <f aca="false">E823-D823</f>
        <v>49078</v>
      </c>
      <c r="H823" s="15" t="n">
        <f aca="false">F823-D823</f>
        <v>243466</v>
      </c>
    </row>
    <row r="824" customFormat="false" ht="15" hidden="false" customHeight="false" outlineLevel="0" collapsed="false">
      <c r="A824" s="38" t="n">
        <v>46171</v>
      </c>
      <c r="B824" s="11" t="n">
        <v>5</v>
      </c>
      <c r="C824" s="38" t="n">
        <v>46202</v>
      </c>
      <c r="D824" s="15" t="n">
        <v>256731.64</v>
      </c>
      <c r="E824" s="15" t="n">
        <v>306987.64</v>
      </c>
      <c r="F824" s="15" t="n">
        <v>514459.64</v>
      </c>
      <c r="G824" s="15" t="n">
        <f aca="false">E824-D824</f>
        <v>50256</v>
      </c>
      <c r="H824" s="15" t="n">
        <f aca="false">F824-D824</f>
        <v>257728</v>
      </c>
    </row>
    <row r="825" customFormat="false" ht="15" hidden="false" customHeight="false" outlineLevel="0" collapsed="false">
      <c r="A825" s="38" t="n">
        <v>46171</v>
      </c>
      <c r="B825" s="11" t="n">
        <v>6</v>
      </c>
      <c r="C825" s="38" t="n">
        <v>46209</v>
      </c>
      <c r="D825" s="15" t="n">
        <v>275276.88</v>
      </c>
      <c r="E825" s="15" t="n">
        <v>374948.88</v>
      </c>
      <c r="F825" s="15" t="n">
        <v>594002.88</v>
      </c>
      <c r="G825" s="15" t="n">
        <f aca="false">E825-D825</f>
        <v>99672</v>
      </c>
      <c r="H825" s="15" t="n">
        <f aca="false">F825-D825</f>
        <v>318726</v>
      </c>
    </row>
    <row r="826" customFormat="false" ht="15" hidden="false" customHeight="false" outlineLevel="0" collapsed="false">
      <c r="A826" s="38" t="n">
        <v>46171</v>
      </c>
      <c r="B826" s="11" t="n">
        <v>7</v>
      </c>
      <c r="C826" s="38" t="n">
        <v>46216</v>
      </c>
      <c r="D826" s="15" t="n">
        <v>214669.58</v>
      </c>
      <c r="E826" s="15" t="n">
        <v>313761.58</v>
      </c>
      <c r="F826" s="15" t="n">
        <v>545575.58</v>
      </c>
      <c r="G826" s="15" t="n">
        <f aca="false">E826-D826</f>
        <v>99092</v>
      </c>
      <c r="H826" s="15" t="n">
        <f aca="false">F826-D826</f>
        <v>330906</v>
      </c>
    </row>
    <row r="827" customFormat="false" ht="15" hidden="false" customHeight="false" outlineLevel="0" collapsed="false">
      <c r="A827" s="38" t="n">
        <v>46171</v>
      </c>
      <c r="B827" s="11" t="n">
        <v>8</v>
      </c>
      <c r="C827" s="38" t="n">
        <v>46223</v>
      </c>
      <c r="D827" s="15" t="n">
        <v>251310.86</v>
      </c>
      <c r="E827" s="15" t="n">
        <v>334086.86</v>
      </c>
      <c r="F827" s="15" t="n">
        <v>591090.86</v>
      </c>
      <c r="G827" s="15" t="n">
        <f aca="false">E827-D827</f>
        <v>82776</v>
      </c>
      <c r="H827" s="15" t="n">
        <f aca="false">F827-D827</f>
        <v>339780</v>
      </c>
    </row>
    <row r="828" customFormat="false" ht="15" hidden="false" customHeight="false" outlineLevel="0" collapsed="false">
      <c r="A828" s="38" t="n">
        <v>46171</v>
      </c>
      <c r="B828" s="11" t="n">
        <v>9</v>
      </c>
      <c r="C828" s="38" t="n">
        <v>46230</v>
      </c>
      <c r="D828" s="15" t="n">
        <v>147866.27</v>
      </c>
      <c r="E828" s="15" t="n">
        <v>272786.27</v>
      </c>
      <c r="F828" s="15" t="n">
        <v>643862.27</v>
      </c>
      <c r="G828" s="15" t="n">
        <f aca="false">E828-D828</f>
        <v>124920</v>
      </c>
      <c r="H828" s="15" t="n">
        <f aca="false">F828-D828</f>
        <v>495996</v>
      </c>
    </row>
    <row r="829" customFormat="false" ht="15" hidden="false" customHeight="false" outlineLevel="0" collapsed="false">
      <c r="A829" s="38" t="n">
        <v>46171</v>
      </c>
      <c r="B829" s="11" t="n">
        <v>10</v>
      </c>
      <c r="C829" s="38" t="n">
        <v>46237</v>
      </c>
      <c r="D829" s="15" t="n">
        <v>264300.23</v>
      </c>
      <c r="E829" s="15" t="n">
        <v>346320.23</v>
      </c>
      <c r="F829" s="15" t="n">
        <v>684648.23</v>
      </c>
      <c r="G829" s="15" t="n">
        <f aca="false">E829-D829</f>
        <v>82020</v>
      </c>
      <c r="H829" s="15" t="n">
        <f aca="false">F829-D829</f>
        <v>420348</v>
      </c>
    </row>
    <row r="830" customFormat="false" ht="15" hidden="false" customHeight="false" outlineLevel="0" collapsed="false">
      <c r="A830" s="38" t="n">
        <v>46171</v>
      </c>
      <c r="B830" s="11" t="n">
        <v>11</v>
      </c>
      <c r="C830" s="38" t="n">
        <v>46244</v>
      </c>
      <c r="D830" s="15" t="n">
        <v>545370.36</v>
      </c>
      <c r="E830" s="15" t="n">
        <v>611012.36</v>
      </c>
      <c r="F830" s="15" t="n">
        <v>836758.36</v>
      </c>
      <c r="G830" s="15" t="n">
        <f aca="false">E830-D830</f>
        <v>65642</v>
      </c>
      <c r="H830" s="15" t="n">
        <f aca="false">F830-D830</f>
        <v>291388</v>
      </c>
    </row>
    <row r="831" customFormat="false" ht="15" hidden="false" customHeight="false" outlineLevel="0" collapsed="false">
      <c r="A831" s="38" t="n">
        <v>46171</v>
      </c>
      <c r="B831" s="11" t="n">
        <v>12</v>
      </c>
      <c r="C831" s="38" t="n">
        <v>46251</v>
      </c>
      <c r="D831" s="15" t="n">
        <v>470260.22</v>
      </c>
      <c r="E831" s="15" t="n">
        <v>599634.22</v>
      </c>
      <c r="F831" s="15" t="n">
        <v>843210.22</v>
      </c>
      <c r="G831" s="15" t="n">
        <f aca="false">E831-D831</f>
        <v>129374</v>
      </c>
      <c r="H831" s="15" t="n">
        <f aca="false">F831-D831</f>
        <v>372950</v>
      </c>
    </row>
    <row r="832" customFormat="false" ht="15" hidden="false" customHeight="false" outlineLevel="0" collapsed="false">
      <c r="A832" s="38" t="n">
        <v>46171</v>
      </c>
      <c r="B832" s="11" t="n">
        <v>13</v>
      </c>
      <c r="C832" s="38" t="n">
        <v>46258</v>
      </c>
      <c r="D832" s="15" t="n">
        <v>535617.26</v>
      </c>
      <c r="E832" s="15" t="n">
        <v>646761.26</v>
      </c>
      <c r="F832" s="15" t="n">
        <v>922557.26</v>
      </c>
      <c r="G832" s="15" t="n">
        <f aca="false">E832-D832</f>
        <v>111144</v>
      </c>
      <c r="H832" s="15" t="n">
        <f aca="false">F832-D832</f>
        <v>386940</v>
      </c>
    </row>
    <row r="833" customFormat="false" ht="15" hidden="false" customHeight="false" outlineLevel="0" collapsed="false">
      <c r="A833" s="38" t="n">
        <v>46178</v>
      </c>
      <c r="B833" s="11" t="n">
        <v>1</v>
      </c>
      <c r="C833" s="38" t="n">
        <v>46181</v>
      </c>
      <c r="D833" s="15" t="n">
        <v>531636.1</v>
      </c>
      <c r="E833" s="15" t="n">
        <v>497040.1</v>
      </c>
      <c r="F833" s="15" t="n">
        <v>796704.1</v>
      </c>
      <c r="G833" s="15" t="n">
        <f aca="false">E833-D833</f>
        <v>-34596</v>
      </c>
      <c r="H833" s="15" t="n">
        <f aca="false">F833-D833</f>
        <v>265068</v>
      </c>
    </row>
    <row r="834" customFormat="false" ht="15" hidden="false" customHeight="false" outlineLevel="0" collapsed="false">
      <c r="A834" s="38" t="n">
        <v>46178</v>
      </c>
      <c r="B834" s="11" t="n">
        <v>2</v>
      </c>
      <c r="C834" s="38" t="n">
        <v>46188</v>
      </c>
      <c r="D834" s="15" t="n">
        <v>562687.11</v>
      </c>
      <c r="E834" s="15" t="n">
        <v>591295.11</v>
      </c>
      <c r="F834" s="15" t="n">
        <v>810043.11</v>
      </c>
      <c r="G834" s="15" t="n">
        <f aca="false">E834-D834</f>
        <v>28608</v>
      </c>
      <c r="H834" s="15" t="n">
        <f aca="false">F834-D834</f>
        <v>247356</v>
      </c>
    </row>
    <row r="835" customFormat="false" ht="15" hidden="false" customHeight="false" outlineLevel="0" collapsed="false">
      <c r="A835" s="38" t="n">
        <v>46178</v>
      </c>
      <c r="B835" s="11" t="n">
        <v>3</v>
      </c>
      <c r="C835" s="38" t="n">
        <v>46195</v>
      </c>
      <c r="D835" s="15" t="n">
        <v>471965.78</v>
      </c>
      <c r="E835" s="15" t="n">
        <v>521043.78</v>
      </c>
      <c r="F835" s="15" t="n">
        <v>715431.78</v>
      </c>
      <c r="G835" s="15" t="n">
        <f aca="false">E835-D835</f>
        <v>49078</v>
      </c>
      <c r="H835" s="15" t="n">
        <f aca="false">F835-D835</f>
        <v>243466</v>
      </c>
    </row>
    <row r="836" customFormat="false" ht="15" hidden="false" customHeight="false" outlineLevel="0" collapsed="false">
      <c r="A836" s="38" t="n">
        <v>46178</v>
      </c>
      <c r="B836" s="11" t="n">
        <v>4</v>
      </c>
      <c r="C836" s="38" t="n">
        <v>46202</v>
      </c>
      <c r="D836" s="15" t="n">
        <v>256731.64</v>
      </c>
      <c r="E836" s="15" t="n">
        <v>306987.64</v>
      </c>
      <c r="F836" s="15" t="n">
        <v>514459.64</v>
      </c>
      <c r="G836" s="15" t="n">
        <f aca="false">E836-D836</f>
        <v>50256</v>
      </c>
      <c r="H836" s="15" t="n">
        <f aca="false">F836-D836</f>
        <v>257728</v>
      </c>
    </row>
    <row r="837" customFormat="false" ht="15" hidden="false" customHeight="false" outlineLevel="0" collapsed="false">
      <c r="A837" s="38" t="n">
        <v>46178</v>
      </c>
      <c r="B837" s="11" t="n">
        <v>5</v>
      </c>
      <c r="C837" s="38" t="n">
        <v>46209</v>
      </c>
      <c r="D837" s="15" t="n">
        <v>275276.88</v>
      </c>
      <c r="E837" s="15" t="n">
        <v>374948.88</v>
      </c>
      <c r="F837" s="15" t="n">
        <v>594002.88</v>
      </c>
      <c r="G837" s="15" t="n">
        <f aca="false">E837-D837</f>
        <v>99672</v>
      </c>
      <c r="H837" s="15" t="n">
        <f aca="false">F837-D837</f>
        <v>318726</v>
      </c>
    </row>
    <row r="838" customFormat="false" ht="15" hidden="false" customHeight="false" outlineLevel="0" collapsed="false">
      <c r="A838" s="38" t="n">
        <v>46178</v>
      </c>
      <c r="B838" s="11" t="n">
        <v>6</v>
      </c>
      <c r="C838" s="38" t="n">
        <v>46216</v>
      </c>
      <c r="D838" s="15" t="n">
        <v>214669.58</v>
      </c>
      <c r="E838" s="15" t="n">
        <v>313761.58</v>
      </c>
      <c r="F838" s="15" t="n">
        <v>545575.58</v>
      </c>
      <c r="G838" s="15" t="n">
        <f aca="false">E838-D838</f>
        <v>99092</v>
      </c>
      <c r="H838" s="15" t="n">
        <f aca="false">F838-D838</f>
        <v>330906</v>
      </c>
    </row>
    <row r="839" customFormat="false" ht="15" hidden="false" customHeight="false" outlineLevel="0" collapsed="false">
      <c r="A839" s="38" t="n">
        <v>46178</v>
      </c>
      <c r="B839" s="11" t="n">
        <v>7</v>
      </c>
      <c r="C839" s="38" t="n">
        <v>46223</v>
      </c>
      <c r="D839" s="15" t="n">
        <v>251310.86</v>
      </c>
      <c r="E839" s="15" t="n">
        <v>334086.86</v>
      </c>
      <c r="F839" s="15" t="n">
        <v>591090.86</v>
      </c>
      <c r="G839" s="15" t="n">
        <f aca="false">E839-D839</f>
        <v>82776</v>
      </c>
      <c r="H839" s="15" t="n">
        <f aca="false">F839-D839</f>
        <v>339780</v>
      </c>
    </row>
    <row r="840" customFormat="false" ht="15" hidden="false" customHeight="false" outlineLevel="0" collapsed="false">
      <c r="A840" s="38" t="n">
        <v>46178</v>
      </c>
      <c r="B840" s="11" t="n">
        <v>8</v>
      </c>
      <c r="C840" s="38" t="n">
        <v>46230</v>
      </c>
      <c r="D840" s="15" t="n">
        <v>147866.27</v>
      </c>
      <c r="E840" s="15" t="n">
        <v>223406.27</v>
      </c>
      <c r="F840" s="15" t="n">
        <v>643862.27</v>
      </c>
      <c r="G840" s="15" t="n">
        <f aca="false">E840-D840</f>
        <v>75540</v>
      </c>
      <c r="H840" s="15" t="n">
        <f aca="false">F840-D840</f>
        <v>495996</v>
      </c>
    </row>
    <row r="841" customFormat="false" ht="15" hidden="false" customHeight="false" outlineLevel="0" collapsed="false">
      <c r="A841" s="38" t="n">
        <v>46178</v>
      </c>
      <c r="B841" s="11" t="n">
        <v>9</v>
      </c>
      <c r="C841" s="38" t="n">
        <v>46237</v>
      </c>
      <c r="D841" s="15" t="n">
        <v>264300.23</v>
      </c>
      <c r="E841" s="15" t="n">
        <v>346320.23</v>
      </c>
      <c r="F841" s="15" t="n">
        <v>684648.23</v>
      </c>
      <c r="G841" s="15" t="n">
        <f aca="false">E841-D841</f>
        <v>82020</v>
      </c>
      <c r="H841" s="15" t="n">
        <f aca="false">F841-D841</f>
        <v>420348</v>
      </c>
    </row>
    <row r="842" customFormat="false" ht="15" hidden="false" customHeight="false" outlineLevel="0" collapsed="false">
      <c r="A842" s="38" t="n">
        <v>46178</v>
      </c>
      <c r="B842" s="11" t="n">
        <v>10</v>
      </c>
      <c r="C842" s="38" t="n">
        <v>46244</v>
      </c>
      <c r="D842" s="15" t="n">
        <v>545370.36</v>
      </c>
      <c r="E842" s="15" t="n">
        <v>611012.36</v>
      </c>
      <c r="F842" s="15" t="n">
        <v>836758.36</v>
      </c>
      <c r="G842" s="15" t="n">
        <f aca="false">E842-D842</f>
        <v>65642</v>
      </c>
      <c r="H842" s="15" t="n">
        <f aca="false">F842-D842</f>
        <v>291388</v>
      </c>
    </row>
    <row r="843" customFormat="false" ht="15" hidden="false" customHeight="false" outlineLevel="0" collapsed="false">
      <c r="A843" s="38" t="n">
        <v>46178</v>
      </c>
      <c r="B843" s="11" t="n">
        <v>11</v>
      </c>
      <c r="C843" s="38" t="n">
        <v>46251</v>
      </c>
      <c r="D843" s="15" t="n">
        <v>470260.22</v>
      </c>
      <c r="E843" s="15" t="n">
        <v>599634.22</v>
      </c>
      <c r="F843" s="15" t="n">
        <v>843210.22</v>
      </c>
      <c r="G843" s="15" t="n">
        <f aca="false">E843-D843</f>
        <v>129374</v>
      </c>
      <c r="H843" s="15" t="n">
        <f aca="false">F843-D843</f>
        <v>372950</v>
      </c>
    </row>
    <row r="844" customFormat="false" ht="15" hidden="false" customHeight="false" outlineLevel="0" collapsed="false">
      <c r="A844" s="38" t="n">
        <v>46178</v>
      </c>
      <c r="B844" s="11" t="n">
        <v>12</v>
      </c>
      <c r="C844" s="38" t="n">
        <v>46258</v>
      </c>
      <c r="D844" s="15" t="n">
        <v>535617.26</v>
      </c>
      <c r="E844" s="15" t="n">
        <v>646761.26</v>
      </c>
      <c r="F844" s="15" t="n">
        <v>922557.26</v>
      </c>
      <c r="G844" s="15" t="n">
        <f aca="false">E844-D844</f>
        <v>111144</v>
      </c>
      <c r="H844" s="15" t="n">
        <f aca="false">F844-D844</f>
        <v>386940</v>
      </c>
    </row>
    <row r="845" customFormat="false" ht="15" hidden="false" customHeight="false" outlineLevel="0" collapsed="false">
      <c r="A845" s="38" t="n">
        <v>46178</v>
      </c>
      <c r="B845" s="11" t="n">
        <v>13</v>
      </c>
      <c r="C845" s="38" t="n">
        <v>46265</v>
      </c>
      <c r="D845" s="15" t="n">
        <v>403732.6</v>
      </c>
      <c r="E845" s="15" t="n">
        <v>543652.6</v>
      </c>
      <c r="F845" s="15" t="n">
        <v>808732.6</v>
      </c>
      <c r="G845" s="15" t="n">
        <f aca="false">E845-D845</f>
        <v>139920</v>
      </c>
      <c r="H845" s="15" t="n">
        <f aca="false">F845-D845</f>
        <v>405000</v>
      </c>
    </row>
    <row r="846" customFormat="false" ht="15" hidden="false" customHeight="false" outlineLevel="0" collapsed="false">
      <c r="A846" s="38" t="n">
        <v>46185</v>
      </c>
      <c r="B846" s="11" t="n">
        <v>1</v>
      </c>
      <c r="C846" s="38" t="n">
        <v>46188</v>
      </c>
      <c r="D846" s="15" t="n">
        <v>562687.11</v>
      </c>
      <c r="E846" s="15" t="n">
        <v>611827.11</v>
      </c>
      <c r="F846" s="15" t="n">
        <v>810043.11</v>
      </c>
      <c r="G846" s="15" t="n">
        <f aca="false">E846-D846</f>
        <v>49140</v>
      </c>
      <c r="H846" s="15" t="n">
        <f aca="false">F846-D846</f>
        <v>247356</v>
      </c>
    </row>
    <row r="847" customFormat="false" ht="15" hidden="false" customHeight="false" outlineLevel="0" collapsed="false">
      <c r="A847" s="38" t="n">
        <v>46185</v>
      </c>
      <c r="B847" s="11" t="n">
        <v>2</v>
      </c>
      <c r="C847" s="38" t="n">
        <v>46195</v>
      </c>
      <c r="D847" s="15" t="n">
        <v>471965.78</v>
      </c>
      <c r="E847" s="15" t="n">
        <v>521043.78</v>
      </c>
      <c r="F847" s="15" t="n">
        <v>715431.78</v>
      </c>
      <c r="G847" s="15" t="n">
        <f aca="false">E847-D847</f>
        <v>49078</v>
      </c>
      <c r="H847" s="15" t="n">
        <f aca="false">F847-D847</f>
        <v>243466</v>
      </c>
    </row>
    <row r="848" customFormat="false" ht="15" hidden="false" customHeight="false" outlineLevel="0" collapsed="false">
      <c r="A848" s="38" t="n">
        <v>46185</v>
      </c>
      <c r="B848" s="11" t="n">
        <v>3</v>
      </c>
      <c r="C848" s="38" t="n">
        <v>46202</v>
      </c>
      <c r="D848" s="15" t="n">
        <v>256731.64</v>
      </c>
      <c r="E848" s="15" t="n">
        <v>306987.64</v>
      </c>
      <c r="F848" s="15" t="n">
        <v>514459.64</v>
      </c>
      <c r="G848" s="15" t="n">
        <f aca="false">E848-D848</f>
        <v>50256</v>
      </c>
      <c r="H848" s="15" t="n">
        <f aca="false">F848-D848</f>
        <v>257728</v>
      </c>
    </row>
    <row r="849" customFormat="false" ht="15" hidden="false" customHeight="false" outlineLevel="0" collapsed="false">
      <c r="A849" s="38" t="n">
        <v>46185</v>
      </c>
      <c r="B849" s="11" t="n">
        <v>4</v>
      </c>
      <c r="C849" s="38" t="n">
        <v>46209</v>
      </c>
      <c r="D849" s="15" t="n">
        <v>275276.88</v>
      </c>
      <c r="E849" s="15" t="n">
        <v>374948.88</v>
      </c>
      <c r="F849" s="15" t="n">
        <v>594002.88</v>
      </c>
      <c r="G849" s="15" t="n">
        <f aca="false">E849-D849</f>
        <v>99672</v>
      </c>
      <c r="H849" s="15" t="n">
        <f aca="false">F849-D849</f>
        <v>318726</v>
      </c>
    </row>
    <row r="850" customFormat="false" ht="15" hidden="false" customHeight="false" outlineLevel="0" collapsed="false">
      <c r="A850" s="38" t="n">
        <v>46185</v>
      </c>
      <c r="B850" s="11" t="n">
        <v>5</v>
      </c>
      <c r="C850" s="38" t="n">
        <v>46216</v>
      </c>
      <c r="D850" s="15" t="n">
        <v>214669.58</v>
      </c>
      <c r="E850" s="15" t="n">
        <v>313761.58</v>
      </c>
      <c r="F850" s="15" t="n">
        <v>545575.58</v>
      </c>
      <c r="G850" s="15" t="n">
        <f aca="false">E850-D850</f>
        <v>99092</v>
      </c>
      <c r="H850" s="15" t="n">
        <f aca="false">F850-D850</f>
        <v>330906</v>
      </c>
    </row>
    <row r="851" customFormat="false" ht="15" hidden="false" customHeight="false" outlineLevel="0" collapsed="false">
      <c r="A851" s="38" t="n">
        <v>46185</v>
      </c>
      <c r="B851" s="11" t="n">
        <v>6</v>
      </c>
      <c r="C851" s="38" t="n">
        <v>46223</v>
      </c>
      <c r="D851" s="15" t="n">
        <v>251310.86</v>
      </c>
      <c r="E851" s="15" t="n">
        <v>334086.86</v>
      </c>
      <c r="F851" s="15" t="n">
        <v>591090.86</v>
      </c>
      <c r="G851" s="15" t="n">
        <f aca="false">E851-D851</f>
        <v>82776</v>
      </c>
      <c r="H851" s="15" t="n">
        <f aca="false">F851-D851</f>
        <v>339780</v>
      </c>
    </row>
    <row r="852" customFormat="false" ht="15" hidden="false" customHeight="false" outlineLevel="0" collapsed="false">
      <c r="A852" s="38" t="n">
        <v>46185</v>
      </c>
      <c r="B852" s="11" t="n">
        <v>7</v>
      </c>
      <c r="C852" s="38" t="n">
        <v>46230</v>
      </c>
      <c r="D852" s="15" t="n">
        <v>147866.27</v>
      </c>
      <c r="E852" s="15" t="n">
        <v>223406.27</v>
      </c>
      <c r="F852" s="15" t="n">
        <v>643862.27</v>
      </c>
      <c r="G852" s="15" t="n">
        <f aca="false">E852-D852</f>
        <v>75540</v>
      </c>
      <c r="H852" s="15" t="n">
        <f aca="false">F852-D852</f>
        <v>495996</v>
      </c>
    </row>
    <row r="853" customFormat="false" ht="15" hidden="false" customHeight="false" outlineLevel="0" collapsed="false">
      <c r="A853" s="38" t="n">
        <v>46185</v>
      </c>
      <c r="B853" s="11" t="n">
        <v>8</v>
      </c>
      <c r="C853" s="38" t="n">
        <v>46237</v>
      </c>
      <c r="D853" s="15" t="n">
        <v>264300.23</v>
      </c>
      <c r="E853" s="15" t="n">
        <v>346320.23</v>
      </c>
      <c r="F853" s="15" t="n">
        <v>684648.23</v>
      </c>
      <c r="G853" s="15" t="n">
        <f aca="false">E853-D853</f>
        <v>82020</v>
      </c>
      <c r="H853" s="15" t="n">
        <f aca="false">F853-D853</f>
        <v>420348</v>
      </c>
    </row>
    <row r="854" customFormat="false" ht="15" hidden="false" customHeight="false" outlineLevel="0" collapsed="false">
      <c r="A854" s="38" t="n">
        <v>46185</v>
      </c>
      <c r="B854" s="11" t="n">
        <v>9</v>
      </c>
      <c r="C854" s="38" t="n">
        <v>46244</v>
      </c>
      <c r="D854" s="15" t="n">
        <v>545370.36</v>
      </c>
      <c r="E854" s="15" t="n">
        <v>611012.36</v>
      </c>
      <c r="F854" s="15" t="n">
        <v>836758.36</v>
      </c>
      <c r="G854" s="15" t="n">
        <f aca="false">E854-D854</f>
        <v>65642</v>
      </c>
      <c r="H854" s="15" t="n">
        <f aca="false">F854-D854</f>
        <v>291388</v>
      </c>
    </row>
    <row r="855" customFormat="false" ht="15" hidden="false" customHeight="false" outlineLevel="0" collapsed="false">
      <c r="A855" s="38" t="n">
        <v>46185</v>
      </c>
      <c r="B855" s="11" t="n">
        <v>10</v>
      </c>
      <c r="C855" s="38" t="n">
        <v>46251</v>
      </c>
      <c r="D855" s="15" t="n">
        <v>470260.22</v>
      </c>
      <c r="E855" s="15" t="n">
        <v>599634.22</v>
      </c>
      <c r="F855" s="15" t="n">
        <v>843210.22</v>
      </c>
      <c r="G855" s="15" t="n">
        <f aca="false">E855-D855</f>
        <v>129374</v>
      </c>
      <c r="H855" s="15" t="n">
        <f aca="false">F855-D855</f>
        <v>372950</v>
      </c>
    </row>
    <row r="856" customFormat="false" ht="15" hidden="false" customHeight="false" outlineLevel="0" collapsed="false">
      <c r="A856" s="38" t="n">
        <v>46185</v>
      </c>
      <c r="B856" s="11" t="n">
        <v>11</v>
      </c>
      <c r="C856" s="38" t="n">
        <v>46258</v>
      </c>
      <c r="D856" s="15" t="n">
        <v>535617.26</v>
      </c>
      <c r="E856" s="15" t="n">
        <v>646761.26</v>
      </c>
      <c r="F856" s="15" t="n">
        <v>922557.26</v>
      </c>
      <c r="G856" s="15" t="n">
        <f aca="false">E856-D856</f>
        <v>111144</v>
      </c>
      <c r="H856" s="15" t="n">
        <f aca="false">F856-D856</f>
        <v>386940</v>
      </c>
    </row>
    <row r="857" customFormat="false" ht="15" hidden="false" customHeight="false" outlineLevel="0" collapsed="false">
      <c r="A857" s="38" t="n">
        <v>46185</v>
      </c>
      <c r="B857" s="11" t="n">
        <v>12</v>
      </c>
      <c r="C857" s="38" t="n">
        <v>46265</v>
      </c>
      <c r="D857" s="15" t="n">
        <v>403732.6</v>
      </c>
      <c r="E857" s="15" t="n">
        <v>543652.6</v>
      </c>
      <c r="F857" s="15" t="n">
        <v>808732.6</v>
      </c>
      <c r="G857" s="15" t="n">
        <f aca="false">E857-D857</f>
        <v>139920</v>
      </c>
      <c r="H857" s="15" t="n">
        <f aca="false">F857-D857</f>
        <v>405000</v>
      </c>
    </row>
    <row r="858" customFormat="false" ht="15" hidden="false" customHeight="false" outlineLevel="0" collapsed="false">
      <c r="A858" s="38" t="n">
        <v>46185</v>
      </c>
      <c r="B858" s="11" t="n">
        <v>13</v>
      </c>
      <c r="C858" s="38" t="n">
        <v>46272</v>
      </c>
      <c r="D858" s="15" t="n">
        <v>563910.58</v>
      </c>
      <c r="E858" s="15" t="n">
        <v>565458.58</v>
      </c>
      <c r="F858" s="15" t="n">
        <v>820254.58</v>
      </c>
      <c r="G858" s="15" t="n">
        <f aca="false">E858-D858</f>
        <v>1548</v>
      </c>
      <c r="H858" s="15" t="n">
        <f aca="false">F858-D858</f>
        <v>256344</v>
      </c>
    </row>
    <row r="859" customFormat="false" ht="15" hidden="false" customHeight="false" outlineLevel="0" collapsed="false">
      <c r="A859" s="38" t="n">
        <v>46192</v>
      </c>
      <c r="B859" s="11" t="n">
        <v>1</v>
      </c>
      <c r="C859" s="38" t="n">
        <v>46195</v>
      </c>
      <c r="D859" s="15" t="n">
        <v>471965.78</v>
      </c>
      <c r="E859" s="15" t="n">
        <v>486543.78</v>
      </c>
      <c r="F859" s="15" t="n">
        <v>715431.78</v>
      </c>
      <c r="G859" s="15" t="n">
        <f aca="false">E859-D859</f>
        <v>14578</v>
      </c>
      <c r="H859" s="15" t="n">
        <f aca="false">F859-D859</f>
        <v>243466</v>
      </c>
    </row>
    <row r="860" customFormat="false" ht="15" hidden="false" customHeight="false" outlineLevel="0" collapsed="false">
      <c r="A860" s="38" t="n">
        <v>46192</v>
      </c>
      <c r="B860" s="11" t="n">
        <v>2</v>
      </c>
      <c r="C860" s="38" t="n">
        <v>46202</v>
      </c>
      <c r="D860" s="15" t="n">
        <v>256731.64</v>
      </c>
      <c r="E860" s="15" t="n">
        <v>306987.64</v>
      </c>
      <c r="F860" s="15" t="n">
        <v>514459.64</v>
      </c>
      <c r="G860" s="15" t="n">
        <f aca="false">E860-D860</f>
        <v>50256</v>
      </c>
      <c r="H860" s="15" t="n">
        <f aca="false">F860-D860</f>
        <v>257728</v>
      </c>
    </row>
    <row r="861" customFormat="false" ht="15" hidden="false" customHeight="false" outlineLevel="0" collapsed="false">
      <c r="A861" s="38" t="n">
        <v>46192</v>
      </c>
      <c r="B861" s="11" t="n">
        <v>3</v>
      </c>
      <c r="C861" s="38" t="n">
        <v>46209</v>
      </c>
      <c r="D861" s="15" t="n">
        <v>275276.88</v>
      </c>
      <c r="E861" s="15" t="n">
        <v>374948.88</v>
      </c>
      <c r="F861" s="15" t="n">
        <v>594002.88</v>
      </c>
      <c r="G861" s="15" t="n">
        <f aca="false">E861-D861</f>
        <v>99672</v>
      </c>
      <c r="H861" s="15" t="n">
        <f aca="false">F861-D861</f>
        <v>318726</v>
      </c>
    </row>
    <row r="862" customFormat="false" ht="15" hidden="false" customHeight="false" outlineLevel="0" collapsed="false">
      <c r="A862" s="38" t="n">
        <v>46192</v>
      </c>
      <c r="B862" s="11" t="n">
        <v>4</v>
      </c>
      <c r="C862" s="38" t="n">
        <v>46216</v>
      </c>
      <c r="D862" s="15" t="n">
        <v>214669.58</v>
      </c>
      <c r="E862" s="15" t="n">
        <v>313761.58</v>
      </c>
      <c r="F862" s="15" t="n">
        <v>545575.58</v>
      </c>
      <c r="G862" s="15" t="n">
        <f aca="false">E862-D862</f>
        <v>99092</v>
      </c>
      <c r="H862" s="15" t="n">
        <f aca="false">F862-D862</f>
        <v>330906</v>
      </c>
    </row>
    <row r="863" customFormat="false" ht="15" hidden="false" customHeight="false" outlineLevel="0" collapsed="false">
      <c r="A863" s="38" t="n">
        <v>46192</v>
      </c>
      <c r="B863" s="11" t="n">
        <v>5</v>
      </c>
      <c r="C863" s="38" t="n">
        <v>46223</v>
      </c>
      <c r="D863" s="15" t="n">
        <v>251310.86</v>
      </c>
      <c r="E863" s="15" t="n">
        <v>334086.86</v>
      </c>
      <c r="F863" s="15" t="n">
        <v>591090.86</v>
      </c>
      <c r="G863" s="15" t="n">
        <f aca="false">E863-D863</f>
        <v>82776</v>
      </c>
      <c r="H863" s="15" t="n">
        <f aca="false">F863-D863</f>
        <v>339780</v>
      </c>
    </row>
    <row r="864" customFormat="false" ht="15" hidden="false" customHeight="false" outlineLevel="0" collapsed="false">
      <c r="A864" s="38" t="n">
        <v>46192</v>
      </c>
      <c r="B864" s="11" t="n">
        <v>6</v>
      </c>
      <c r="C864" s="38" t="n">
        <v>46230</v>
      </c>
      <c r="D864" s="15" t="n">
        <v>147866.27</v>
      </c>
      <c r="E864" s="15" t="n">
        <v>272786.27</v>
      </c>
      <c r="F864" s="15" t="n">
        <v>643862.27</v>
      </c>
      <c r="G864" s="15" t="n">
        <f aca="false">E864-D864</f>
        <v>124920</v>
      </c>
      <c r="H864" s="15" t="n">
        <f aca="false">F864-D864</f>
        <v>495996</v>
      </c>
    </row>
    <row r="865" customFormat="false" ht="15" hidden="false" customHeight="false" outlineLevel="0" collapsed="false">
      <c r="A865" s="38" t="n">
        <v>46192</v>
      </c>
      <c r="B865" s="11" t="n">
        <v>7</v>
      </c>
      <c r="C865" s="38" t="n">
        <v>46237</v>
      </c>
      <c r="D865" s="15" t="n">
        <v>264300.23</v>
      </c>
      <c r="E865" s="15" t="n">
        <v>346320.23</v>
      </c>
      <c r="F865" s="15" t="n">
        <v>684648.23</v>
      </c>
      <c r="G865" s="15" t="n">
        <f aca="false">E865-D865</f>
        <v>82020</v>
      </c>
      <c r="H865" s="15" t="n">
        <f aca="false">F865-D865</f>
        <v>420348</v>
      </c>
    </row>
    <row r="866" customFormat="false" ht="15" hidden="false" customHeight="false" outlineLevel="0" collapsed="false">
      <c r="A866" s="38" t="n">
        <v>46192</v>
      </c>
      <c r="B866" s="11" t="n">
        <v>8</v>
      </c>
      <c r="C866" s="38" t="n">
        <v>46244</v>
      </c>
      <c r="D866" s="15" t="n">
        <v>545370.36</v>
      </c>
      <c r="E866" s="15" t="n">
        <v>611012.36</v>
      </c>
      <c r="F866" s="15" t="n">
        <v>836758.36</v>
      </c>
      <c r="G866" s="15" t="n">
        <f aca="false">E866-D866</f>
        <v>65642</v>
      </c>
      <c r="H866" s="15" t="n">
        <f aca="false">F866-D866</f>
        <v>291388</v>
      </c>
    </row>
    <row r="867" customFormat="false" ht="15" hidden="false" customHeight="false" outlineLevel="0" collapsed="false">
      <c r="A867" s="38" t="n">
        <v>46192</v>
      </c>
      <c r="B867" s="11" t="n">
        <v>9</v>
      </c>
      <c r="C867" s="38" t="n">
        <v>46251</v>
      </c>
      <c r="D867" s="15" t="n">
        <v>470260.22</v>
      </c>
      <c r="E867" s="15" t="n">
        <v>599634.22</v>
      </c>
      <c r="F867" s="15" t="n">
        <v>843210.22</v>
      </c>
      <c r="G867" s="15" t="n">
        <f aca="false">E867-D867</f>
        <v>129374</v>
      </c>
      <c r="H867" s="15" t="n">
        <f aca="false">F867-D867</f>
        <v>372950</v>
      </c>
    </row>
    <row r="868" customFormat="false" ht="15" hidden="false" customHeight="false" outlineLevel="0" collapsed="false">
      <c r="A868" s="38" t="n">
        <v>46192</v>
      </c>
      <c r="B868" s="11" t="n">
        <v>10</v>
      </c>
      <c r="C868" s="38" t="n">
        <v>46258</v>
      </c>
      <c r="D868" s="15" t="n">
        <v>535617.26</v>
      </c>
      <c r="E868" s="15" t="n">
        <v>646761.26</v>
      </c>
      <c r="F868" s="15" t="n">
        <v>922557.26</v>
      </c>
      <c r="G868" s="15" t="n">
        <f aca="false">E868-D868</f>
        <v>111144</v>
      </c>
      <c r="H868" s="15" t="n">
        <f aca="false">F868-D868</f>
        <v>386940</v>
      </c>
    </row>
    <row r="869" customFormat="false" ht="15" hidden="false" customHeight="false" outlineLevel="0" collapsed="false">
      <c r="A869" s="38" t="n">
        <v>46192</v>
      </c>
      <c r="B869" s="11" t="n">
        <v>11</v>
      </c>
      <c r="C869" s="38" t="n">
        <v>46265</v>
      </c>
      <c r="D869" s="15" t="n">
        <v>403732.6</v>
      </c>
      <c r="E869" s="15" t="n">
        <v>543652.6</v>
      </c>
      <c r="F869" s="15" t="n">
        <v>808732.6</v>
      </c>
      <c r="G869" s="15" t="n">
        <f aca="false">E869-D869</f>
        <v>139920</v>
      </c>
      <c r="H869" s="15" t="n">
        <f aca="false">F869-D869</f>
        <v>405000</v>
      </c>
    </row>
    <row r="870" customFormat="false" ht="15" hidden="false" customHeight="false" outlineLevel="0" collapsed="false">
      <c r="A870" s="38" t="n">
        <v>46192</v>
      </c>
      <c r="B870" s="11" t="n">
        <v>12</v>
      </c>
      <c r="C870" s="38" t="n">
        <v>46272</v>
      </c>
      <c r="D870" s="15" t="n">
        <v>563910.58</v>
      </c>
      <c r="E870" s="15" t="n">
        <v>565458.58</v>
      </c>
      <c r="F870" s="15" t="n">
        <v>820254.58</v>
      </c>
      <c r="G870" s="15" t="n">
        <f aca="false">E870-D870</f>
        <v>1548</v>
      </c>
      <c r="H870" s="15" t="n">
        <f aca="false">F870-D870</f>
        <v>256344</v>
      </c>
    </row>
    <row r="871" customFormat="false" ht="15" hidden="false" customHeight="false" outlineLevel="0" collapsed="false">
      <c r="A871" s="38" t="n">
        <v>46192</v>
      </c>
      <c r="B871" s="11" t="n">
        <v>13</v>
      </c>
      <c r="C871" s="38" t="n">
        <v>46279</v>
      </c>
      <c r="D871" s="15" t="n">
        <v>490592.31</v>
      </c>
      <c r="E871" s="15" t="n">
        <v>620912.31</v>
      </c>
      <c r="F871" s="15" t="n">
        <v>765992.31</v>
      </c>
      <c r="G871" s="15" t="n">
        <f aca="false">E871-D871</f>
        <v>130320</v>
      </c>
      <c r="H871" s="15" t="n">
        <f aca="false">F871-D871</f>
        <v>275400</v>
      </c>
    </row>
    <row r="872" customFormat="false" ht="15" hidden="false" customHeight="false" outlineLevel="0" collapsed="false">
      <c r="A872" s="38" t="n">
        <v>46199</v>
      </c>
      <c r="B872" s="11" t="n">
        <v>1</v>
      </c>
      <c r="C872" s="38" t="n">
        <v>46202</v>
      </c>
      <c r="D872" s="15" t="n">
        <v>256731.64</v>
      </c>
      <c r="E872" s="15" t="n">
        <v>291915.64</v>
      </c>
      <c r="F872" s="15" t="n">
        <v>514459.64</v>
      </c>
      <c r="G872" s="15" t="n">
        <f aca="false">E872-D872</f>
        <v>35184</v>
      </c>
      <c r="H872" s="15" t="n">
        <f aca="false">F872-D872</f>
        <v>257728</v>
      </c>
    </row>
    <row r="873" customFormat="false" ht="15" hidden="false" customHeight="false" outlineLevel="0" collapsed="false">
      <c r="A873" s="38" t="n">
        <v>46199</v>
      </c>
      <c r="B873" s="11" t="n">
        <v>2</v>
      </c>
      <c r="C873" s="38" t="n">
        <v>46209</v>
      </c>
      <c r="D873" s="15" t="n">
        <v>275276.88</v>
      </c>
      <c r="E873" s="15" t="n">
        <v>383180.88</v>
      </c>
      <c r="F873" s="15" t="n">
        <v>594002.88</v>
      </c>
      <c r="G873" s="15" t="n">
        <f aca="false">E873-D873</f>
        <v>107904</v>
      </c>
      <c r="H873" s="15" t="n">
        <f aca="false">F873-D873</f>
        <v>318726</v>
      </c>
    </row>
    <row r="874" customFormat="false" ht="15" hidden="false" customHeight="false" outlineLevel="0" collapsed="false">
      <c r="A874" s="38" t="n">
        <v>46199</v>
      </c>
      <c r="B874" s="11" t="n">
        <v>3</v>
      </c>
      <c r="C874" s="38" t="n">
        <v>46216</v>
      </c>
      <c r="D874" s="15" t="n">
        <v>214669.58</v>
      </c>
      <c r="E874" s="15" t="n">
        <v>313761.58</v>
      </c>
      <c r="F874" s="15" t="n">
        <v>545575.58</v>
      </c>
      <c r="G874" s="15" t="n">
        <f aca="false">E874-D874</f>
        <v>99092</v>
      </c>
      <c r="H874" s="15" t="n">
        <f aca="false">F874-D874</f>
        <v>330906</v>
      </c>
    </row>
    <row r="875" customFormat="false" ht="15" hidden="false" customHeight="false" outlineLevel="0" collapsed="false">
      <c r="A875" s="38" t="n">
        <v>46199</v>
      </c>
      <c r="B875" s="11" t="n">
        <v>4</v>
      </c>
      <c r="C875" s="38" t="n">
        <v>46223</v>
      </c>
      <c r="D875" s="15" t="n">
        <v>251310.86</v>
      </c>
      <c r="E875" s="15" t="n">
        <v>345438.86</v>
      </c>
      <c r="F875" s="15" t="n">
        <v>591090.86</v>
      </c>
      <c r="G875" s="15" t="n">
        <f aca="false">E875-D875</f>
        <v>94128</v>
      </c>
      <c r="H875" s="15" t="n">
        <f aca="false">F875-D875</f>
        <v>339780</v>
      </c>
    </row>
    <row r="876" customFormat="false" ht="15" hidden="false" customHeight="false" outlineLevel="0" collapsed="false">
      <c r="A876" s="38" t="n">
        <v>46199</v>
      </c>
      <c r="B876" s="11" t="n">
        <v>5</v>
      </c>
      <c r="C876" s="38" t="n">
        <v>46230</v>
      </c>
      <c r="D876" s="15" t="n">
        <v>147866.27</v>
      </c>
      <c r="E876" s="15" t="n">
        <v>286514.27</v>
      </c>
      <c r="F876" s="15" t="n">
        <v>643862.27</v>
      </c>
      <c r="G876" s="15" t="n">
        <f aca="false">E876-D876</f>
        <v>138648</v>
      </c>
      <c r="H876" s="15" t="n">
        <f aca="false">F876-D876</f>
        <v>495996</v>
      </c>
    </row>
    <row r="877" customFormat="false" ht="15" hidden="false" customHeight="false" outlineLevel="0" collapsed="false">
      <c r="A877" s="38" t="n">
        <v>46199</v>
      </c>
      <c r="B877" s="11" t="n">
        <v>6</v>
      </c>
      <c r="C877" s="38" t="n">
        <v>46237</v>
      </c>
      <c r="D877" s="15" t="n">
        <v>264300.23</v>
      </c>
      <c r="E877" s="15" t="n">
        <v>351996.23</v>
      </c>
      <c r="F877" s="15" t="n">
        <v>684648.23</v>
      </c>
      <c r="G877" s="15" t="n">
        <f aca="false">E877-D877</f>
        <v>87696</v>
      </c>
      <c r="H877" s="15" t="n">
        <f aca="false">F877-D877</f>
        <v>420348</v>
      </c>
    </row>
    <row r="878" customFormat="false" ht="15" hidden="false" customHeight="false" outlineLevel="0" collapsed="false">
      <c r="A878" s="38" t="n">
        <v>46199</v>
      </c>
      <c r="B878" s="11" t="n">
        <v>7</v>
      </c>
      <c r="C878" s="38" t="n">
        <v>46244</v>
      </c>
      <c r="D878" s="15" t="n">
        <v>545370.36</v>
      </c>
      <c r="E878" s="15" t="n">
        <v>611012.36</v>
      </c>
      <c r="F878" s="15" t="n">
        <v>836758.36</v>
      </c>
      <c r="G878" s="15" t="n">
        <f aca="false">E878-D878</f>
        <v>65642</v>
      </c>
      <c r="H878" s="15" t="n">
        <f aca="false">F878-D878</f>
        <v>291388</v>
      </c>
    </row>
    <row r="879" customFormat="false" ht="15" hidden="false" customHeight="false" outlineLevel="0" collapsed="false">
      <c r="A879" s="38" t="n">
        <v>46199</v>
      </c>
      <c r="B879" s="11" t="n">
        <v>8</v>
      </c>
      <c r="C879" s="38" t="n">
        <v>46251</v>
      </c>
      <c r="D879" s="15" t="n">
        <v>470260.22</v>
      </c>
      <c r="E879" s="15" t="n">
        <v>605754.22</v>
      </c>
      <c r="F879" s="15" t="n">
        <v>843210.22</v>
      </c>
      <c r="G879" s="15" t="n">
        <f aca="false">E879-D879</f>
        <v>135494</v>
      </c>
      <c r="H879" s="15" t="n">
        <f aca="false">F879-D879</f>
        <v>372950</v>
      </c>
    </row>
    <row r="880" customFormat="false" ht="15" hidden="false" customHeight="false" outlineLevel="0" collapsed="false">
      <c r="A880" s="38" t="n">
        <v>46199</v>
      </c>
      <c r="B880" s="11" t="n">
        <v>9</v>
      </c>
      <c r="C880" s="38" t="n">
        <v>46258</v>
      </c>
      <c r="D880" s="15" t="n">
        <v>535617.26</v>
      </c>
      <c r="E880" s="15" t="n">
        <v>626349.26</v>
      </c>
      <c r="F880" s="15" t="n">
        <v>922557.26</v>
      </c>
      <c r="G880" s="15" t="n">
        <f aca="false">E880-D880</f>
        <v>90732</v>
      </c>
      <c r="H880" s="15" t="n">
        <f aca="false">F880-D880</f>
        <v>386940</v>
      </c>
    </row>
    <row r="881" customFormat="false" ht="15" hidden="false" customHeight="false" outlineLevel="0" collapsed="false">
      <c r="A881" s="38" t="n">
        <v>46199</v>
      </c>
      <c r="B881" s="11" t="n">
        <v>10</v>
      </c>
      <c r="C881" s="38" t="n">
        <v>46265</v>
      </c>
      <c r="D881" s="15" t="n">
        <v>403732.6</v>
      </c>
      <c r="E881" s="15" t="n">
        <v>553936.6</v>
      </c>
      <c r="F881" s="15" t="n">
        <v>808732.6</v>
      </c>
      <c r="G881" s="15" t="n">
        <f aca="false">E881-D881</f>
        <v>150204</v>
      </c>
      <c r="H881" s="15" t="n">
        <f aca="false">F881-D881</f>
        <v>405000</v>
      </c>
    </row>
    <row r="882" customFormat="false" ht="15" hidden="false" customHeight="false" outlineLevel="0" collapsed="false">
      <c r="A882" s="38" t="n">
        <v>46199</v>
      </c>
      <c r="B882" s="11" t="n">
        <v>11</v>
      </c>
      <c r="C882" s="38" t="n">
        <v>46272</v>
      </c>
      <c r="D882" s="15" t="n">
        <v>563910.58</v>
      </c>
      <c r="E882" s="15" t="n">
        <v>575670.58</v>
      </c>
      <c r="F882" s="15" t="n">
        <v>820254.58</v>
      </c>
      <c r="G882" s="15" t="n">
        <f aca="false">E882-D882</f>
        <v>11760</v>
      </c>
      <c r="H882" s="15" t="n">
        <f aca="false">F882-D882</f>
        <v>256344</v>
      </c>
    </row>
    <row r="883" customFormat="false" ht="15" hidden="false" customHeight="false" outlineLevel="0" collapsed="false">
      <c r="A883" s="38" t="n">
        <v>46199</v>
      </c>
      <c r="B883" s="11" t="n">
        <v>12</v>
      </c>
      <c r="C883" s="38" t="n">
        <v>46279</v>
      </c>
      <c r="D883" s="15" t="n">
        <v>490592.31</v>
      </c>
      <c r="E883" s="15" t="n">
        <v>620912.31</v>
      </c>
      <c r="F883" s="15" t="n">
        <v>765992.31</v>
      </c>
      <c r="G883" s="15" t="n">
        <f aca="false">E883-D883</f>
        <v>130320</v>
      </c>
      <c r="H883" s="15" t="n">
        <f aca="false">F883-D883</f>
        <v>275400</v>
      </c>
    </row>
    <row r="884" customFormat="false" ht="15" hidden="false" customHeight="false" outlineLevel="0" collapsed="false">
      <c r="A884" s="38" t="n">
        <v>46199</v>
      </c>
      <c r="B884" s="11" t="n">
        <v>13</v>
      </c>
      <c r="C884" s="38" t="n">
        <v>46286</v>
      </c>
      <c r="D884" s="15" t="n">
        <v>639007.39</v>
      </c>
      <c r="E884" s="15" t="n">
        <v>715997.39</v>
      </c>
      <c r="F884" s="15" t="n">
        <v>844507.39</v>
      </c>
      <c r="G884" s="15" t="n">
        <f aca="false">E884-D884</f>
        <v>76990</v>
      </c>
      <c r="H884" s="15" t="n">
        <f aca="false">F884-D884</f>
        <v>205500</v>
      </c>
    </row>
    <row r="885" customFormat="false" ht="15" hidden="false" customHeight="false" outlineLevel="0" collapsed="false">
      <c r="A885" s="38" t="n">
        <v>46206</v>
      </c>
      <c r="B885" s="11" t="n">
        <v>1</v>
      </c>
      <c r="C885" s="38" t="n">
        <v>46209</v>
      </c>
      <c r="D885" s="15" t="n">
        <v>275276.88</v>
      </c>
      <c r="E885" s="15" t="n">
        <v>323708.88</v>
      </c>
      <c r="F885" s="15" t="n">
        <v>594002.88</v>
      </c>
      <c r="G885" s="15" t="n">
        <f aca="false">E885-D885</f>
        <v>48432</v>
      </c>
      <c r="H885" s="15" t="n">
        <f aca="false">F885-D885</f>
        <v>318726</v>
      </c>
    </row>
    <row r="886" customFormat="false" ht="15" hidden="false" customHeight="false" outlineLevel="0" collapsed="false">
      <c r="A886" s="38" t="n">
        <v>46206</v>
      </c>
      <c r="B886" s="11" t="n">
        <v>2</v>
      </c>
      <c r="C886" s="38" t="n">
        <v>46216</v>
      </c>
      <c r="D886" s="15" t="n">
        <v>214669.58</v>
      </c>
      <c r="E886" s="15" t="n">
        <v>305229.58</v>
      </c>
      <c r="F886" s="15" t="n">
        <v>545575.58</v>
      </c>
      <c r="G886" s="15" t="n">
        <f aca="false">E886-D886</f>
        <v>90560</v>
      </c>
      <c r="H886" s="15" t="n">
        <f aca="false">F886-D886</f>
        <v>330906</v>
      </c>
    </row>
    <row r="887" customFormat="false" ht="15" hidden="false" customHeight="false" outlineLevel="0" collapsed="false">
      <c r="A887" s="38" t="n">
        <v>46206</v>
      </c>
      <c r="B887" s="11" t="n">
        <v>3</v>
      </c>
      <c r="C887" s="38" t="n">
        <v>46223</v>
      </c>
      <c r="D887" s="15" t="n">
        <v>251310.86</v>
      </c>
      <c r="E887" s="15" t="n">
        <v>334086.86</v>
      </c>
      <c r="F887" s="15" t="n">
        <v>591090.86</v>
      </c>
      <c r="G887" s="15" t="n">
        <f aca="false">E887-D887</f>
        <v>82776</v>
      </c>
      <c r="H887" s="15" t="n">
        <f aca="false">F887-D887</f>
        <v>339780</v>
      </c>
    </row>
    <row r="888" customFormat="false" ht="15" hidden="false" customHeight="false" outlineLevel="0" collapsed="false">
      <c r="A888" s="38" t="n">
        <v>46206</v>
      </c>
      <c r="B888" s="11" t="n">
        <v>4</v>
      </c>
      <c r="C888" s="38" t="n">
        <v>46230</v>
      </c>
      <c r="D888" s="15" t="n">
        <v>147866.27</v>
      </c>
      <c r="E888" s="15" t="n">
        <v>257846.27</v>
      </c>
      <c r="F888" s="15" t="n">
        <v>643862.27</v>
      </c>
      <c r="G888" s="15" t="n">
        <f aca="false">E888-D888</f>
        <v>109980</v>
      </c>
      <c r="H888" s="15" t="n">
        <f aca="false">F888-D888</f>
        <v>495996</v>
      </c>
    </row>
    <row r="889" customFormat="false" ht="15" hidden="false" customHeight="false" outlineLevel="0" collapsed="false">
      <c r="A889" s="38" t="n">
        <v>46206</v>
      </c>
      <c r="B889" s="11" t="n">
        <v>5</v>
      </c>
      <c r="C889" s="38" t="n">
        <v>46237</v>
      </c>
      <c r="D889" s="15" t="n">
        <v>264300.23</v>
      </c>
      <c r="E889" s="15" t="n">
        <v>338868.23</v>
      </c>
      <c r="F889" s="15" t="n">
        <v>684648.23</v>
      </c>
      <c r="G889" s="15" t="n">
        <f aca="false">E889-D889</f>
        <v>74568</v>
      </c>
      <c r="H889" s="15" t="n">
        <f aca="false">F889-D889</f>
        <v>420348</v>
      </c>
    </row>
    <row r="890" customFormat="false" ht="15" hidden="false" customHeight="false" outlineLevel="0" collapsed="false">
      <c r="A890" s="38" t="n">
        <v>46206</v>
      </c>
      <c r="B890" s="11" t="n">
        <v>6</v>
      </c>
      <c r="C890" s="38" t="n">
        <v>46244</v>
      </c>
      <c r="D890" s="15" t="n">
        <v>545370.36</v>
      </c>
      <c r="E890" s="15" t="n">
        <v>589100.36</v>
      </c>
      <c r="F890" s="15" t="n">
        <v>836758.36</v>
      </c>
      <c r="G890" s="15" t="n">
        <f aca="false">E890-D890</f>
        <v>43730</v>
      </c>
      <c r="H890" s="15" t="n">
        <f aca="false">F890-D890</f>
        <v>291388</v>
      </c>
    </row>
    <row r="891" customFormat="false" ht="15" hidden="false" customHeight="false" outlineLevel="0" collapsed="false">
      <c r="A891" s="38" t="n">
        <v>46206</v>
      </c>
      <c r="B891" s="11" t="n">
        <v>7</v>
      </c>
      <c r="C891" s="38" t="n">
        <v>46251</v>
      </c>
      <c r="D891" s="15" t="n">
        <v>470260.22</v>
      </c>
      <c r="E891" s="15" t="n">
        <v>599634.22</v>
      </c>
      <c r="F891" s="15" t="n">
        <v>843210.22</v>
      </c>
      <c r="G891" s="15" t="n">
        <f aca="false">E891-D891</f>
        <v>129374</v>
      </c>
      <c r="H891" s="15" t="n">
        <f aca="false">F891-D891</f>
        <v>372950</v>
      </c>
    </row>
    <row r="892" customFormat="false" ht="15" hidden="false" customHeight="false" outlineLevel="0" collapsed="false">
      <c r="A892" s="38" t="n">
        <v>46206</v>
      </c>
      <c r="B892" s="11" t="n">
        <v>8</v>
      </c>
      <c r="C892" s="38" t="n">
        <v>46258</v>
      </c>
      <c r="D892" s="15" t="n">
        <v>535617.26</v>
      </c>
      <c r="E892" s="15" t="n">
        <v>610437.26</v>
      </c>
      <c r="F892" s="15" t="n">
        <v>922557.26</v>
      </c>
      <c r="G892" s="15" t="n">
        <f aca="false">E892-D892</f>
        <v>74820</v>
      </c>
      <c r="H892" s="15" t="n">
        <f aca="false">F892-D892</f>
        <v>386940</v>
      </c>
    </row>
    <row r="893" customFormat="false" ht="15" hidden="false" customHeight="false" outlineLevel="0" collapsed="false">
      <c r="A893" s="38" t="n">
        <v>46206</v>
      </c>
      <c r="B893" s="11" t="n">
        <v>9</v>
      </c>
      <c r="C893" s="38" t="n">
        <v>46265</v>
      </c>
      <c r="D893" s="15" t="n">
        <v>403732.6</v>
      </c>
      <c r="E893" s="15" t="n">
        <v>530848.6</v>
      </c>
      <c r="F893" s="15" t="n">
        <v>808732.6</v>
      </c>
      <c r="G893" s="15" t="n">
        <f aca="false">E893-D893</f>
        <v>127116</v>
      </c>
      <c r="H893" s="15" t="n">
        <f aca="false">F893-D893</f>
        <v>405000</v>
      </c>
    </row>
    <row r="894" customFormat="false" ht="15" hidden="false" customHeight="false" outlineLevel="0" collapsed="false">
      <c r="A894" s="38" t="n">
        <v>46206</v>
      </c>
      <c r="B894" s="11" t="n">
        <v>10</v>
      </c>
      <c r="C894" s="38" t="n">
        <v>46272</v>
      </c>
      <c r="D894" s="15" t="n">
        <v>563910.58</v>
      </c>
      <c r="E894" s="15" t="n">
        <v>565458.58</v>
      </c>
      <c r="F894" s="15" t="n">
        <v>820254.58</v>
      </c>
      <c r="G894" s="15" t="n">
        <f aca="false">E894-D894</f>
        <v>1548</v>
      </c>
      <c r="H894" s="15" t="n">
        <f aca="false">F894-D894</f>
        <v>256344</v>
      </c>
    </row>
    <row r="895" customFormat="false" ht="15" hidden="false" customHeight="false" outlineLevel="0" collapsed="false">
      <c r="A895" s="38" t="n">
        <v>46206</v>
      </c>
      <c r="B895" s="11" t="n">
        <v>11</v>
      </c>
      <c r="C895" s="38" t="n">
        <v>46279</v>
      </c>
      <c r="D895" s="15" t="n">
        <v>490592.31</v>
      </c>
      <c r="E895" s="15" t="n">
        <v>594104.31</v>
      </c>
      <c r="F895" s="15" t="n">
        <v>765992.31</v>
      </c>
      <c r="G895" s="15" t="n">
        <f aca="false">E895-D895</f>
        <v>103512</v>
      </c>
      <c r="H895" s="15" t="n">
        <f aca="false">F895-D895</f>
        <v>275400</v>
      </c>
    </row>
    <row r="896" customFormat="false" ht="15" hidden="false" customHeight="false" outlineLevel="0" collapsed="false">
      <c r="A896" s="38" t="n">
        <v>46206</v>
      </c>
      <c r="B896" s="11" t="n">
        <v>12</v>
      </c>
      <c r="C896" s="38" t="n">
        <v>46286</v>
      </c>
      <c r="D896" s="15" t="n">
        <v>639007.39</v>
      </c>
      <c r="E896" s="15" t="n">
        <v>715997.39</v>
      </c>
      <c r="F896" s="15" t="n">
        <v>844507.39</v>
      </c>
      <c r="G896" s="15" t="n">
        <f aca="false">E896-D896</f>
        <v>76990</v>
      </c>
      <c r="H896" s="15" t="n">
        <f aca="false">F896-D896</f>
        <v>205500</v>
      </c>
    </row>
    <row r="897" customFormat="false" ht="15" hidden="false" customHeight="false" outlineLevel="0" collapsed="false">
      <c r="A897" s="38" t="n">
        <v>46206</v>
      </c>
      <c r="B897" s="11" t="n">
        <v>13</v>
      </c>
      <c r="C897" s="38" t="n">
        <v>46293</v>
      </c>
      <c r="D897" s="15" t="n">
        <v>434308.31</v>
      </c>
      <c r="E897" s="15" t="n">
        <v>442828.31</v>
      </c>
      <c r="F897" s="15" t="n">
        <v>586180.31</v>
      </c>
      <c r="G897" s="15" t="n">
        <f aca="false">E897-D897</f>
        <v>8520</v>
      </c>
      <c r="H897" s="15" t="n">
        <f aca="false">F897-D897</f>
        <v>151872</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20"/>
    <col collapsed="false" customWidth="true" hidden="false" outlineLevel="0" max="4" min="4" style="0" width="10"/>
    <col collapsed="false" customWidth="true" hidden="false" outlineLevel="0" max="5" min="5" style="0" width="48"/>
    <col collapsed="false" customWidth="true" hidden="false" outlineLevel="0" max="6" min="6" style="0" width="26"/>
    <col collapsed="false" customWidth="true" hidden="false" outlineLevel="0" max="7" min="7" style="0" width="13"/>
    <col collapsed="false" customWidth="true" hidden="false" outlineLevel="0" max="8" min="8" style="0" width="12"/>
    <col collapsed="false" customWidth="true" hidden="false" outlineLevel="0" max="9" min="9" style="0" width="24"/>
  </cols>
  <sheetData>
    <row r="1" customFormat="false" ht="15" hidden="false" customHeight="false" outlineLevel="0" collapsed="false">
      <c r="A1" s="43" t="s">
        <v>187</v>
      </c>
      <c r="B1" s="43" t="s">
        <v>1183</v>
      </c>
      <c r="C1" s="43" t="s">
        <v>1184</v>
      </c>
      <c r="D1" s="43" t="s">
        <v>1185</v>
      </c>
      <c r="E1" s="43" t="s">
        <v>1186</v>
      </c>
      <c r="F1" s="43" t="s">
        <v>195</v>
      </c>
      <c r="G1" s="43" t="s">
        <v>1187</v>
      </c>
      <c r="H1" s="43" t="s">
        <v>194</v>
      </c>
      <c r="I1" s="43" t="s">
        <v>1188</v>
      </c>
    </row>
    <row r="2" customFormat="false" ht="15" hidden="false" customHeight="false" outlineLevel="0" collapsed="false">
      <c r="A2" s="11" t="s">
        <v>1189</v>
      </c>
      <c r="B2" s="11" t="s">
        <v>1190</v>
      </c>
      <c r="C2" s="44" t="n">
        <v>46307</v>
      </c>
      <c r="D2" s="11" t="s">
        <v>199</v>
      </c>
      <c r="E2" s="11" t="s">
        <v>1191</v>
      </c>
      <c r="F2" s="11" t="s">
        <v>241</v>
      </c>
      <c r="G2" s="38" t="n">
        <v>46304</v>
      </c>
      <c r="H2" s="11" t="s">
        <v>212</v>
      </c>
      <c r="I2" s="11" t="s">
        <v>1192</v>
      </c>
    </row>
    <row r="3" customFormat="false" ht="15" hidden="false" customHeight="false" outlineLevel="0" collapsed="false">
      <c r="A3" s="11" t="s">
        <v>1193</v>
      </c>
      <c r="B3" s="11" t="s">
        <v>1194</v>
      </c>
      <c r="C3" s="45" t="n">
        <v>13</v>
      </c>
      <c r="D3" s="11" t="s">
        <v>1195</v>
      </c>
      <c r="E3" s="11" t="s">
        <v>1196</v>
      </c>
      <c r="F3" s="11" t="s">
        <v>241</v>
      </c>
      <c r="G3" s="38" t="n">
        <v>46304</v>
      </c>
      <c r="H3" s="11" t="s">
        <v>212</v>
      </c>
      <c r="I3" s="11" t="s">
        <v>1197</v>
      </c>
    </row>
    <row r="4" customFormat="false" ht="15" hidden="false" customHeight="false" outlineLevel="0" collapsed="false">
      <c r="A4" s="11" t="s">
        <v>1198</v>
      </c>
      <c r="B4" s="11" t="s">
        <v>1199</v>
      </c>
      <c r="C4" s="46" t="n">
        <f aca="false">Bank_Accounts!F4</f>
        <v>381240.65</v>
      </c>
      <c r="D4" s="11" t="s">
        <v>1200</v>
      </c>
      <c r="E4" s="11" t="s">
        <v>1201</v>
      </c>
      <c r="F4" s="11" t="s">
        <v>1202</v>
      </c>
      <c r="G4" s="38" t="n">
        <v>46304</v>
      </c>
      <c r="H4" s="11" t="s">
        <v>212</v>
      </c>
      <c r="I4" s="11" t="s">
        <v>1203</v>
      </c>
    </row>
    <row r="5" customFormat="false" ht="15" hidden="false" customHeight="false" outlineLevel="0" collapsed="false">
      <c r="A5" s="11" t="s">
        <v>1204</v>
      </c>
      <c r="B5" s="11" t="s">
        <v>120</v>
      </c>
      <c r="C5" s="47" t="n">
        <v>100000</v>
      </c>
      <c r="D5" s="11" t="s">
        <v>1200</v>
      </c>
      <c r="E5" s="11" t="s">
        <v>1205</v>
      </c>
      <c r="F5" s="11" t="s">
        <v>241</v>
      </c>
      <c r="G5" s="38" t="n">
        <v>46037</v>
      </c>
      <c r="H5" s="11" t="s">
        <v>212</v>
      </c>
      <c r="I5" s="11" t="s">
        <v>1206</v>
      </c>
    </row>
    <row r="6" customFormat="false" ht="15" hidden="false" customHeight="false" outlineLevel="0" collapsed="false">
      <c r="A6" s="11" t="s">
        <v>1207</v>
      </c>
      <c r="B6" s="11" t="s">
        <v>1208</v>
      </c>
      <c r="C6" s="46" t="n">
        <f aca="false">Bank_Accounts!H4</f>
        <v>150000</v>
      </c>
      <c r="D6" s="11" t="s">
        <v>1200</v>
      </c>
      <c r="E6" s="11" t="s">
        <v>1209</v>
      </c>
      <c r="F6" s="11" t="s">
        <v>241</v>
      </c>
      <c r="G6" s="38" t="n">
        <v>46082</v>
      </c>
      <c r="H6" s="11" t="s">
        <v>212</v>
      </c>
      <c r="I6" s="11" t="s">
        <v>1210</v>
      </c>
    </row>
    <row r="7" customFormat="false" ht="15" hidden="false" customHeight="false" outlineLevel="0" collapsed="false">
      <c r="A7" s="11" t="s">
        <v>1211</v>
      </c>
      <c r="B7" s="11" t="s">
        <v>1212</v>
      </c>
      <c r="C7" s="45" t="s">
        <v>1213</v>
      </c>
      <c r="D7" s="11" t="s">
        <v>1214</v>
      </c>
      <c r="E7" s="11" t="s">
        <v>1215</v>
      </c>
      <c r="F7" s="11" t="s">
        <v>1216</v>
      </c>
      <c r="G7" s="38" t="n">
        <v>46304</v>
      </c>
      <c r="H7" s="11" t="s">
        <v>205</v>
      </c>
      <c r="I7" s="11" t="s">
        <v>1217</v>
      </c>
    </row>
    <row r="8" customFormat="false" ht="15" hidden="false" customHeight="false" outlineLevel="0" collapsed="false">
      <c r="A8" s="11" t="s">
        <v>1218</v>
      </c>
      <c r="B8" s="11" t="s">
        <v>1219</v>
      </c>
      <c r="C8" s="45" t="n">
        <v>12</v>
      </c>
      <c r="D8" s="11" t="s">
        <v>1220</v>
      </c>
      <c r="E8" s="11" t="s">
        <v>1221</v>
      </c>
      <c r="F8" s="11" t="s">
        <v>1222</v>
      </c>
      <c r="G8" s="38" t="n">
        <v>46304</v>
      </c>
      <c r="H8" s="11" t="s">
        <v>205</v>
      </c>
      <c r="I8" s="11" t="s">
        <v>1211</v>
      </c>
    </row>
    <row r="9" customFormat="false" ht="15" hidden="false" customHeight="false" outlineLevel="0" collapsed="false">
      <c r="A9" s="11" t="s">
        <v>1223</v>
      </c>
      <c r="B9" s="11" t="s">
        <v>1224</v>
      </c>
      <c r="C9" s="48" t="n">
        <v>0.8</v>
      </c>
      <c r="D9" s="11" t="s">
        <v>1225</v>
      </c>
      <c r="E9" s="11" t="s">
        <v>1226</v>
      </c>
      <c r="F9" s="11" t="s">
        <v>1227</v>
      </c>
      <c r="G9" s="38" t="n">
        <v>46300</v>
      </c>
      <c r="H9" s="11" t="s">
        <v>1228</v>
      </c>
      <c r="I9" s="11" t="s">
        <v>49</v>
      </c>
    </row>
    <row r="10" customFormat="false" ht="15" hidden="false" customHeight="false" outlineLevel="0" collapsed="false">
      <c r="A10" s="11" t="s">
        <v>1229</v>
      </c>
      <c r="B10" s="11" t="s">
        <v>1230</v>
      </c>
      <c r="C10" s="49" t="n">
        <v>4700</v>
      </c>
      <c r="D10" s="11" t="s">
        <v>1231</v>
      </c>
      <c r="E10" s="11" t="s">
        <v>1232</v>
      </c>
      <c r="F10" s="11" t="s">
        <v>213</v>
      </c>
      <c r="G10" s="38" t="n">
        <v>46304</v>
      </c>
      <c r="H10" s="11" t="s">
        <v>205</v>
      </c>
      <c r="I10" s="11" t="s">
        <v>55</v>
      </c>
    </row>
    <row r="11" customFormat="false" ht="15" hidden="false" customHeight="false" outlineLevel="0" collapsed="false">
      <c r="A11" s="11" t="s">
        <v>1233</v>
      </c>
      <c r="B11" s="11" t="s">
        <v>1234</v>
      </c>
      <c r="C11" s="45" t="s">
        <v>1235</v>
      </c>
      <c r="D11" s="11" t="s">
        <v>1214</v>
      </c>
      <c r="E11" s="11" t="s">
        <v>1236</v>
      </c>
      <c r="F11" s="11" t="s">
        <v>213</v>
      </c>
      <c r="G11" s="38" t="n">
        <v>46037</v>
      </c>
      <c r="H11" s="11" t="s">
        <v>212</v>
      </c>
      <c r="I11" s="11" t="s">
        <v>1237</v>
      </c>
    </row>
    <row r="12" customFormat="false" ht="15" hidden="false" customHeight="false" outlineLevel="0" collapsed="false">
      <c r="A12" s="11" t="s">
        <v>1238</v>
      </c>
      <c r="B12" s="11" t="s">
        <v>1239</v>
      </c>
      <c r="C12" s="45" t="s">
        <v>1240</v>
      </c>
      <c r="D12" s="11" t="s">
        <v>1214</v>
      </c>
      <c r="E12" s="11" t="s">
        <v>1241</v>
      </c>
      <c r="F12" s="11" t="s">
        <v>213</v>
      </c>
      <c r="G12" s="38" t="n">
        <v>46304</v>
      </c>
      <c r="H12" s="11" t="s">
        <v>205</v>
      </c>
      <c r="I12" s="11" t="s">
        <v>1242</v>
      </c>
    </row>
    <row r="13" customFormat="false" ht="15" hidden="false" customHeight="false" outlineLevel="0" collapsed="false">
      <c r="A13" s="11" t="s">
        <v>1243</v>
      </c>
      <c r="B13" s="11" t="s">
        <v>1244</v>
      </c>
      <c r="C13" s="45" t="s">
        <v>1245</v>
      </c>
      <c r="D13" s="11" t="s">
        <v>1214</v>
      </c>
      <c r="E13" s="11" t="s">
        <v>1246</v>
      </c>
      <c r="F13" s="11" t="s">
        <v>241</v>
      </c>
      <c r="G13" s="38" t="n">
        <v>46304</v>
      </c>
      <c r="H13" s="11" t="s">
        <v>212</v>
      </c>
      <c r="I13" s="11" t="s">
        <v>91</v>
      </c>
    </row>
    <row r="14" customFormat="false" ht="15" hidden="false" customHeight="false" outlineLevel="0" collapsed="false">
      <c r="A14" s="11" t="s">
        <v>1247</v>
      </c>
      <c r="B14" s="11" t="s">
        <v>1248</v>
      </c>
      <c r="C14" s="50" t="n">
        <v>45</v>
      </c>
      <c r="D14" s="11" t="s">
        <v>1249</v>
      </c>
      <c r="E14" s="11" t="s">
        <v>1250</v>
      </c>
      <c r="F14" s="11" t="s">
        <v>241</v>
      </c>
      <c r="G14" s="38" t="n">
        <v>46304</v>
      </c>
      <c r="H14" s="11" t="s">
        <v>1251</v>
      </c>
      <c r="I14" s="11" t="s">
        <v>1252</v>
      </c>
    </row>
    <row r="15" customFormat="false" ht="15" hidden="false" customHeight="false" outlineLevel="0" collapsed="false">
      <c r="A15" s="11" t="s">
        <v>1253</v>
      </c>
      <c r="B15" s="11" t="s">
        <v>1254</v>
      </c>
      <c r="C15" s="50" t="n">
        <v>15</v>
      </c>
      <c r="D15" s="11" t="s">
        <v>1249</v>
      </c>
      <c r="E15" s="11" t="s">
        <v>1255</v>
      </c>
      <c r="F15" s="11" t="s">
        <v>241</v>
      </c>
      <c r="G15" s="38" t="n">
        <v>46304</v>
      </c>
      <c r="H15" s="11" t="s">
        <v>1251</v>
      </c>
      <c r="I15" s="11" t="s">
        <v>1256</v>
      </c>
    </row>
    <row r="17" customFormat="false" ht="15" hidden="false" customHeight="false" outlineLevel="0" collapsed="false">
      <c r="A17" s="2" t="s">
        <v>1257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70"/>
    <col collapsed="false" customWidth="true" hidden="false" outlineLevel="0" max="4" min="4" style="0" width="26"/>
    <col collapsed="false" customWidth="true" hidden="false" outlineLevel="0" max="5" min="5" style="0" width="60"/>
  </cols>
  <sheetData>
    <row r="1" customFormat="false" ht="18.55" hidden="false" customHeight="false" outlineLevel="0" collapsed="false">
      <c r="A1" s="7" t="s">
        <v>1258</v>
      </c>
    </row>
    <row r="2" customFormat="false" ht="15" hidden="false" customHeight="false" outlineLevel="0" collapsed="false">
      <c r="A2" s="2" t="s">
        <v>1259</v>
      </c>
    </row>
    <row r="4" customFormat="false" ht="15" hidden="false" customHeight="false" outlineLevel="0" collapsed="false">
      <c r="A4" s="33" t="s">
        <v>1260</v>
      </c>
      <c r="B4" s="33" t="s">
        <v>1261</v>
      </c>
      <c r="C4" s="33" t="s">
        <v>1262</v>
      </c>
      <c r="D4" s="33" t="s">
        <v>1263</v>
      </c>
      <c r="E4" s="33" t="s">
        <v>1264</v>
      </c>
    </row>
    <row r="5" customFormat="false" ht="23.85" hidden="false" customHeight="false" outlineLevel="0" collapsed="false">
      <c r="A5" s="6" t="s">
        <v>1265</v>
      </c>
      <c r="B5" s="6" t="s">
        <v>1266</v>
      </c>
      <c r="C5" s="6" t="s">
        <v>1267</v>
      </c>
      <c r="D5" s="6" t="s">
        <v>1268</v>
      </c>
      <c r="E5" s="51" t="s">
        <v>1269</v>
      </c>
    </row>
    <row r="6" customFormat="false" ht="15" hidden="false" customHeight="false" outlineLevel="0" collapsed="false">
      <c r="A6" s="6" t="s">
        <v>1270</v>
      </c>
      <c r="B6" s="6" t="s">
        <v>1271</v>
      </c>
      <c r="C6" s="6" t="s">
        <v>1272</v>
      </c>
      <c r="D6" s="6" t="s">
        <v>1268</v>
      </c>
      <c r="E6" s="51" t="s">
        <v>1269</v>
      </c>
    </row>
    <row r="7" customFormat="false" ht="15" hidden="false" customHeight="false" outlineLevel="0" collapsed="false">
      <c r="A7" s="6" t="s">
        <v>1273</v>
      </c>
      <c r="B7" s="6" t="s">
        <v>1274</v>
      </c>
      <c r="C7" s="6" t="s">
        <v>1275</v>
      </c>
      <c r="D7" s="6" t="s">
        <v>1268</v>
      </c>
      <c r="E7" s="51" t="s">
        <v>1276</v>
      </c>
    </row>
    <row r="8" customFormat="false" ht="23.85" hidden="false" customHeight="false" outlineLevel="0" collapsed="false">
      <c r="A8" s="6" t="s">
        <v>1277</v>
      </c>
      <c r="B8" s="6" t="s">
        <v>1278</v>
      </c>
      <c r="C8" s="6" t="s">
        <v>1279</v>
      </c>
      <c r="D8" s="6" t="s">
        <v>1280</v>
      </c>
      <c r="E8" s="51" t="s">
        <v>1281</v>
      </c>
    </row>
    <row r="9" customFormat="false" ht="23.85" hidden="false" customHeight="false" outlineLevel="0" collapsed="false">
      <c r="A9" s="6" t="s">
        <v>1282</v>
      </c>
      <c r="B9" s="6" t="s">
        <v>1283</v>
      </c>
      <c r="C9" s="6" t="s">
        <v>1284</v>
      </c>
      <c r="D9" s="6" t="s">
        <v>1285</v>
      </c>
      <c r="E9" s="51" t="s">
        <v>1286</v>
      </c>
    </row>
    <row r="10" customFormat="false" ht="23.85" hidden="false" customHeight="false" outlineLevel="0" collapsed="false">
      <c r="A10" s="6" t="s">
        <v>1287</v>
      </c>
      <c r="B10" s="6" t="s">
        <v>1288</v>
      </c>
      <c r="C10" s="6" t="s">
        <v>1289</v>
      </c>
      <c r="D10" s="6" t="s">
        <v>1285</v>
      </c>
      <c r="E10" s="51" t="s">
        <v>1286</v>
      </c>
    </row>
    <row r="11" customFormat="false" ht="35.05" hidden="false" customHeight="false" outlineLevel="0" collapsed="false">
      <c r="A11" s="6" t="s">
        <v>1290</v>
      </c>
      <c r="B11" s="6" t="s">
        <v>1291</v>
      </c>
      <c r="C11" s="6" t="s">
        <v>1292</v>
      </c>
      <c r="D11" s="6" t="s">
        <v>1293</v>
      </c>
      <c r="E11" s="51" t="s">
        <v>1286</v>
      </c>
    </row>
    <row r="12" customFormat="false" ht="23.85" hidden="false" customHeight="false" outlineLevel="0" collapsed="false">
      <c r="A12" s="6" t="s">
        <v>1294</v>
      </c>
      <c r="B12" s="6" t="s">
        <v>1295</v>
      </c>
      <c r="C12" s="6" t="s">
        <v>1296</v>
      </c>
      <c r="D12" s="6" t="s">
        <v>1268</v>
      </c>
      <c r="E12" s="51" t="s">
        <v>1297</v>
      </c>
    </row>
    <row r="13" customFormat="false" ht="23.85" hidden="false" customHeight="false" outlineLevel="0" collapsed="false">
      <c r="A13" s="6" t="s">
        <v>1298</v>
      </c>
      <c r="B13" s="6" t="s">
        <v>1299</v>
      </c>
      <c r="C13" s="6" t="s">
        <v>1300</v>
      </c>
      <c r="D13" s="6" t="s">
        <v>1301</v>
      </c>
      <c r="E13" s="51" t="s">
        <v>1302</v>
      </c>
    </row>
    <row r="14" customFormat="false" ht="23.85" hidden="false" customHeight="false" outlineLevel="0" collapsed="false">
      <c r="A14" s="6" t="s">
        <v>1303</v>
      </c>
      <c r="B14" s="6" t="s">
        <v>1304</v>
      </c>
      <c r="C14" s="6" t="s">
        <v>1305</v>
      </c>
      <c r="D14" s="6" t="s">
        <v>1306</v>
      </c>
      <c r="E14" s="6"/>
    </row>
    <row r="15" customFormat="false" ht="23.85" hidden="false" customHeight="false" outlineLevel="0" collapsed="false">
      <c r="A15" s="6" t="s">
        <v>1307</v>
      </c>
      <c r="B15" s="6" t="s">
        <v>1308</v>
      </c>
      <c r="C15" s="6" t="s">
        <v>1309</v>
      </c>
      <c r="D15" s="6" t="s">
        <v>1268</v>
      </c>
      <c r="E15" s="51" t="s">
        <v>1302</v>
      </c>
    </row>
    <row r="16" customFormat="false" ht="15" hidden="false" customHeight="false" outlineLevel="0" collapsed="false">
      <c r="A16" s="6" t="s">
        <v>1310</v>
      </c>
      <c r="B16" s="6" t="s">
        <v>1311</v>
      </c>
      <c r="C16" s="6" t="s">
        <v>1312</v>
      </c>
      <c r="D16" s="6" t="s">
        <v>1268</v>
      </c>
      <c r="E16" s="51" t="s">
        <v>1313</v>
      </c>
    </row>
    <row r="17" customFormat="false" ht="23.85" hidden="false" customHeight="false" outlineLevel="0" collapsed="false">
      <c r="A17" s="6" t="s">
        <v>1314</v>
      </c>
      <c r="B17" s="6" t="s">
        <v>1315</v>
      </c>
      <c r="C17" s="6" t="s">
        <v>1316</v>
      </c>
      <c r="D17" s="6" t="s">
        <v>1317</v>
      </c>
      <c r="E17" s="6"/>
    </row>
    <row r="18" customFormat="false" ht="15" hidden="false" customHeight="false" outlineLevel="0" collapsed="false">
      <c r="A18" s="6" t="s">
        <v>1318</v>
      </c>
      <c r="B18" s="6" t="s">
        <v>1319</v>
      </c>
      <c r="C18" s="6" t="s">
        <v>1320</v>
      </c>
      <c r="D18" s="6" t="s">
        <v>1321</v>
      </c>
      <c r="E18" s="51" t="s">
        <v>1322</v>
      </c>
    </row>
    <row r="19" customFormat="false" ht="15" hidden="false" customHeight="false" outlineLevel="0" collapsed="false">
      <c r="A19" s="6" t="s">
        <v>1323</v>
      </c>
      <c r="B19" s="6" t="s">
        <v>1324</v>
      </c>
      <c r="C19" s="6" t="s">
        <v>1325</v>
      </c>
      <c r="D19" s="6" t="s">
        <v>1326</v>
      </c>
      <c r="E19" s="51" t="s">
        <v>1327</v>
      </c>
    </row>
    <row r="20" customFormat="false" ht="15" hidden="false" customHeight="false" outlineLevel="0" collapsed="false">
      <c r="A20" s="6" t="s">
        <v>1328</v>
      </c>
      <c r="B20" s="6" t="s">
        <v>1329</v>
      </c>
      <c r="C20" s="6" t="s">
        <v>1330</v>
      </c>
      <c r="D20" s="6" t="s">
        <v>1317</v>
      </c>
      <c r="E20" s="6"/>
    </row>
    <row r="21" customFormat="false" ht="23.85" hidden="false" customHeight="false" outlineLevel="0" collapsed="false">
      <c r="A21" s="6" t="s">
        <v>1331</v>
      </c>
      <c r="B21" s="6" t="s">
        <v>1332</v>
      </c>
      <c r="C21" s="6" t="s">
        <v>1333</v>
      </c>
      <c r="D21" s="6" t="s">
        <v>1317</v>
      </c>
      <c r="E21" s="6"/>
    </row>
    <row r="22" customFormat="false" ht="23.85" hidden="false" customHeight="false" outlineLevel="0" collapsed="false">
      <c r="A22" s="6" t="s">
        <v>1334</v>
      </c>
      <c r="B22" s="6" t="s">
        <v>1335</v>
      </c>
      <c r="C22" s="6" t="s">
        <v>1336</v>
      </c>
      <c r="D22" s="6" t="s">
        <v>1317</v>
      </c>
      <c r="E22" s="6"/>
    </row>
    <row r="23" customFormat="false" ht="15" hidden="false" customHeight="false" outlineLevel="0" collapsed="false">
      <c r="A23" s="6" t="s">
        <v>1337</v>
      </c>
      <c r="B23" s="6" t="s">
        <v>1338</v>
      </c>
      <c r="C23" s="6" t="s">
        <v>1339</v>
      </c>
      <c r="D23" s="6" t="s">
        <v>1317</v>
      </c>
      <c r="E23" s="6"/>
    </row>
    <row r="24" customFormat="false" ht="35.05" hidden="false" customHeight="false" outlineLevel="0" collapsed="false">
      <c r="A24" s="6" t="s">
        <v>1340</v>
      </c>
      <c r="B24" s="6" t="s">
        <v>1341</v>
      </c>
      <c r="C24" s="6" t="s">
        <v>1342</v>
      </c>
      <c r="D24" s="6" t="s">
        <v>1343</v>
      </c>
      <c r="E24" s="6"/>
    </row>
    <row r="25" customFormat="false" ht="15" hidden="false" customHeight="false" outlineLevel="0" collapsed="false">
      <c r="A25" s="6" t="s">
        <v>1344</v>
      </c>
      <c r="B25" s="6" t="s">
        <v>1345</v>
      </c>
      <c r="C25" s="6" t="s">
        <v>1346</v>
      </c>
      <c r="D25" s="6" t="s">
        <v>1347</v>
      </c>
      <c r="E25" s="6"/>
    </row>
  </sheetData>
  <hyperlinks>
    <hyperlink ref="E5" r:id="rId1" display="https://rubypayeur.com/blog/loi-lme/"/>
    <hyperlink ref="E6" r:id="rId2" display="https://rubypayeur.com/blog/loi-lme/"/>
    <hyperlink ref="E7" r:id="rId3" display="https://www.code-commande-publique.com/delais-de-paiement-l2192-10-s"/>
    <hyperlink ref="E8" r:id="rId4" display="https://www.banque-france.fr/system/files/2026-09/CP_RA-ODP_20260924.pdf"/>
    <hyperlink ref="E9" r:id="rId5" display="https://www.banque-france.fr/system/files/2026-07/ODP2025_WEB.pdf"/>
    <hyperlink ref="E10" r:id="rId6" display="https://www.banque-france.fr/system/files/2026-07/ODP2025_WEB.pdf"/>
    <hyperlink ref="E11" r:id="rId7" display="https://www.banque-france.fr/system/files/2026-07/ODP2025_WEB.pdf"/>
    <hyperlink ref="E12" r:id="rId8" display="https://www.swim.legal/blog/urssaf-societe-role-obligations-declarations-entreprises-2026"/>
    <hyperlink ref="E13" r:id="rId9" display="https://www.swim.legal/blog/tva-ca3-declaration-echeances-lignes"/>
    <hyperlink ref="E15" r:id="rId10" display="https://www.swim.legal/blog/tva-ca3-declaration-echeances-lignes"/>
    <hyperlink ref="E16" r:id="rId11" display="https://bpifrance-creation.fr/entrepreneur/actualites/acompte-dimpot-societes"/>
    <hyperlink ref="E18" r:id="rId12" display="https://www.kognitos.com/blog/13-week-cash-flow-forecasting-treasury-standard-how-ai-changes-it-2026/"/>
    <hyperlink ref="E19" r:id="rId13" display="https://app.dealroom.co/companies/a35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90"/>
  </cols>
  <sheetData>
    <row r="1" customFormat="false" ht="30" hidden="false" customHeight="true" outlineLevel="0" collapsed="false">
      <c r="A1" s="33" t="s">
        <v>1348</v>
      </c>
      <c r="B1" s="33" t="s">
        <v>1349</v>
      </c>
      <c r="C1" s="33" t="s">
        <v>1350</v>
      </c>
    </row>
    <row r="2" customFormat="false" ht="15" hidden="false" customHeight="false" outlineLevel="0" collapsed="false">
      <c r="A2" s="11" t="s">
        <v>39</v>
      </c>
      <c r="B2" s="11" t="s">
        <v>1351</v>
      </c>
      <c r="C2" s="11" t="s">
        <v>1352</v>
      </c>
    </row>
    <row r="3" customFormat="false" ht="15" hidden="false" customHeight="false" outlineLevel="0" collapsed="false">
      <c r="A3" s="11" t="s">
        <v>39</v>
      </c>
      <c r="B3" s="11" t="s">
        <v>1353</v>
      </c>
      <c r="C3" s="11" t="s">
        <v>1354</v>
      </c>
    </row>
    <row r="4" customFormat="false" ht="15" hidden="false" customHeight="false" outlineLevel="0" collapsed="false">
      <c r="A4" s="11" t="s">
        <v>41</v>
      </c>
      <c r="B4" s="11" t="s">
        <v>1355</v>
      </c>
      <c r="C4" s="11" t="s">
        <v>1356</v>
      </c>
    </row>
    <row r="5" customFormat="false" ht="15" hidden="false" customHeight="false" outlineLevel="0" collapsed="false">
      <c r="A5" s="11" t="s">
        <v>43</v>
      </c>
      <c r="B5" s="11" t="s">
        <v>252</v>
      </c>
      <c r="C5" s="11" t="s">
        <v>1357</v>
      </c>
    </row>
    <row r="6" customFormat="false" ht="15" hidden="false" customHeight="false" outlineLevel="0" collapsed="false">
      <c r="A6" s="11" t="s">
        <v>45</v>
      </c>
      <c r="B6" s="11" t="s">
        <v>1358</v>
      </c>
      <c r="C6" s="11" t="s">
        <v>1359</v>
      </c>
    </row>
    <row r="7" customFormat="false" ht="15" hidden="false" customHeight="false" outlineLevel="0" collapsed="false">
      <c r="A7" s="11" t="s">
        <v>45</v>
      </c>
      <c r="B7" s="11" t="s">
        <v>1360</v>
      </c>
      <c r="C7" s="11" t="s">
        <v>1361</v>
      </c>
    </row>
    <row r="8" customFormat="false" ht="15" hidden="false" customHeight="false" outlineLevel="0" collapsed="false">
      <c r="A8" s="11" t="s">
        <v>47</v>
      </c>
      <c r="B8" s="11" t="s">
        <v>1362</v>
      </c>
      <c r="C8" s="11" t="s">
        <v>1363</v>
      </c>
    </row>
    <row r="9" customFormat="false" ht="15" hidden="false" customHeight="false" outlineLevel="0" collapsed="false">
      <c r="A9" s="11" t="s">
        <v>47</v>
      </c>
      <c r="B9" s="11" t="s">
        <v>1364</v>
      </c>
      <c r="C9" s="11" t="s">
        <v>1365</v>
      </c>
    </row>
    <row r="10" customFormat="false" ht="15" hidden="false" customHeight="false" outlineLevel="0" collapsed="false">
      <c r="A10" s="11" t="s">
        <v>47</v>
      </c>
      <c r="B10" s="11" t="s">
        <v>196</v>
      </c>
      <c r="C10" s="11" t="s">
        <v>1366</v>
      </c>
    </row>
    <row r="11" customFormat="false" ht="15" hidden="false" customHeight="false" outlineLevel="0" collapsed="false">
      <c r="A11" s="11" t="s">
        <v>47</v>
      </c>
      <c r="B11" s="11" t="s">
        <v>1367</v>
      </c>
      <c r="C11" s="11" t="s">
        <v>1368</v>
      </c>
    </row>
    <row r="12" customFormat="false" ht="15" hidden="false" customHeight="false" outlineLevel="0" collapsed="false">
      <c r="A12" s="11" t="s">
        <v>49</v>
      </c>
      <c r="B12" s="11" t="s">
        <v>1369</v>
      </c>
      <c r="C12" s="11" t="s">
        <v>1370</v>
      </c>
    </row>
    <row r="13" customFormat="false" ht="15" hidden="false" customHeight="false" outlineLevel="0" collapsed="false">
      <c r="A13" s="11" t="s">
        <v>49</v>
      </c>
      <c r="B13" s="11" t="s">
        <v>256</v>
      </c>
      <c r="C13" s="11" t="s">
        <v>1371</v>
      </c>
    </row>
    <row r="14" customFormat="false" ht="15" hidden="false" customHeight="false" outlineLevel="0" collapsed="false">
      <c r="A14" s="11" t="s">
        <v>305</v>
      </c>
      <c r="B14" s="11" t="s">
        <v>1372</v>
      </c>
      <c r="C14" s="11" t="s">
        <v>1373</v>
      </c>
    </row>
    <row r="15" customFormat="false" ht="15" hidden="false" customHeight="false" outlineLevel="0" collapsed="false">
      <c r="A15" s="11" t="s">
        <v>53</v>
      </c>
      <c r="B15" s="11" t="s">
        <v>1374</v>
      </c>
      <c r="C15" s="11" t="s">
        <v>1375</v>
      </c>
    </row>
    <row r="16" customFormat="false" ht="15" hidden="false" customHeight="false" outlineLevel="0" collapsed="false">
      <c r="A16" s="11" t="s">
        <v>55</v>
      </c>
      <c r="B16" s="11" t="s">
        <v>1376</v>
      </c>
      <c r="C16" s="11" t="s">
        <v>1377</v>
      </c>
    </row>
    <row r="17" customFormat="false" ht="15" hidden="false" customHeight="false" outlineLevel="0" collapsed="false">
      <c r="A17" s="11" t="s">
        <v>57</v>
      </c>
      <c r="B17" s="11" t="s">
        <v>1378</v>
      </c>
      <c r="C17" s="11" t="s">
        <v>1379</v>
      </c>
    </row>
    <row r="18" customFormat="false" ht="15" hidden="false" customHeight="false" outlineLevel="0" collapsed="false">
      <c r="A18" s="11" t="s">
        <v>59</v>
      </c>
      <c r="B18" s="11" t="s">
        <v>1262</v>
      </c>
      <c r="C18" s="11" t="s">
        <v>1380</v>
      </c>
    </row>
  </sheetData>
  <autoFilter ref="A1:C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1"/>
    <col collapsed="false" customWidth="true" hidden="false" outlineLevel="0" max="3" min="3" style="0" width="45"/>
    <col collapsed="false" customWidth="true" hidden="false" outlineLevel="0" max="4" min="4" style="0" width="27"/>
    <col collapsed="false" customWidth="true" hidden="false" outlineLevel="0" max="5" min="5" style="0" width="12"/>
    <col collapsed="false" customWidth="true" hidden="false" outlineLevel="0" max="6" min="6" style="0" width="13"/>
    <col collapsed="false" customWidth="true" hidden="false" outlineLevel="0" max="7" min="7" style="0" width="18"/>
    <col collapsed="false" customWidth="true" hidden="false" outlineLevel="0" max="8" min="8" style="0" width="21"/>
    <col collapsed="false" customWidth="true" hidden="false" outlineLevel="0" max="9" min="9" style="0" width="33"/>
    <col collapsed="false" customWidth="true" hidden="false" outlineLevel="0" max="10" min="10" style="0" width="16"/>
  </cols>
  <sheetData>
    <row r="1" customFormat="false" ht="30" hidden="false" customHeight="true" outlineLevel="0" collapsed="false">
      <c r="A1" s="33" t="s">
        <v>1381</v>
      </c>
      <c r="B1" s="33" t="s">
        <v>1382</v>
      </c>
      <c r="C1" s="33" t="s">
        <v>1383</v>
      </c>
      <c r="D1" s="33" t="s">
        <v>1384</v>
      </c>
      <c r="E1" s="33" t="s">
        <v>1385</v>
      </c>
      <c r="F1" s="33" t="s">
        <v>1351</v>
      </c>
      <c r="G1" s="33" t="s">
        <v>1386</v>
      </c>
      <c r="H1" s="33" t="s">
        <v>1353</v>
      </c>
      <c r="I1" s="33" t="s">
        <v>1387</v>
      </c>
      <c r="J1" s="33" t="s">
        <v>1388</v>
      </c>
    </row>
    <row r="2" customFormat="false" ht="15" hidden="false" customHeight="false" outlineLevel="0" collapsed="false">
      <c r="A2" s="11" t="s">
        <v>1389</v>
      </c>
      <c r="B2" s="11" t="s">
        <v>1390</v>
      </c>
      <c r="C2" s="11" t="s">
        <v>1391</v>
      </c>
      <c r="D2" s="11" t="s">
        <v>1392</v>
      </c>
      <c r="E2" s="11" t="s">
        <v>1200</v>
      </c>
      <c r="F2" s="37" t="n">
        <v>343829.4</v>
      </c>
      <c r="G2" s="11" t="s">
        <v>1393</v>
      </c>
      <c r="H2" s="37" t="n">
        <v>150000</v>
      </c>
      <c r="I2" s="11" t="s">
        <v>1394</v>
      </c>
      <c r="J2" s="11" t="s">
        <v>1395</v>
      </c>
    </row>
    <row r="3" customFormat="false" ht="15" hidden="false" customHeight="false" outlineLevel="0" collapsed="false">
      <c r="A3" s="11" t="s">
        <v>1396</v>
      </c>
      <c r="B3" s="11" t="s">
        <v>1397</v>
      </c>
      <c r="C3" s="11" t="s">
        <v>1398</v>
      </c>
      <c r="D3" s="11" t="s">
        <v>1399</v>
      </c>
      <c r="E3" s="11" t="s">
        <v>1200</v>
      </c>
      <c r="F3" s="37" t="n">
        <v>37411.25</v>
      </c>
      <c r="G3" s="11" t="s">
        <v>1393</v>
      </c>
      <c r="H3" s="37" t="n">
        <v>0</v>
      </c>
      <c r="I3" s="11" t="s">
        <v>1400</v>
      </c>
      <c r="J3" s="11" t="s">
        <v>1401</v>
      </c>
    </row>
    <row r="4" customFormat="false" ht="15" hidden="false" customHeight="false" outlineLevel="0" collapsed="false">
      <c r="E4" s="13" t="s">
        <v>1402</v>
      </c>
      <c r="F4" s="52" t="n">
        <f aca="false">SUM(F2:F3)</f>
        <v>381240.65</v>
      </c>
      <c r="H4" s="14" t="n">
        <f aca="false">SUM(H2:H3)</f>
        <v>150000</v>
      </c>
    </row>
  </sheetData>
  <autoFilter ref="A1:J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G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21"/>
    <col collapsed="false" customWidth="true" hidden="false" outlineLevel="0" max="6" min="5" style="0" width="14"/>
    <col collapsed="false" customWidth="true" hidden="false" outlineLevel="0" max="7" min="7" style="0" width="21"/>
  </cols>
  <sheetData>
    <row r="1" customFormat="false" ht="15" hidden="false" customHeight="false" outlineLevel="0" collapsed="false">
      <c r="A1" s="2" t="s">
        <v>1403</v>
      </c>
    </row>
    <row r="3" customFormat="false" ht="30" hidden="false" customHeight="true" outlineLevel="0" collapsed="false">
      <c r="A3" s="33" t="s">
        <v>1404</v>
      </c>
      <c r="B3" s="33" t="s">
        <v>1177</v>
      </c>
      <c r="C3" s="33" t="s">
        <v>1405</v>
      </c>
      <c r="D3" s="33" t="s">
        <v>1406</v>
      </c>
      <c r="E3" s="33" t="s">
        <v>1407</v>
      </c>
      <c r="F3" s="33" t="s">
        <v>1408</v>
      </c>
      <c r="G3" s="33" t="s">
        <v>1409</v>
      </c>
    </row>
    <row r="4" customFormat="false" ht="15" hidden="false" customHeight="false" outlineLevel="0" collapsed="false">
      <c r="A4" s="11" t="s">
        <v>1410</v>
      </c>
      <c r="B4" s="38" t="n">
        <v>45747</v>
      </c>
      <c r="C4" s="38" t="n">
        <v>45753</v>
      </c>
      <c r="D4" s="37" t="n">
        <v>376033.78</v>
      </c>
      <c r="E4" s="37" t="n">
        <v>55236</v>
      </c>
      <c r="F4" s="37" t="n">
        <v>190241.81</v>
      </c>
      <c r="G4" s="37" t="n">
        <f aca="false">D4+E4-F4</f>
        <v>241027.97</v>
      </c>
    </row>
    <row r="5" customFormat="false" ht="15" hidden="false" customHeight="false" outlineLevel="0" collapsed="false">
      <c r="A5" s="11" t="s">
        <v>1411</v>
      </c>
      <c r="B5" s="38" t="n">
        <v>45754</v>
      </c>
      <c r="C5" s="38" t="n">
        <v>45760</v>
      </c>
      <c r="D5" s="37" t="n">
        <f aca="false">G4</f>
        <v>241027.97</v>
      </c>
      <c r="E5" s="37" t="n">
        <v>136812</v>
      </c>
      <c r="F5" s="37" t="n">
        <v>75365.69</v>
      </c>
      <c r="G5" s="37" t="n">
        <f aca="false">D5+E5-F5</f>
        <v>302474.28</v>
      </c>
    </row>
    <row r="6" customFormat="false" ht="15" hidden="false" customHeight="false" outlineLevel="0" collapsed="false">
      <c r="A6" s="11" t="s">
        <v>1412</v>
      </c>
      <c r="B6" s="38" t="n">
        <v>45761</v>
      </c>
      <c r="C6" s="38" t="n">
        <v>45767</v>
      </c>
      <c r="D6" s="37" t="n">
        <f aca="false">G5</f>
        <v>302474.28</v>
      </c>
      <c r="E6" s="37" t="n">
        <v>115670</v>
      </c>
      <c r="F6" s="37" t="n">
        <v>124026.04</v>
      </c>
      <c r="G6" s="37" t="n">
        <f aca="false">D6+E6-F6</f>
        <v>294118.24</v>
      </c>
    </row>
    <row r="7" customFormat="false" ht="15" hidden="false" customHeight="false" outlineLevel="0" collapsed="false">
      <c r="A7" s="11" t="s">
        <v>1413</v>
      </c>
      <c r="B7" s="38" t="n">
        <v>45768</v>
      </c>
      <c r="C7" s="38" t="n">
        <v>45774</v>
      </c>
      <c r="D7" s="37" t="n">
        <f aca="false">G6</f>
        <v>294118.24</v>
      </c>
      <c r="E7" s="37" t="n">
        <v>143074</v>
      </c>
      <c r="F7" s="37" t="n">
        <v>79577.93</v>
      </c>
      <c r="G7" s="37" t="n">
        <f aca="false">D7+E7-F7</f>
        <v>357614.31</v>
      </c>
    </row>
    <row r="8" customFormat="false" ht="15" hidden="false" customHeight="false" outlineLevel="0" collapsed="false">
      <c r="A8" s="11" t="s">
        <v>1414</v>
      </c>
      <c r="B8" s="38" t="n">
        <v>45775</v>
      </c>
      <c r="C8" s="38" t="n">
        <v>45781</v>
      </c>
      <c r="D8" s="37" t="n">
        <f aca="false">G7</f>
        <v>357614.31</v>
      </c>
      <c r="E8" s="37" t="n">
        <v>129204</v>
      </c>
      <c r="F8" s="37" t="n">
        <v>248204.22</v>
      </c>
      <c r="G8" s="37" t="n">
        <f aca="false">D8+E8-F8</f>
        <v>238614.09</v>
      </c>
    </row>
    <row r="9" customFormat="false" ht="15" hidden="false" customHeight="false" outlineLevel="0" collapsed="false">
      <c r="A9" s="11" t="s">
        <v>1415</v>
      </c>
      <c r="B9" s="38" t="n">
        <v>45782</v>
      </c>
      <c r="C9" s="38" t="n">
        <v>45788</v>
      </c>
      <c r="D9" s="37" t="n">
        <f aca="false">G8</f>
        <v>238614.09</v>
      </c>
      <c r="E9" s="37" t="n">
        <v>85020</v>
      </c>
      <c r="F9" s="37" t="n">
        <v>76538.27</v>
      </c>
      <c r="G9" s="37" t="n">
        <f aca="false">D9+E9-F9</f>
        <v>247095.82</v>
      </c>
    </row>
    <row r="10" customFormat="false" ht="15" hidden="false" customHeight="false" outlineLevel="0" collapsed="false">
      <c r="A10" s="11" t="s">
        <v>1416</v>
      </c>
      <c r="B10" s="38" t="n">
        <v>45789</v>
      </c>
      <c r="C10" s="38" t="n">
        <v>45795</v>
      </c>
      <c r="D10" s="37" t="n">
        <f aca="false">G9</f>
        <v>247095.82</v>
      </c>
      <c r="E10" s="37" t="n">
        <v>90888</v>
      </c>
      <c r="F10" s="37" t="n">
        <v>138195.12</v>
      </c>
      <c r="G10" s="37" t="n">
        <f aca="false">D10+E10-F10</f>
        <v>199788.7</v>
      </c>
    </row>
    <row r="11" customFormat="false" ht="15" hidden="false" customHeight="false" outlineLevel="0" collapsed="false">
      <c r="A11" s="11" t="s">
        <v>1417</v>
      </c>
      <c r="B11" s="38" t="n">
        <v>45796</v>
      </c>
      <c r="C11" s="38" t="n">
        <v>45802</v>
      </c>
      <c r="D11" s="37" t="n">
        <f aca="false">G10</f>
        <v>199788.7</v>
      </c>
      <c r="E11" s="37" t="n">
        <v>105122</v>
      </c>
      <c r="F11" s="37" t="n">
        <v>9401.03</v>
      </c>
      <c r="G11" s="37" t="n">
        <f aca="false">D11+E11-F11</f>
        <v>295509.67</v>
      </c>
    </row>
    <row r="12" customFormat="false" ht="15" hidden="false" customHeight="false" outlineLevel="0" collapsed="false">
      <c r="A12" s="11" t="s">
        <v>1418</v>
      </c>
      <c r="B12" s="38" t="n">
        <v>45803</v>
      </c>
      <c r="C12" s="38" t="n">
        <v>45809</v>
      </c>
      <c r="D12" s="37" t="n">
        <f aca="false">G11</f>
        <v>295509.67</v>
      </c>
      <c r="E12" s="37" t="n">
        <v>170474</v>
      </c>
      <c r="F12" s="37" t="n">
        <v>314445.63</v>
      </c>
      <c r="G12" s="37" t="n">
        <f aca="false">D12+E12-F12</f>
        <v>151538.04</v>
      </c>
    </row>
    <row r="13" customFormat="false" ht="15" hidden="false" customHeight="false" outlineLevel="0" collapsed="false">
      <c r="A13" s="11" t="s">
        <v>1419</v>
      </c>
      <c r="B13" s="38" t="n">
        <v>45810</v>
      </c>
      <c r="C13" s="38" t="n">
        <v>45816</v>
      </c>
      <c r="D13" s="37" t="n">
        <f aca="false">G12</f>
        <v>151538.04</v>
      </c>
      <c r="E13" s="37" t="n">
        <v>150422</v>
      </c>
      <c r="F13" s="37" t="n">
        <v>63090.58</v>
      </c>
      <c r="G13" s="37" t="n">
        <f aca="false">D13+E13-F13</f>
        <v>238869.46</v>
      </c>
    </row>
    <row r="14" customFormat="false" ht="15" hidden="false" customHeight="false" outlineLevel="0" collapsed="false">
      <c r="A14" s="11" t="s">
        <v>1420</v>
      </c>
      <c r="B14" s="38" t="n">
        <v>45817</v>
      </c>
      <c r="C14" s="38" t="n">
        <v>45823</v>
      </c>
      <c r="D14" s="37" t="n">
        <f aca="false">G13</f>
        <v>238869.46</v>
      </c>
      <c r="E14" s="37" t="n">
        <v>78998</v>
      </c>
      <c r="F14" s="37" t="n">
        <v>23341.57</v>
      </c>
      <c r="G14" s="37" t="n">
        <f aca="false">D14+E14-F14</f>
        <v>294525.89</v>
      </c>
    </row>
    <row r="15" customFormat="false" ht="15" hidden="false" customHeight="false" outlineLevel="0" collapsed="false">
      <c r="A15" s="11" t="s">
        <v>1421</v>
      </c>
      <c r="B15" s="38" t="n">
        <v>45824</v>
      </c>
      <c r="C15" s="38" t="n">
        <v>45830</v>
      </c>
      <c r="D15" s="37" t="n">
        <f aca="false">G14</f>
        <v>294525.89</v>
      </c>
      <c r="E15" s="37" t="n">
        <v>142764</v>
      </c>
      <c r="F15" s="37" t="n">
        <v>147834.96</v>
      </c>
      <c r="G15" s="37" t="n">
        <f aca="false">D15+E15-F15</f>
        <v>289454.93</v>
      </c>
    </row>
    <row r="16" customFormat="false" ht="15" hidden="false" customHeight="false" outlineLevel="0" collapsed="false">
      <c r="A16" s="11" t="s">
        <v>1422</v>
      </c>
      <c r="B16" s="38" t="n">
        <v>45831</v>
      </c>
      <c r="C16" s="38" t="n">
        <v>45837</v>
      </c>
      <c r="D16" s="37" t="n">
        <f aca="false">G15</f>
        <v>289454.93</v>
      </c>
      <c r="E16" s="37" t="n">
        <v>146670</v>
      </c>
      <c r="F16" s="37" t="n">
        <v>195526.03</v>
      </c>
      <c r="G16" s="37" t="n">
        <f aca="false">D16+E16-F16</f>
        <v>240598.9</v>
      </c>
    </row>
    <row r="17" customFormat="false" ht="15" hidden="false" customHeight="false" outlineLevel="0" collapsed="false">
      <c r="A17" s="11" t="s">
        <v>1423</v>
      </c>
      <c r="B17" s="38" t="n">
        <v>45838</v>
      </c>
      <c r="C17" s="38" t="n">
        <v>45844</v>
      </c>
      <c r="D17" s="37" t="n">
        <f aca="false">G16</f>
        <v>240598.9</v>
      </c>
      <c r="E17" s="37" t="n">
        <v>93730</v>
      </c>
      <c r="F17" s="37" t="n">
        <v>269276.83</v>
      </c>
      <c r="G17" s="37" t="n">
        <f aca="false">D17+E17-F17</f>
        <v>65052.07</v>
      </c>
    </row>
    <row r="18" customFormat="false" ht="15" hidden="false" customHeight="false" outlineLevel="0" collapsed="false">
      <c r="A18" s="11" t="s">
        <v>1424</v>
      </c>
      <c r="B18" s="38" t="n">
        <v>45845</v>
      </c>
      <c r="C18" s="38" t="n">
        <v>45851</v>
      </c>
      <c r="D18" s="37" t="n">
        <f aca="false">G17</f>
        <v>65052.07</v>
      </c>
      <c r="E18" s="37" t="n">
        <v>111240</v>
      </c>
      <c r="F18" s="37" t="n">
        <v>133804.18</v>
      </c>
      <c r="G18" s="37" t="n">
        <f aca="false">D18+E18-F18</f>
        <v>42487.89</v>
      </c>
    </row>
    <row r="19" customFormat="false" ht="15" hidden="false" customHeight="false" outlineLevel="0" collapsed="false">
      <c r="A19" s="11" t="s">
        <v>1425</v>
      </c>
      <c r="B19" s="38" t="n">
        <v>45852</v>
      </c>
      <c r="C19" s="38" t="n">
        <v>45858</v>
      </c>
      <c r="D19" s="37" t="n">
        <f aca="false">G18</f>
        <v>42487.89</v>
      </c>
      <c r="E19" s="37" t="n">
        <v>151932</v>
      </c>
      <c r="F19" s="37" t="n">
        <v>119126.06</v>
      </c>
      <c r="G19" s="37" t="n">
        <f aca="false">D19+E19-F19</f>
        <v>75293.83</v>
      </c>
    </row>
    <row r="20" customFormat="false" ht="15" hidden="false" customHeight="false" outlineLevel="0" collapsed="false">
      <c r="A20" s="11" t="s">
        <v>1426</v>
      </c>
      <c r="B20" s="38" t="n">
        <v>45859</v>
      </c>
      <c r="C20" s="38" t="n">
        <v>45865</v>
      </c>
      <c r="D20" s="37" t="n">
        <f aca="false">G19</f>
        <v>75293.83</v>
      </c>
      <c r="E20" s="37" t="n">
        <v>92748</v>
      </c>
      <c r="F20" s="37" t="n">
        <v>85337.81</v>
      </c>
      <c r="G20" s="37" t="n">
        <f aca="false">D20+E20-F20</f>
        <v>82704.02</v>
      </c>
    </row>
    <row r="21" customFormat="false" ht="15" hidden="false" customHeight="false" outlineLevel="0" collapsed="false">
      <c r="A21" s="11" t="s">
        <v>1427</v>
      </c>
      <c r="B21" s="38" t="n">
        <v>45866</v>
      </c>
      <c r="C21" s="38" t="n">
        <v>45872</v>
      </c>
      <c r="D21" s="37" t="n">
        <f aca="false">G20</f>
        <v>82704.02</v>
      </c>
      <c r="E21" s="37" t="n">
        <v>75720</v>
      </c>
      <c r="F21" s="37" t="n">
        <v>196635.02</v>
      </c>
      <c r="G21" s="37" t="n">
        <f aca="false">D21+E21-F21</f>
        <v>-38211</v>
      </c>
    </row>
    <row r="22" customFormat="false" ht="15" hidden="false" customHeight="false" outlineLevel="0" collapsed="false">
      <c r="A22" s="11" t="s">
        <v>1428</v>
      </c>
      <c r="B22" s="38" t="n">
        <v>45873</v>
      </c>
      <c r="C22" s="38" t="n">
        <v>45879</v>
      </c>
      <c r="D22" s="37" t="n">
        <f aca="false">G21</f>
        <v>-38211</v>
      </c>
      <c r="E22" s="37" t="n">
        <v>196824</v>
      </c>
      <c r="F22" s="37" t="n">
        <v>57020.85</v>
      </c>
      <c r="G22" s="37" t="n">
        <f aca="false">D22+E22-F22</f>
        <v>101592.15</v>
      </c>
    </row>
    <row r="23" customFormat="false" ht="15" hidden="false" customHeight="false" outlineLevel="0" collapsed="false">
      <c r="A23" s="11" t="s">
        <v>1429</v>
      </c>
      <c r="B23" s="38" t="n">
        <v>45880</v>
      </c>
      <c r="C23" s="38" t="n">
        <v>45886</v>
      </c>
      <c r="D23" s="37" t="n">
        <f aca="false">G22</f>
        <v>101592.15</v>
      </c>
      <c r="E23" s="37" t="n">
        <v>113640</v>
      </c>
      <c r="F23" s="37" t="n">
        <v>62441.04</v>
      </c>
      <c r="G23" s="37" t="n">
        <f aca="false">D23+E23-F23</f>
        <v>152791.11</v>
      </c>
    </row>
    <row r="24" customFormat="false" ht="15" hidden="false" customHeight="false" outlineLevel="0" collapsed="false">
      <c r="A24" s="11" t="s">
        <v>1430</v>
      </c>
      <c r="B24" s="38" t="n">
        <v>45887</v>
      </c>
      <c r="C24" s="38" t="n">
        <v>45893</v>
      </c>
      <c r="D24" s="37" t="n">
        <f aca="false">G23</f>
        <v>152791.11</v>
      </c>
      <c r="E24" s="37" t="n">
        <v>296328</v>
      </c>
      <c r="F24" s="37" t="n">
        <v>86292.72</v>
      </c>
      <c r="G24" s="37" t="n">
        <f aca="false">D24+E24-F24</f>
        <v>362826.39</v>
      </c>
    </row>
    <row r="25" customFormat="false" ht="15" hidden="false" customHeight="false" outlineLevel="0" collapsed="false">
      <c r="A25" s="11" t="s">
        <v>1431</v>
      </c>
      <c r="B25" s="38" t="n">
        <v>45894</v>
      </c>
      <c r="C25" s="38" t="n">
        <v>45900</v>
      </c>
      <c r="D25" s="37" t="n">
        <f aca="false">G24</f>
        <v>362826.39</v>
      </c>
      <c r="E25" s="37" t="n">
        <v>139638</v>
      </c>
      <c r="F25" s="37" t="n">
        <v>190776.82</v>
      </c>
      <c r="G25" s="37" t="n">
        <f aca="false">D25+E25-F25</f>
        <v>311687.57</v>
      </c>
    </row>
    <row r="26" customFormat="false" ht="15" hidden="false" customHeight="false" outlineLevel="0" collapsed="false">
      <c r="A26" s="11" t="s">
        <v>1432</v>
      </c>
      <c r="B26" s="38" t="n">
        <v>45901</v>
      </c>
      <c r="C26" s="38" t="n">
        <v>45907</v>
      </c>
      <c r="D26" s="37" t="n">
        <f aca="false">G25</f>
        <v>311687.57</v>
      </c>
      <c r="E26" s="37" t="n">
        <v>117272</v>
      </c>
      <c r="F26" s="37" t="n">
        <v>158834.47</v>
      </c>
      <c r="G26" s="37" t="n">
        <f aca="false">D26+E26-F26</f>
        <v>270125.1</v>
      </c>
    </row>
    <row r="27" customFormat="false" ht="15" hidden="false" customHeight="false" outlineLevel="0" collapsed="false">
      <c r="A27" s="11" t="s">
        <v>1433</v>
      </c>
      <c r="B27" s="38" t="n">
        <v>45908</v>
      </c>
      <c r="C27" s="38" t="n">
        <v>45914</v>
      </c>
      <c r="D27" s="37" t="n">
        <f aca="false">G26</f>
        <v>270125.1</v>
      </c>
      <c r="E27" s="37" t="n">
        <v>184044</v>
      </c>
      <c r="F27" s="37" t="n">
        <v>37512.75</v>
      </c>
      <c r="G27" s="37" t="n">
        <f aca="false">D27+E27-F27</f>
        <v>416656.35</v>
      </c>
    </row>
    <row r="28" customFormat="false" ht="15" hidden="false" customHeight="false" outlineLevel="0" collapsed="false">
      <c r="A28" s="11" t="s">
        <v>1434</v>
      </c>
      <c r="B28" s="38" t="n">
        <v>45915</v>
      </c>
      <c r="C28" s="38" t="n">
        <v>45921</v>
      </c>
      <c r="D28" s="37" t="n">
        <f aca="false">G27</f>
        <v>416656.35</v>
      </c>
      <c r="E28" s="37" t="n">
        <v>73696</v>
      </c>
      <c r="F28" s="37" t="n">
        <v>146262.76</v>
      </c>
      <c r="G28" s="37" t="n">
        <f aca="false">D28+E28-F28</f>
        <v>344089.59</v>
      </c>
    </row>
    <row r="29" customFormat="false" ht="15" hidden="false" customHeight="false" outlineLevel="0" collapsed="false">
      <c r="A29" s="11" t="s">
        <v>1435</v>
      </c>
      <c r="B29" s="38" t="n">
        <v>45922</v>
      </c>
      <c r="C29" s="38" t="n">
        <v>45928</v>
      </c>
      <c r="D29" s="37" t="n">
        <f aca="false">G28</f>
        <v>344089.59</v>
      </c>
      <c r="E29" s="37" t="n">
        <v>151836</v>
      </c>
      <c r="F29" s="37" t="n">
        <v>34184.23</v>
      </c>
      <c r="G29" s="37" t="n">
        <f aca="false">D29+E29-F29</f>
        <v>461741.36</v>
      </c>
    </row>
    <row r="30" customFormat="false" ht="15" hidden="false" customHeight="false" outlineLevel="0" collapsed="false">
      <c r="A30" s="11" t="s">
        <v>1436</v>
      </c>
      <c r="B30" s="38" t="n">
        <v>45929</v>
      </c>
      <c r="C30" s="38" t="n">
        <v>45935</v>
      </c>
      <c r="D30" s="37" t="n">
        <f aca="false">G29</f>
        <v>461741.36</v>
      </c>
      <c r="E30" s="37" t="n">
        <v>95292</v>
      </c>
      <c r="F30" s="37" t="n">
        <v>313473.08</v>
      </c>
      <c r="G30" s="37" t="n">
        <f aca="false">D30+E30-F30</f>
        <v>243560.28</v>
      </c>
    </row>
    <row r="31" customFormat="false" ht="15" hidden="false" customHeight="false" outlineLevel="0" collapsed="false">
      <c r="A31" s="11" t="s">
        <v>1437</v>
      </c>
      <c r="B31" s="38" t="n">
        <v>45936</v>
      </c>
      <c r="C31" s="38" t="n">
        <v>45942</v>
      </c>
      <c r="D31" s="37" t="n">
        <f aca="false">G30</f>
        <v>243560.28</v>
      </c>
      <c r="E31" s="37" t="n">
        <v>50584</v>
      </c>
      <c r="F31" s="37" t="n">
        <v>84382.34</v>
      </c>
      <c r="G31" s="37" t="n">
        <f aca="false">D31+E31-F31</f>
        <v>209761.94</v>
      </c>
    </row>
    <row r="32" customFormat="false" ht="15" hidden="false" customHeight="false" outlineLevel="0" collapsed="false">
      <c r="A32" s="11" t="s">
        <v>1438</v>
      </c>
      <c r="B32" s="38" t="n">
        <v>45943</v>
      </c>
      <c r="C32" s="38" t="n">
        <v>45949</v>
      </c>
      <c r="D32" s="37" t="n">
        <f aca="false">G31</f>
        <v>209761.94</v>
      </c>
      <c r="E32" s="37" t="n">
        <v>118370</v>
      </c>
      <c r="F32" s="37" t="n">
        <v>126404.14</v>
      </c>
      <c r="G32" s="37" t="n">
        <f aca="false">D32+E32-F32</f>
        <v>201727.8</v>
      </c>
    </row>
    <row r="33" customFormat="false" ht="15" hidden="false" customHeight="false" outlineLevel="0" collapsed="false">
      <c r="A33" s="11" t="s">
        <v>1439</v>
      </c>
      <c r="B33" s="38" t="n">
        <v>45950</v>
      </c>
      <c r="C33" s="38" t="n">
        <v>45956</v>
      </c>
      <c r="D33" s="37" t="n">
        <f aca="false">G32</f>
        <v>201727.8</v>
      </c>
      <c r="E33" s="37" t="n">
        <v>63300</v>
      </c>
      <c r="F33" s="37" t="n">
        <v>110065.25</v>
      </c>
      <c r="G33" s="37" t="n">
        <f aca="false">D33+E33-F33</f>
        <v>154962.55</v>
      </c>
    </row>
    <row r="34" customFormat="false" ht="15" hidden="false" customHeight="false" outlineLevel="0" collapsed="false">
      <c r="A34" s="11" t="s">
        <v>1440</v>
      </c>
      <c r="B34" s="38" t="n">
        <v>45957</v>
      </c>
      <c r="C34" s="38" t="n">
        <v>45963</v>
      </c>
      <c r="D34" s="37" t="n">
        <f aca="false">G33</f>
        <v>154962.55</v>
      </c>
      <c r="E34" s="37" t="n">
        <v>129132</v>
      </c>
      <c r="F34" s="37" t="n">
        <v>282592.04</v>
      </c>
      <c r="G34" s="37" t="n">
        <f aca="false">D34+E34-F34</f>
        <v>1502.50999999995</v>
      </c>
    </row>
    <row r="35" customFormat="false" ht="15" hidden="false" customHeight="false" outlineLevel="0" collapsed="false">
      <c r="A35" s="11" t="s">
        <v>1441</v>
      </c>
      <c r="B35" s="38" t="n">
        <v>45964</v>
      </c>
      <c r="C35" s="38" t="n">
        <v>45970</v>
      </c>
      <c r="D35" s="37" t="n">
        <f aca="false">G34</f>
        <v>1502.50999999995</v>
      </c>
      <c r="E35" s="37" t="n">
        <v>131316</v>
      </c>
      <c r="F35" s="37" t="n">
        <v>72182.47</v>
      </c>
      <c r="G35" s="37" t="n">
        <f aca="false">D35+E35-F35</f>
        <v>60636.04</v>
      </c>
    </row>
    <row r="36" customFormat="false" ht="15" hidden="false" customHeight="false" outlineLevel="0" collapsed="false">
      <c r="A36" s="11" t="s">
        <v>1442</v>
      </c>
      <c r="B36" s="38" t="n">
        <v>45971</v>
      </c>
      <c r="C36" s="38" t="n">
        <v>45977</v>
      </c>
      <c r="D36" s="37" t="n">
        <f aca="false">G35</f>
        <v>60636.04</v>
      </c>
      <c r="E36" s="37" t="n">
        <v>165088</v>
      </c>
      <c r="F36" s="37" t="n">
        <v>66310.3</v>
      </c>
      <c r="G36" s="37" t="n">
        <f aca="false">D36+E36-F36</f>
        <v>159413.74</v>
      </c>
    </row>
    <row r="37" customFormat="false" ht="15" hidden="false" customHeight="false" outlineLevel="0" collapsed="false">
      <c r="A37" s="11" t="s">
        <v>1443</v>
      </c>
      <c r="B37" s="38" t="n">
        <v>45978</v>
      </c>
      <c r="C37" s="38" t="n">
        <v>45984</v>
      </c>
      <c r="D37" s="37" t="n">
        <f aca="false">G36</f>
        <v>159413.74</v>
      </c>
      <c r="E37" s="37" t="n">
        <v>280476</v>
      </c>
      <c r="F37" s="37" t="n">
        <v>93211.65</v>
      </c>
      <c r="G37" s="37" t="n">
        <f aca="false">D37+E37-F37</f>
        <v>346678.09</v>
      </c>
    </row>
    <row r="38" customFormat="false" ht="15" hidden="false" customHeight="false" outlineLevel="0" collapsed="false">
      <c r="A38" s="11" t="s">
        <v>1444</v>
      </c>
      <c r="B38" s="38" t="n">
        <v>45985</v>
      </c>
      <c r="C38" s="38" t="n">
        <v>45991</v>
      </c>
      <c r="D38" s="37" t="n">
        <f aca="false">G37</f>
        <v>346678.09</v>
      </c>
      <c r="E38" s="37" t="n">
        <v>182664</v>
      </c>
      <c r="F38" s="37" t="n">
        <v>258761</v>
      </c>
      <c r="G38" s="37" t="n">
        <f aca="false">D38+E38-F38</f>
        <v>270581.09</v>
      </c>
    </row>
    <row r="39" customFormat="false" ht="15" hidden="false" customHeight="false" outlineLevel="0" collapsed="false">
      <c r="A39" s="11" t="s">
        <v>1445</v>
      </c>
      <c r="B39" s="38" t="n">
        <v>45992</v>
      </c>
      <c r="C39" s="38" t="n">
        <v>45998</v>
      </c>
      <c r="D39" s="37" t="n">
        <f aca="false">G38</f>
        <v>270581.09</v>
      </c>
      <c r="E39" s="37" t="n">
        <v>154502</v>
      </c>
      <c r="F39" s="37" t="n">
        <v>164258.37</v>
      </c>
      <c r="G39" s="37" t="n">
        <f aca="false">D39+E39-F39</f>
        <v>260824.72</v>
      </c>
    </row>
    <row r="40" customFormat="false" ht="15" hidden="false" customHeight="false" outlineLevel="0" collapsed="false">
      <c r="A40" s="11" t="s">
        <v>1446</v>
      </c>
      <c r="B40" s="38" t="n">
        <v>45999</v>
      </c>
      <c r="C40" s="38" t="n">
        <v>46005</v>
      </c>
      <c r="D40" s="37" t="n">
        <f aca="false">G39</f>
        <v>260824.72</v>
      </c>
      <c r="E40" s="37" t="n">
        <v>105096</v>
      </c>
      <c r="F40" s="37" t="n">
        <v>37740.47</v>
      </c>
      <c r="G40" s="37" t="n">
        <f aca="false">D40+E40-F40</f>
        <v>328180.25</v>
      </c>
    </row>
    <row r="41" customFormat="false" ht="15" hidden="false" customHeight="false" outlineLevel="0" collapsed="false">
      <c r="A41" s="11" t="s">
        <v>1447</v>
      </c>
      <c r="B41" s="38" t="n">
        <v>46006</v>
      </c>
      <c r="C41" s="38" t="n">
        <v>46012</v>
      </c>
      <c r="D41" s="37" t="n">
        <f aca="false">G40</f>
        <v>328180.25</v>
      </c>
      <c r="E41" s="37" t="n">
        <v>199130</v>
      </c>
      <c r="F41" s="37" t="n">
        <v>148915.1</v>
      </c>
      <c r="G41" s="37" t="n">
        <f aca="false">D41+E41-F41</f>
        <v>378395.15</v>
      </c>
    </row>
    <row r="42" customFormat="false" ht="15" hidden="false" customHeight="false" outlineLevel="0" collapsed="false">
      <c r="A42" s="11" t="s">
        <v>1448</v>
      </c>
      <c r="B42" s="38" t="n">
        <v>46013</v>
      </c>
      <c r="C42" s="38" t="n">
        <v>46019</v>
      </c>
      <c r="D42" s="37" t="n">
        <f aca="false">G41</f>
        <v>378395.15</v>
      </c>
      <c r="E42" s="37" t="n">
        <v>104052</v>
      </c>
      <c r="F42" s="37" t="n">
        <v>104879.81</v>
      </c>
      <c r="G42" s="37" t="n">
        <f aca="false">D42+E42-F42</f>
        <v>377567.34</v>
      </c>
    </row>
    <row r="43" customFormat="false" ht="15" hidden="false" customHeight="false" outlineLevel="0" collapsed="false">
      <c r="A43" s="11" t="s">
        <v>1449</v>
      </c>
      <c r="B43" s="38" t="n">
        <v>46020</v>
      </c>
      <c r="C43" s="38" t="n">
        <v>46026</v>
      </c>
      <c r="D43" s="37" t="n">
        <f aca="false">G42</f>
        <v>377567.34</v>
      </c>
      <c r="E43" s="37" t="n">
        <v>306040</v>
      </c>
      <c r="F43" s="37" t="n">
        <v>361328.78</v>
      </c>
      <c r="G43" s="37" t="n">
        <f aca="false">D43+E43-F43</f>
        <v>322278.56</v>
      </c>
    </row>
    <row r="44" customFormat="false" ht="15" hidden="false" customHeight="false" outlineLevel="0" collapsed="false">
      <c r="A44" s="11" t="s">
        <v>1450</v>
      </c>
      <c r="B44" s="38" t="n">
        <v>46027</v>
      </c>
      <c r="C44" s="38" t="n">
        <v>46033</v>
      </c>
      <c r="D44" s="37" t="n">
        <f aca="false">G43</f>
        <v>322278.56</v>
      </c>
      <c r="E44" s="37" t="n">
        <v>131522</v>
      </c>
      <c r="F44" s="37" t="n">
        <v>73699.12</v>
      </c>
      <c r="G44" s="37" t="n">
        <f aca="false">D44+E44-F44</f>
        <v>380101.44</v>
      </c>
    </row>
    <row r="45" customFormat="false" ht="15" hidden="false" customHeight="false" outlineLevel="0" collapsed="false">
      <c r="A45" s="11" t="s">
        <v>1451</v>
      </c>
      <c r="B45" s="38" t="n">
        <v>46034</v>
      </c>
      <c r="C45" s="38" t="n">
        <v>46040</v>
      </c>
      <c r="D45" s="37" t="n">
        <f aca="false">G44</f>
        <v>380101.44</v>
      </c>
      <c r="E45" s="37" t="n">
        <v>174180</v>
      </c>
      <c r="F45" s="37" t="n">
        <v>177672.51</v>
      </c>
      <c r="G45" s="37" t="n">
        <f aca="false">D45+E45-F45</f>
        <v>376608.93</v>
      </c>
    </row>
    <row r="46" customFormat="false" ht="15" hidden="false" customHeight="false" outlineLevel="0" collapsed="false">
      <c r="A46" s="11" t="s">
        <v>1452</v>
      </c>
      <c r="B46" s="38" t="n">
        <v>46041</v>
      </c>
      <c r="C46" s="38" t="n">
        <v>46047</v>
      </c>
      <c r="D46" s="37" t="n">
        <f aca="false">G45</f>
        <v>376608.93</v>
      </c>
      <c r="E46" s="37" t="n">
        <v>106450</v>
      </c>
      <c r="F46" s="37" t="n">
        <v>8845.66</v>
      </c>
      <c r="G46" s="37" t="n">
        <f aca="false">D46+E46-F46</f>
        <v>474213.27</v>
      </c>
    </row>
    <row r="47" customFormat="false" ht="15" hidden="false" customHeight="false" outlineLevel="0" collapsed="false">
      <c r="A47" s="11" t="s">
        <v>1453</v>
      </c>
      <c r="B47" s="38" t="n">
        <v>46048</v>
      </c>
      <c r="C47" s="38" t="n">
        <v>46054</v>
      </c>
      <c r="D47" s="37" t="n">
        <f aca="false">G46</f>
        <v>474213.27</v>
      </c>
      <c r="E47" s="37" t="n">
        <v>112428</v>
      </c>
      <c r="F47" s="37" t="n">
        <v>331559.28</v>
      </c>
      <c r="G47" s="37" t="n">
        <f aca="false">D47+E47-F47</f>
        <v>255081.99</v>
      </c>
    </row>
    <row r="48" customFormat="false" ht="15" hidden="false" customHeight="false" outlineLevel="0" collapsed="false">
      <c r="A48" s="11" t="s">
        <v>1454</v>
      </c>
      <c r="B48" s="38" t="n">
        <v>46055</v>
      </c>
      <c r="C48" s="38" t="n">
        <v>46061</v>
      </c>
      <c r="D48" s="37" t="n">
        <f aca="false">G47</f>
        <v>255081.99</v>
      </c>
      <c r="E48" s="37" t="n">
        <v>139244</v>
      </c>
      <c r="F48" s="37" t="n">
        <v>60857.01</v>
      </c>
      <c r="G48" s="37" t="n">
        <f aca="false">D48+E48-F48</f>
        <v>333468.98</v>
      </c>
    </row>
    <row r="49" customFormat="false" ht="15" hidden="false" customHeight="false" outlineLevel="0" collapsed="false">
      <c r="A49" s="11" t="s">
        <v>1455</v>
      </c>
      <c r="B49" s="38" t="n">
        <v>46062</v>
      </c>
      <c r="C49" s="38" t="n">
        <v>46068</v>
      </c>
      <c r="D49" s="37" t="n">
        <f aca="false">G48</f>
        <v>333468.98</v>
      </c>
      <c r="E49" s="37" t="n">
        <v>146052</v>
      </c>
      <c r="F49" s="37" t="n">
        <v>26243.72</v>
      </c>
      <c r="G49" s="37" t="n">
        <f aca="false">D49+E49-F49</f>
        <v>453277.26</v>
      </c>
    </row>
    <row r="50" customFormat="false" ht="15" hidden="false" customHeight="false" outlineLevel="0" collapsed="false">
      <c r="A50" s="11" t="s">
        <v>1456</v>
      </c>
      <c r="B50" s="38" t="n">
        <v>46069</v>
      </c>
      <c r="C50" s="38" t="n">
        <v>46075</v>
      </c>
      <c r="D50" s="37" t="n">
        <f aca="false">G49</f>
        <v>453277.26</v>
      </c>
      <c r="E50" s="37" t="n">
        <v>150952</v>
      </c>
      <c r="F50" s="37" t="n">
        <v>124804.91</v>
      </c>
      <c r="G50" s="37" t="n">
        <f aca="false">D50+E50-F50</f>
        <v>479424.35</v>
      </c>
    </row>
    <row r="51" customFormat="false" ht="15" hidden="false" customHeight="false" outlineLevel="0" collapsed="false">
      <c r="A51" s="11" t="s">
        <v>1457</v>
      </c>
      <c r="B51" s="38" t="n">
        <v>46076</v>
      </c>
      <c r="C51" s="38" t="n">
        <v>46082</v>
      </c>
      <c r="D51" s="37" t="n">
        <f aca="false">G50</f>
        <v>479424.35</v>
      </c>
      <c r="E51" s="37" t="n">
        <v>156582</v>
      </c>
      <c r="F51" s="37" t="n">
        <v>189125.39</v>
      </c>
      <c r="G51" s="37" t="n">
        <f aca="false">D51+E51-F51</f>
        <v>446880.96</v>
      </c>
    </row>
    <row r="52" customFormat="false" ht="15" hidden="false" customHeight="false" outlineLevel="0" collapsed="false">
      <c r="A52" s="11" t="s">
        <v>1458</v>
      </c>
      <c r="B52" s="38" t="n">
        <v>46083</v>
      </c>
      <c r="C52" s="38" t="n">
        <v>46089</v>
      </c>
      <c r="D52" s="37" t="n">
        <f aca="false">G51</f>
        <v>446880.96</v>
      </c>
      <c r="E52" s="37" t="n">
        <v>148752</v>
      </c>
      <c r="F52" s="37" t="n">
        <v>160756.63</v>
      </c>
      <c r="G52" s="37" t="n">
        <f aca="false">D52+E52-F52</f>
        <v>434876.33</v>
      </c>
    </row>
    <row r="53" customFormat="false" ht="15" hidden="false" customHeight="false" outlineLevel="0" collapsed="false">
      <c r="A53" s="11" t="s">
        <v>1459</v>
      </c>
      <c r="B53" s="38" t="n">
        <v>46090</v>
      </c>
      <c r="C53" s="38" t="n">
        <v>46096</v>
      </c>
      <c r="D53" s="37" t="n">
        <f aca="false">G52</f>
        <v>434876.33</v>
      </c>
      <c r="E53" s="37" t="n">
        <v>139536</v>
      </c>
      <c r="F53" s="37" t="n">
        <v>63930.19</v>
      </c>
      <c r="G53" s="37" t="n">
        <f aca="false">D53+E53-F53</f>
        <v>510482.14</v>
      </c>
    </row>
    <row r="54" customFormat="false" ht="15" hidden="false" customHeight="false" outlineLevel="0" collapsed="false">
      <c r="A54" s="11" t="s">
        <v>1460</v>
      </c>
      <c r="B54" s="38" t="n">
        <v>46097</v>
      </c>
      <c r="C54" s="38" t="n">
        <v>46103</v>
      </c>
      <c r="D54" s="37" t="n">
        <f aca="false">G53</f>
        <v>510482.14</v>
      </c>
      <c r="E54" s="37" t="n">
        <v>119100</v>
      </c>
      <c r="F54" s="37" t="n">
        <v>180573.01</v>
      </c>
      <c r="G54" s="37" t="n">
        <f aca="false">D54+E54-F54</f>
        <v>449009.13</v>
      </c>
    </row>
    <row r="55" customFormat="false" ht="15" hidden="false" customHeight="false" outlineLevel="0" collapsed="false">
      <c r="A55" s="11" t="s">
        <v>1461</v>
      </c>
      <c r="B55" s="38" t="n">
        <v>46104</v>
      </c>
      <c r="C55" s="38" t="n">
        <v>46110</v>
      </c>
      <c r="D55" s="37" t="n">
        <f aca="false">G54</f>
        <v>449009.13</v>
      </c>
      <c r="E55" s="37" t="n">
        <v>68340</v>
      </c>
      <c r="F55" s="37" t="n">
        <v>79064.42</v>
      </c>
      <c r="G55" s="37" t="n">
        <f aca="false">D55+E55-F55</f>
        <v>438284.71</v>
      </c>
    </row>
    <row r="56" customFormat="false" ht="15" hidden="false" customHeight="false" outlineLevel="0" collapsed="false">
      <c r="A56" s="11" t="s">
        <v>1462</v>
      </c>
      <c r="B56" s="38" t="n">
        <v>46111</v>
      </c>
      <c r="C56" s="38" t="n">
        <v>46117</v>
      </c>
      <c r="D56" s="37" t="n">
        <f aca="false">G55</f>
        <v>438284.71</v>
      </c>
      <c r="E56" s="37" t="n">
        <v>144000</v>
      </c>
      <c r="F56" s="37" t="n">
        <v>290000.97</v>
      </c>
      <c r="G56" s="37" t="n">
        <f aca="false">D56+E56-F56</f>
        <v>292283.74</v>
      </c>
    </row>
    <row r="57" customFormat="false" ht="15" hidden="false" customHeight="false" outlineLevel="0" collapsed="false">
      <c r="A57" s="11" t="s">
        <v>1463</v>
      </c>
      <c r="B57" s="38" t="n">
        <v>46118</v>
      </c>
      <c r="C57" s="38" t="n">
        <v>46124</v>
      </c>
      <c r="D57" s="37" t="n">
        <f aca="false">G56</f>
        <v>292283.74</v>
      </c>
      <c r="E57" s="37" t="n">
        <v>83388</v>
      </c>
      <c r="F57" s="37" t="n">
        <v>80892.95</v>
      </c>
      <c r="G57" s="37" t="n">
        <f aca="false">D57+E57-F57</f>
        <v>294778.79</v>
      </c>
    </row>
    <row r="58" customFormat="false" ht="15" hidden="false" customHeight="false" outlineLevel="0" collapsed="false">
      <c r="A58" s="11" t="s">
        <v>1464</v>
      </c>
      <c r="B58" s="38" t="n">
        <v>46125</v>
      </c>
      <c r="C58" s="38" t="n">
        <v>46131</v>
      </c>
      <c r="D58" s="37" t="n">
        <f aca="false">G57</f>
        <v>294778.79</v>
      </c>
      <c r="E58" s="37" t="n">
        <v>223500</v>
      </c>
      <c r="F58" s="37" t="n">
        <v>131214.34</v>
      </c>
      <c r="G58" s="37" t="n">
        <f aca="false">D58+E58-F58</f>
        <v>387064.45</v>
      </c>
    </row>
    <row r="59" customFormat="false" ht="15" hidden="false" customHeight="false" outlineLevel="0" collapsed="false">
      <c r="A59" s="11" t="s">
        <v>1465</v>
      </c>
      <c r="B59" s="38" t="n">
        <v>46132</v>
      </c>
      <c r="C59" s="38" t="n">
        <v>46138</v>
      </c>
      <c r="D59" s="37" t="n">
        <f aca="false">G58</f>
        <v>387064.45</v>
      </c>
      <c r="E59" s="37" t="n">
        <v>126514</v>
      </c>
      <c r="F59" s="37" t="n">
        <v>69261.49</v>
      </c>
      <c r="G59" s="37" t="n">
        <f aca="false">D59+E59-F59</f>
        <v>444316.96</v>
      </c>
    </row>
    <row r="60" customFormat="false" ht="15" hidden="false" customHeight="false" outlineLevel="0" collapsed="false">
      <c r="A60" s="11" t="s">
        <v>1466</v>
      </c>
      <c r="B60" s="38" t="n">
        <v>46139</v>
      </c>
      <c r="C60" s="38" t="n">
        <v>46145</v>
      </c>
      <c r="D60" s="37" t="n">
        <f aca="false">G59</f>
        <v>444316.96</v>
      </c>
      <c r="E60" s="37" t="n">
        <v>149100</v>
      </c>
      <c r="F60" s="37" t="n">
        <v>171369.84</v>
      </c>
      <c r="G60" s="37" t="n">
        <f aca="false">D60+E60-F60</f>
        <v>422047.12</v>
      </c>
    </row>
    <row r="61" customFormat="false" ht="15" hidden="false" customHeight="false" outlineLevel="0" collapsed="false">
      <c r="A61" s="11" t="s">
        <v>1467</v>
      </c>
      <c r="B61" s="38" t="n">
        <v>46146</v>
      </c>
      <c r="C61" s="38" t="n">
        <v>46152</v>
      </c>
      <c r="D61" s="37" t="n">
        <f aca="false">G60</f>
        <v>422047.12</v>
      </c>
      <c r="E61" s="37" t="n">
        <v>218604</v>
      </c>
      <c r="F61" s="37" t="n">
        <v>192145.1</v>
      </c>
      <c r="G61" s="37" t="n">
        <f aca="false">D61+E61-F61</f>
        <v>448506.02</v>
      </c>
    </row>
    <row r="62" customFormat="false" ht="15" hidden="false" customHeight="false" outlineLevel="0" collapsed="false">
      <c r="A62" s="11" t="s">
        <v>1468</v>
      </c>
      <c r="B62" s="38" t="n">
        <v>46153</v>
      </c>
      <c r="C62" s="38" t="n">
        <v>46159</v>
      </c>
      <c r="D62" s="37" t="n">
        <f aca="false">G61</f>
        <v>448506.02</v>
      </c>
      <c r="E62" s="37" t="n">
        <v>150856</v>
      </c>
      <c r="F62" s="37" t="n">
        <v>154879.88</v>
      </c>
      <c r="G62" s="37" t="n">
        <f aca="false">D62+E62-F62</f>
        <v>444482.14</v>
      </c>
    </row>
    <row r="63" customFormat="false" ht="15" hidden="false" customHeight="false" outlineLevel="0" collapsed="false">
      <c r="A63" s="11" t="s">
        <v>1469</v>
      </c>
      <c r="B63" s="38" t="n">
        <v>46160</v>
      </c>
      <c r="C63" s="38" t="n">
        <v>46166</v>
      </c>
      <c r="D63" s="37" t="n">
        <f aca="false">G62</f>
        <v>444482.14</v>
      </c>
      <c r="E63" s="37" t="n">
        <v>103384</v>
      </c>
      <c r="F63" s="37" t="n">
        <v>9976.86</v>
      </c>
      <c r="G63" s="37" t="n">
        <f aca="false">D63+E63-F63</f>
        <v>537889.28</v>
      </c>
    </row>
    <row r="64" customFormat="false" ht="15" hidden="false" customHeight="false" outlineLevel="0" collapsed="false">
      <c r="A64" s="11" t="s">
        <v>1470</v>
      </c>
      <c r="B64" s="38" t="n">
        <v>46167</v>
      </c>
      <c r="C64" s="38" t="n">
        <v>46173</v>
      </c>
      <c r="D64" s="37" t="n">
        <f aca="false">G63</f>
        <v>537889.28</v>
      </c>
      <c r="E64" s="37" t="n">
        <v>165076</v>
      </c>
      <c r="F64" s="37" t="n">
        <v>225853.35</v>
      </c>
      <c r="G64" s="37" t="n">
        <f aca="false">D64+E64-F64</f>
        <v>477111.93</v>
      </c>
    </row>
    <row r="65" customFormat="false" ht="15" hidden="false" customHeight="false" outlineLevel="0" collapsed="false">
      <c r="A65" s="11" t="s">
        <v>1471</v>
      </c>
      <c r="B65" s="38" t="n">
        <v>46174</v>
      </c>
      <c r="C65" s="38" t="n">
        <v>46180</v>
      </c>
      <c r="D65" s="37" t="n">
        <f aca="false">G64</f>
        <v>477111.93</v>
      </c>
      <c r="E65" s="37" t="n">
        <v>101038</v>
      </c>
      <c r="F65" s="37" t="n">
        <v>188001.39</v>
      </c>
      <c r="G65" s="37" t="n">
        <f aca="false">D65+E65-F65</f>
        <v>390148.54</v>
      </c>
    </row>
    <row r="66" customFormat="false" ht="15" hidden="false" customHeight="false" outlineLevel="0" collapsed="false">
      <c r="A66" s="11" t="s">
        <v>1472</v>
      </c>
      <c r="B66" s="38" t="n">
        <v>46181</v>
      </c>
      <c r="C66" s="38" t="n">
        <v>46187</v>
      </c>
      <c r="D66" s="37" t="n">
        <f aca="false">G65</f>
        <v>390148.54</v>
      </c>
      <c r="E66" s="37" t="n">
        <v>177526</v>
      </c>
      <c r="F66" s="37" t="n">
        <v>36038.44</v>
      </c>
      <c r="G66" s="37" t="n">
        <f aca="false">D66+E66-F66</f>
        <v>531636.1</v>
      </c>
    </row>
    <row r="67" customFormat="false" ht="15" hidden="false" customHeight="false" outlineLevel="0" collapsed="false">
      <c r="A67" s="11" t="s">
        <v>1473</v>
      </c>
      <c r="B67" s="38" t="n">
        <v>46188</v>
      </c>
      <c r="C67" s="38" t="n">
        <v>46194</v>
      </c>
      <c r="D67" s="37" t="n">
        <f aca="false">G66</f>
        <v>531636.1</v>
      </c>
      <c r="E67" s="37" t="n">
        <v>180564</v>
      </c>
      <c r="F67" s="37" t="n">
        <v>149512.99</v>
      </c>
      <c r="G67" s="37" t="n">
        <f aca="false">D67+E67-F67</f>
        <v>562687.11</v>
      </c>
    </row>
    <row r="68" customFormat="false" ht="15" hidden="false" customHeight="false" outlineLevel="0" collapsed="false">
      <c r="A68" s="11" t="s">
        <v>1474</v>
      </c>
      <c r="B68" s="38" t="n">
        <v>46195</v>
      </c>
      <c r="C68" s="38" t="n">
        <v>46201</v>
      </c>
      <c r="D68" s="37" t="n">
        <f aca="false">G67</f>
        <v>562687.11</v>
      </c>
      <c r="E68" s="37" t="n">
        <v>117998</v>
      </c>
      <c r="F68" s="37" t="n">
        <v>208719.33</v>
      </c>
      <c r="G68" s="37" t="n">
        <f aca="false">D68+E68-F68</f>
        <v>471965.78</v>
      </c>
    </row>
    <row r="69" customFormat="false" ht="15" hidden="false" customHeight="false" outlineLevel="0" collapsed="false">
      <c r="A69" s="11" t="s">
        <v>1475</v>
      </c>
      <c r="B69" s="38" t="n">
        <v>46202</v>
      </c>
      <c r="C69" s="38" t="n">
        <v>46208</v>
      </c>
      <c r="D69" s="37" t="n">
        <f aca="false">G68</f>
        <v>471965.78</v>
      </c>
      <c r="E69" s="37" t="n">
        <v>81286</v>
      </c>
      <c r="F69" s="37" t="n">
        <v>296520.14</v>
      </c>
      <c r="G69" s="37" t="n">
        <f aca="false">D69+E69-F69</f>
        <v>256731.64</v>
      </c>
    </row>
    <row r="70" customFormat="false" ht="15" hidden="false" customHeight="false" outlineLevel="0" collapsed="false">
      <c r="A70" s="11" t="s">
        <v>1476</v>
      </c>
      <c r="B70" s="38" t="n">
        <v>46209</v>
      </c>
      <c r="C70" s="38" t="n">
        <v>46215</v>
      </c>
      <c r="D70" s="37" t="n">
        <f aca="false">G69</f>
        <v>256731.64</v>
      </c>
      <c r="E70" s="37" t="n">
        <v>94336</v>
      </c>
      <c r="F70" s="37" t="n">
        <v>75790.76</v>
      </c>
      <c r="G70" s="37" t="n">
        <f aca="false">D70+E70-F70</f>
        <v>275276.88</v>
      </c>
    </row>
    <row r="71" customFormat="false" ht="15" hidden="false" customHeight="false" outlineLevel="0" collapsed="false">
      <c r="A71" s="11" t="s">
        <v>1477</v>
      </c>
      <c r="B71" s="38" t="n">
        <v>46216</v>
      </c>
      <c r="C71" s="38" t="n">
        <v>46222</v>
      </c>
      <c r="D71" s="37" t="n">
        <f aca="false">G70</f>
        <v>275276.88</v>
      </c>
      <c r="E71" s="37" t="n">
        <v>136270</v>
      </c>
      <c r="F71" s="37" t="n">
        <v>196877.3</v>
      </c>
      <c r="G71" s="37" t="n">
        <f aca="false">D71+E71-F71</f>
        <v>214669.58</v>
      </c>
    </row>
    <row r="72" customFormat="false" ht="15" hidden="false" customHeight="false" outlineLevel="0" collapsed="false">
      <c r="A72" s="11" t="s">
        <v>1478</v>
      </c>
      <c r="B72" s="38" t="n">
        <v>46223</v>
      </c>
      <c r="C72" s="38" t="n">
        <v>46229</v>
      </c>
      <c r="D72" s="37" t="n">
        <f aca="false">G71</f>
        <v>214669.58</v>
      </c>
      <c r="E72" s="37" t="n">
        <v>144618</v>
      </c>
      <c r="F72" s="37" t="n">
        <v>107976.72</v>
      </c>
      <c r="G72" s="37" t="n">
        <f aca="false">D72+E72-F72</f>
        <v>251310.86</v>
      </c>
    </row>
    <row r="73" customFormat="false" ht="15" hidden="false" customHeight="false" outlineLevel="0" collapsed="false">
      <c r="A73" s="11" t="s">
        <v>1479</v>
      </c>
      <c r="B73" s="38" t="n">
        <v>46230</v>
      </c>
      <c r="C73" s="38" t="n">
        <v>46236</v>
      </c>
      <c r="D73" s="37" t="n">
        <f aca="false">G72</f>
        <v>251310.86</v>
      </c>
      <c r="E73" s="37" t="n">
        <v>120120</v>
      </c>
      <c r="F73" s="37" t="n">
        <v>223564.59</v>
      </c>
      <c r="G73" s="37" t="n">
        <f aca="false">D73+E73-F73</f>
        <v>147866.27</v>
      </c>
    </row>
    <row r="74" customFormat="false" ht="15" hidden="false" customHeight="false" outlineLevel="0" collapsed="false">
      <c r="A74" s="11" t="s">
        <v>1480</v>
      </c>
      <c r="B74" s="38" t="n">
        <v>46237</v>
      </c>
      <c r="C74" s="38" t="n">
        <v>46243</v>
      </c>
      <c r="D74" s="37" t="n">
        <f aca="false">G73</f>
        <v>147866.27</v>
      </c>
      <c r="E74" s="37" t="n">
        <v>169068</v>
      </c>
      <c r="F74" s="37" t="n">
        <v>52634.04</v>
      </c>
      <c r="G74" s="37" t="n">
        <f aca="false">D74+E74-F74</f>
        <v>264300.23</v>
      </c>
    </row>
    <row r="75" customFormat="false" ht="15" hidden="false" customHeight="false" outlineLevel="0" collapsed="false">
      <c r="A75" s="11" t="s">
        <v>1481</v>
      </c>
      <c r="B75" s="38" t="n">
        <v>46244</v>
      </c>
      <c r="C75" s="38" t="n">
        <v>46250</v>
      </c>
      <c r="D75" s="37" t="n">
        <f aca="false">G74</f>
        <v>264300.23</v>
      </c>
      <c r="E75" s="37" t="n">
        <v>317244</v>
      </c>
      <c r="F75" s="37" t="n">
        <v>36173.87</v>
      </c>
      <c r="G75" s="37" t="n">
        <f aca="false">D75+E75-F75</f>
        <v>545370.36</v>
      </c>
    </row>
    <row r="76" customFormat="false" ht="15" hidden="false" customHeight="false" outlineLevel="0" collapsed="false">
      <c r="A76" s="11" t="s">
        <v>1482</v>
      </c>
      <c r="B76" s="38" t="n">
        <v>46251</v>
      </c>
      <c r="C76" s="38" t="n">
        <v>46257</v>
      </c>
      <c r="D76" s="37" t="n">
        <f aca="false">G75</f>
        <v>545370.36</v>
      </c>
      <c r="E76" s="37" t="n">
        <v>50930</v>
      </c>
      <c r="F76" s="37" t="n">
        <v>126040.14</v>
      </c>
      <c r="G76" s="37" t="n">
        <f aca="false">D76+E76-F76</f>
        <v>470260.22</v>
      </c>
    </row>
    <row r="77" customFormat="false" ht="15" hidden="false" customHeight="false" outlineLevel="0" collapsed="false">
      <c r="A77" s="11" t="s">
        <v>1483</v>
      </c>
      <c r="B77" s="38" t="n">
        <v>46258</v>
      </c>
      <c r="C77" s="38" t="n">
        <v>46264</v>
      </c>
      <c r="D77" s="37" t="n">
        <f aca="false">G76</f>
        <v>470260.22</v>
      </c>
      <c r="E77" s="37" t="n">
        <v>158486</v>
      </c>
      <c r="F77" s="37" t="n">
        <v>93128.96</v>
      </c>
      <c r="G77" s="37" t="n">
        <f aca="false">D77+E77-F77</f>
        <v>535617.26</v>
      </c>
    </row>
    <row r="78" customFormat="false" ht="15" hidden="false" customHeight="false" outlineLevel="0" collapsed="false">
      <c r="A78" s="11" t="s">
        <v>1484</v>
      </c>
      <c r="B78" s="38" t="n">
        <v>46265</v>
      </c>
      <c r="C78" s="38" t="n">
        <v>46271</v>
      </c>
      <c r="D78" s="37" t="n">
        <f aca="false">G77</f>
        <v>535617.26</v>
      </c>
      <c r="E78" s="37" t="n">
        <v>157572</v>
      </c>
      <c r="F78" s="37" t="n">
        <v>289456.66</v>
      </c>
      <c r="G78" s="37" t="n">
        <f aca="false">D78+E78-F78</f>
        <v>403732.6</v>
      </c>
    </row>
    <row r="79" customFormat="false" ht="15" hidden="false" customHeight="false" outlineLevel="0" collapsed="false">
      <c r="A79" s="11" t="s">
        <v>1485</v>
      </c>
      <c r="B79" s="38" t="n">
        <v>46272</v>
      </c>
      <c r="C79" s="38" t="n">
        <v>46278</v>
      </c>
      <c r="D79" s="37" t="n">
        <f aca="false">G78</f>
        <v>403732.6</v>
      </c>
      <c r="E79" s="37" t="n">
        <v>207756</v>
      </c>
      <c r="F79" s="37" t="n">
        <v>47578.02</v>
      </c>
      <c r="G79" s="37" t="n">
        <f aca="false">D79+E79-F79</f>
        <v>563910.58</v>
      </c>
    </row>
    <row r="80" customFormat="false" ht="15" hidden="false" customHeight="false" outlineLevel="0" collapsed="false">
      <c r="A80" s="11" t="s">
        <v>1486</v>
      </c>
      <c r="B80" s="38" t="n">
        <v>46279</v>
      </c>
      <c r="C80" s="38" t="n">
        <v>46285</v>
      </c>
      <c r="D80" s="37" t="n">
        <f aca="false">G79</f>
        <v>563910.58</v>
      </c>
      <c r="E80" s="37" t="n">
        <v>83280</v>
      </c>
      <c r="F80" s="37" t="n">
        <v>156598.27</v>
      </c>
      <c r="G80" s="37" t="n">
        <f aca="false">D80+E80-F80</f>
        <v>490592.31</v>
      </c>
    </row>
    <row r="81" customFormat="false" ht="15" hidden="false" customHeight="false" outlineLevel="0" collapsed="false">
      <c r="A81" s="11" t="s">
        <v>1487</v>
      </c>
      <c r="B81" s="38" t="n">
        <v>46286</v>
      </c>
      <c r="C81" s="38" t="n">
        <v>46292</v>
      </c>
      <c r="D81" s="37" t="n">
        <f aca="false">G80</f>
        <v>490592.31</v>
      </c>
      <c r="E81" s="37" t="n">
        <v>183422</v>
      </c>
      <c r="F81" s="37" t="n">
        <v>35006.92</v>
      </c>
      <c r="G81" s="37" t="n">
        <f aca="false">D81+E81-F81</f>
        <v>639007.39</v>
      </c>
    </row>
    <row r="82" customFormat="false" ht="15" hidden="false" customHeight="false" outlineLevel="0" collapsed="false">
      <c r="A82" s="11" t="s">
        <v>1488</v>
      </c>
      <c r="B82" s="38" t="n">
        <v>46293</v>
      </c>
      <c r="C82" s="38" t="n">
        <v>46299</v>
      </c>
      <c r="D82" s="37" t="n">
        <f aca="false">G81</f>
        <v>639007.39</v>
      </c>
      <c r="E82" s="37" t="n">
        <v>119316</v>
      </c>
      <c r="F82" s="37" t="n">
        <v>324015.08</v>
      </c>
      <c r="G82" s="37" t="n">
        <f aca="false">D82+E82-F82</f>
        <v>434308.31</v>
      </c>
    </row>
    <row r="83" customFormat="false" ht="15" hidden="false" customHeight="false" outlineLevel="0" collapsed="false">
      <c r="A83" s="11" t="s">
        <v>1489</v>
      </c>
      <c r="B83" s="38" t="n">
        <v>46300</v>
      </c>
      <c r="C83" s="38" t="n">
        <v>46306</v>
      </c>
      <c r="D83" s="37" t="n">
        <f aca="false">G82</f>
        <v>434308.31</v>
      </c>
      <c r="E83" s="37" t="n">
        <v>31740</v>
      </c>
      <c r="F83" s="37" t="n">
        <v>84807.66</v>
      </c>
      <c r="G83" s="37" t="n">
        <f aca="false">D83+E83-F83</f>
        <v>381240.65</v>
      </c>
    </row>
  </sheetData>
  <autoFilter ref="A3:G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H14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2"/>
    <col collapsed="false" customWidth="true" hidden="false" outlineLevel="0" max="5" min="4" style="0" width="34"/>
    <col collapsed="false" customWidth="true" hidden="false" outlineLevel="0" max="6" min="6" style="0" width="16"/>
    <col collapsed="false" customWidth="true" hidden="false" outlineLevel="0" max="7" min="7" style="0" width="12"/>
    <col collapsed="false" customWidth="true" hidden="false" outlineLevel="0" max="8" min="8" style="0" width="19"/>
  </cols>
  <sheetData>
    <row r="1" customFormat="false" ht="30" hidden="false" customHeight="true" outlineLevel="0" collapsed="false">
      <c r="A1" s="33" t="s">
        <v>1490</v>
      </c>
      <c r="B1" s="33" t="s">
        <v>199</v>
      </c>
      <c r="C1" s="33" t="s">
        <v>1491</v>
      </c>
      <c r="D1" s="33" t="s">
        <v>252</v>
      </c>
      <c r="E1" s="33" t="s">
        <v>1492</v>
      </c>
      <c r="F1" s="33" t="s">
        <v>1493</v>
      </c>
      <c r="G1" s="33" t="s">
        <v>255</v>
      </c>
      <c r="H1" s="33" t="s">
        <v>1494</v>
      </c>
    </row>
    <row r="2" customFormat="false" ht="15" hidden="false" customHeight="false" outlineLevel="0" collapsed="false">
      <c r="A2" s="11" t="s">
        <v>1495</v>
      </c>
      <c r="B2" s="38" t="n">
        <v>45748</v>
      </c>
      <c r="C2" s="11" t="s">
        <v>1496</v>
      </c>
      <c r="D2" s="11" t="s">
        <v>1497</v>
      </c>
      <c r="E2" s="11" t="s">
        <v>335</v>
      </c>
      <c r="F2" s="11" t="s">
        <v>1498</v>
      </c>
      <c r="G2" s="37" t="n">
        <v>9324</v>
      </c>
      <c r="H2" s="37" t="n">
        <v>385357.78</v>
      </c>
    </row>
    <row r="3" customFormat="false" ht="15" hidden="false" customHeight="false" outlineLevel="0" collapsed="false">
      <c r="A3" s="11" t="s">
        <v>1499</v>
      </c>
      <c r="B3" s="38" t="n">
        <v>45748</v>
      </c>
      <c r="C3" s="11" t="s">
        <v>1500</v>
      </c>
      <c r="D3" s="11" t="s">
        <v>1501</v>
      </c>
      <c r="E3" s="11" t="s">
        <v>853</v>
      </c>
      <c r="F3" s="11"/>
      <c r="G3" s="37" t="n">
        <v>-7800</v>
      </c>
      <c r="H3" s="37" t="n">
        <v>377557.78</v>
      </c>
    </row>
    <row r="4" customFormat="false" ht="15" hidden="false" customHeight="false" outlineLevel="0" collapsed="false">
      <c r="A4" s="11" t="s">
        <v>1502</v>
      </c>
      <c r="B4" s="38" t="n">
        <v>45748</v>
      </c>
      <c r="C4" s="11" t="s">
        <v>1500</v>
      </c>
      <c r="D4" s="11" t="s">
        <v>1503</v>
      </c>
      <c r="E4" s="11" t="s">
        <v>847</v>
      </c>
      <c r="F4" s="11"/>
      <c r="G4" s="37" t="n">
        <v>-23400</v>
      </c>
      <c r="H4" s="37" t="n">
        <v>354157.78</v>
      </c>
    </row>
    <row r="5" customFormat="false" ht="15" hidden="false" customHeight="false" outlineLevel="0" collapsed="false">
      <c r="A5" s="11" t="s">
        <v>1504</v>
      </c>
      <c r="B5" s="38" t="n">
        <v>45749</v>
      </c>
      <c r="C5" s="11" t="s">
        <v>1496</v>
      </c>
      <c r="D5" s="11" t="s">
        <v>1497</v>
      </c>
      <c r="E5" s="11" t="s">
        <v>327</v>
      </c>
      <c r="F5" s="11" t="s">
        <v>1505</v>
      </c>
      <c r="G5" s="37" t="n">
        <v>12852</v>
      </c>
      <c r="H5" s="37" t="n">
        <v>367009.78</v>
      </c>
    </row>
    <row r="6" customFormat="false" ht="15" hidden="false" customHeight="false" outlineLevel="0" collapsed="false">
      <c r="A6" s="11" t="s">
        <v>1506</v>
      </c>
      <c r="B6" s="38" t="n">
        <v>45749</v>
      </c>
      <c r="C6" s="11" t="s">
        <v>1496</v>
      </c>
      <c r="D6" s="11" t="s">
        <v>1497</v>
      </c>
      <c r="E6" s="11" t="s">
        <v>287</v>
      </c>
      <c r="F6" s="11" t="s">
        <v>1507</v>
      </c>
      <c r="G6" s="37" t="n">
        <v>3576</v>
      </c>
      <c r="H6" s="37" t="n">
        <v>370585.78</v>
      </c>
    </row>
    <row r="7" customFormat="false" ht="15" hidden="false" customHeight="false" outlineLevel="0" collapsed="false">
      <c r="A7" s="11" t="s">
        <v>1508</v>
      </c>
      <c r="B7" s="38" t="n">
        <v>45749</v>
      </c>
      <c r="C7" s="11" t="s">
        <v>1500</v>
      </c>
      <c r="D7" s="11" t="s">
        <v>291</v>
      </c>
      <c r="E7" s="11" t="s">
        <v>292</v>
      </c>
      <c r="F7" s="11"/>
      <c r="G7" s="37" t="n">
        <v>-5509.47</v>
      </c>
      <c r="H7" s="37" t="n">
        <v>365076.31</v>
      </c>
    </row>
    <row r="8" customFormat="false" ht="15" hidden="false" customHeight="false" outlineLevel="0" collapsed="false">
      <c r="A8" s="11" t="s">
        <v>1509</v>
      </c>
      <c r="B8" s="38" t="n">
        <v>45750</v>
      </c>
      <c r="C8" s="11" t="s">
        <v>1500</v>
      </c>
      <c r="D8" s="11" t="s">
        <v>448</v>
      </c>
      <c r="E8" s="11" t="s">
        <v>449</v>
      </c>
      <c r="F8" s="11"/>
      <c r="G8" s="37" t="n">
        <v>-2880</v>
      </c>
      <c r="H8" s="37" t="n">
        <v>362196.31</v>
      </c>
    </row>
    <row r="9" customFormat="false" ht="15" hidden="false" customHeight="false" outlineLevel="0" collapsed="false">
      <c r="A9" s="11" t="s">
        <v>1510</v>
      </c>
      <c r="B9" s="38" t="n">
        <v>45750</v>
      </c>
      <c r="C9" s="11" t="s">
        <v>1500</v>
      </c>
      <c r="D9" s="11" t="s">
        <v>307</v>
      </c>
      <c r="E9" s="11" t="s">
        <v>313</v>
      </c>
      <c r="F9" s="11" t="s">
        <v>1511</v>
      </c>
      <c r="G9" s="37" t="n">
        <v>-5210.2</v>
      </c>
      <c r="H9" s="37" t="n">
        <v>356986.11</v>
      </c>
    </row>
    <row r="10" customFormat="false" ht="15" hidden="false" customHeight="false" outlineLevel="0" collapsed="false">
      <c r="A10" s="11" t="s">
        <v>1512</v>
      </c>
      <c r="B10" s="38" t="n">
        <v>45750</v>
      </c>
      <c r="C10" s="11" t="s">
        <v>1500</v>
      </c>
      <c r="D10" s="11" t="s">
        <v>307</v>
      </c>
      <c r="E10" s="11" t="s">
        <v>308</v>
      </c>
      <c r="F10" s="11" t="s">
        <v>1513</v>
      </c>
      <c r="G10" s="37" t="n">
        <v>-31264.46</v>
      </c>
      <c r="H10" s="37" t="n">
        <v>325721.65</v>
      </c>
    </row>
    <row r="11" customFormat="false" ht="15" hidden="false" customHeight="false" outlineLevel="0" collapsed="false">
      <c r="A11" s="11" t="s">
        <v>1514</v>
      </c>
      <c r="B11" s="38" t="n">
        <v>45750</v>
      </c>
      <c r="C11" s="11" t="s">
        <v>1496</v>
      </c>
      <c r="D11" s="11" t="s">
        <v>1497</v>
      </c>
      <c r="E11" s="11" t="s">
        <v>280</v>
      </c>
      <c r="F11" s="11" t="s">
        <v>1515</v>
      </c>
      <c r="G11" s="37" t="n">
        <v>4968</v>
      </c>
      <c r="H11" s="37" t="n">
        <v>330689.65</v>
      </c>
    </row>
    <row r="12" customFormat="false" ht="15" hidden="false" customHeight="false" outlineLevel="0" collapsed="false">
      <c r="A12" s="11" t="s">
        <v>1516</v>
      </c>
      <c r="B12" s="38" t="n">
        <v>45750</v>
      </c>
      <c r="C12" s="11" t="s">
        <v>1500</v>
      </c>
      <c r="D12" s="11" t="s">
        <v>307</v>
      </c>
      <c r="E12" s="11" t="s">
        <v>420</v>
      </c>
      <c r="F12" s="11" t="s">
        <v>1517</v>
      </c>
      <c r="G12" s="37" t="n">
        <v>-114177.68</v>
      </c>
      <c r="H12" s="37" t="n">
        <v>216511.97</v>
      </c>
    </row>
    <row r="13" customFormat="false" ht="15" hidden="false" customHeight="false" outlineLevel="0" collapsed="false">
      <c r="A13" s="11" t="s">
        <v>1518</v>
      </c>
      <c r="B13" s="38" t="n">
        <v>45751</v>
      </c>
      <c r="C13" s="11" t="s">
        <v>1496</v>
      </c>
      <c r="D13" s="11" t="s">
        <v>1497</v>
      </c>
      <c r="E13" s="11" t="s">
        <v>349</v>
      </c>
      <c r="F13" s="11" t="s">
        <v>1519</v>
      </c>
      <c r="G13" s="37" t="n">
        <v>7812</v>
      </c>
      <c r="H13" s="37" t="n">
        <v>224323.97</v>
      </c>
    </row>
    <row r="14" customFormat="false" ht="15" hidden="false" customHeight="false" outlineLevel="0" collapsed="false">
      <c r="A14" s="11" t="s">
        <v>1520</v>
      </c>
      <c r="B14" s="38" t="n">
        <v>45751</v>
      </c>
      <c r="C14" s="11" t="s">
        <v>1496</v>
      </c>
      <c r="D14" s="11" t="s">
        <v>1497</v>
      </c>
      <c r="E14" s="11" t="s">
        <v>349</v>
      </c>
      <c r="F14" s="11" t="s">
        <v>1521</v>
      </c>
      <c r="G14" s="37" t="n">
        <v>16704</v>
      </c>
      <c r="H14" s="37" t="n">
        <v>241027.97</v>
      </c>
    </row>
    <row r="15" customFormat="false" ht="15" hidden="false" customHeight="false" outlineLevel="0" collapsed="false">
      <c r="A15" s="11" t="s">
        <v>1522</v>
      </c>
      <c r="B15" s="38" t="n">
        <v>45754</v>
      </c>
      <c r="C15" s="11" t="s">
        <v>1496</v>
      </c>
      <c r="D15" s="11" t="s">
        <v>1497</v>
      </c>
      <c r="E15" s="11" t="s">
        <v>280</v>
      </c>
      <c r="F15" s="11" t="s">
        <v>1523</v>
      </c>
      <c r="G15" s="37" t="n">
        <v>4272</v>
      </c>
      <c r="H15" s="37" t="n">
        <v>245299.97</v>
      </c>
    </row>
    <row r="16" customFormat="false" ht="15" hidden="false" customHeight="false" outlineLevel="0" collapsed="false">
      <c r="A16" s="11" t="s">
        <v>1524</v>
      </c>
      <c r="B16" s="38" t="n">
        <v>45754</v>
      </c>
      <c r="C16" s="11" t="s">
        <v>1496</v>
      </c>
      <c r="D16" s="11" t="s">
        <v>1497</v>
      </c>
      <c r="E16" s="11" t="s">
        <v>280</v>
      </c>
      <c r="F16" s="11" t="s">
        <v>1525</v>
      </c>
      <c r="G16" s="37" t="n">
        <v>3540</v>
      </c>
      <c r="H16" s="37" t="n">
        <v>248839.97</v>
      </c>
    </row>
    <row r="17" customFormat="false" ht="15" hidden="false" customHeight="false" outlineLevel="0" collapsed="false">
      <c r="A17" s="11" t="s">
        <v>1526</v>
      </c>
      <c r="B17" s="38" t="n">
        <v>45754</v>
      </c>
      <c r="C17" s="11" t="s">
        <v>1496</v>
      </c>
      <c r="D17" s="11" t="s">
        <v>1497</v>
      </c>
      <c r="E17" s="11" t="s">
        <v>327</v>
      </c>
      <c r="F17" s="11" t="s">
        <v>1527</v>
      </c>
      <c r="G17" s="37" t="n">
        <v>22464</v>
      </c>
      <c r="H17" s="37" t="n">
        <v>271303.97</v>
      </c>
    </row>
    <row r="18" customFormat="false" ht="15" hidden="false" customHeight="false" outlineLevel="0" collapsed="false">
      <c r="A18" s="11" t="s">
        <v>1528</v>
      </c>
      <c r="B18" s="38" t="n">
        <v>45754</v>
      </c>
      <c r="C18" s="11" t="s">
        <v>1496</v>
      </c>
      <c r="D18" s="11" t="s">
        <v>1497</v>
      </c>
      <c r="E18" s="11" t="s">
        <v>287</v>
      </c>
      <c r="F18" s="11" t="s">
        <v>1529</v>
      </c>
      <c r="G18" s="37" t="n">
        <v>9744</v>
      </c>
      <c r="H18" s="37" t="n">
        <v>281047.97</v>
      </c>
    </row>
    <row r="19" customFormat="false" ht="15" hidden="false" customHeight="false" outlineLevel="0" collapsed="false">
      <c r="A19" s="11" t="s">
        <v>1530</v>
      </c>
      <c r="B19" s="38" t="n">
        <v>45754</v>
      </c>
      <c r="C19" s="11" t="s">
        <v>1496</v>
      </c>
      <c r="D19" s="11" t="s">
        <v>1497</v>
      </c>
      <c r="E19" s="11" t="s">
        <v>392</v>
      </c>
      <c r="F19" s="11" t="s">
        <v>1531</v>
      </c>
      <c r="G19" s="37" t="n">
        <v>14136</v>
      </c>
      <c r="H19" s="37" t="n">
        <v>295183.97</v>
      </c>
    </row>
    <row r="20" customFormat="false" ht="15" hidden="false" customHeight="false" outlineLevel="0" collapsed="false">
      <c r="A20" s="11" t="s">
        <v>1532</v>
      </c>
      <c r="B20" s="38" t="n">
        <v>45754</v>
      </c>
      <c r="C20" s="11" t="s">
        <v>1500</v>
      </c>
      <c r="D20" s="11" t="s">
        <v>469</v>
      </c>
      <c r="E20" s="11" t="s">
        <v>470</v>
      </c>
      <c r="F20" s="11"/>
      <c r="G20" s="37" t="n">
        <v>-8900</v>
      </c>
      <c r="H20" s="37" t="n">
        <v>286283.97</v>
      </c>
    </row>
    <row r="21" customFormat="false" ht="15" hidden="false" customHeight="false" outlineLevel="0" collapsed="false">
      <c r="A21" s="11" t="s">
        <v>1533</v>
      </c>
      <c r="B21" s="38" t="n">
        <v>45754</v>
      </c>
      <c r="C21" s="11" t="s">
        <v>1496</v>
      </c>
      <c r="D21" s="11" t="s">
        <v>1497</v>
      </c>
      <c r="E21" s="11" t="s">
        <v>280</v>
      </c>
      <c r="F21" s="11" t="s">
        <v>1534</v>
      </c>
      <c r="G21" s="37" t="n">
        <v>15048</v>
      </c>
      <c r="H21" s="37" t="n">
        <v>301331.97</v>
      </c>
    </row>
    <row r="22" customFormat="false" ht="15" hidden="false" customHeight="false" outlineLevel="0" collapsed="false">
      <c r="A22" s="11" t="s">
        <v>1535</v>
      </c>
      <c r="B22" s="38" t="n">
        <v>45755</v>
      </c>
      <c r="C22" s="11" t="s">
        <v>1500</v>
      </c>
      <c r="D22" s="11" t="s">
        <v>480</v>
      </c>
      <c r="E22" s="11" t="s">
        <v>481</v>
      </c>
      <c r="F22" s="11"/>
      <c r="G22" s="37" t="n">
        <v>-9840</v>
      </c>
      <c r="H22" s="37" t="n">
        <v>291491.97</v>
      </c>
    </row>
    <row r="23" customFormat="false" ht="15" hidden="false" customHeight="false" outlineLevel="0" collapsed="false">
      <c r="A23" s="11" t="s">
        <v>1536</v>
      </c>
      <c r="B23" s="38" t="n">
        <v>45756</v>
      </c>
      <c r="C23" s="11" t="s">
        <v>1500</v>
      </c>
      <c r="D23" s="11" t="s">
        <v>291</v>
      </c>
      <c r="E23" s="11" t="s">
        <v>292</v>
      </c>
      <c r="F23" s="11"/>
      <c r="G23" s="37" t="n">
        <v>-5261.42</v>
      </c>
      <c r="H23" s="37" t="n">
        <v>286230.55</v>
      </c>
    </row>
    <row r="24" customFormat="false" ht="15" hidden="false" customHeight="false" outlineLevel="0" collapsed="false">
      <c r="A24" s="11" t="s">
        <v>1537</v>
      </c>
      <c r="B24" s="38" t="n">
        <v>45756</v>
      </c>
      <c r="C24" s="11" t="s">
        <v>1496</v>
      </c>
      <c r="D24" s="11" t="s">
        <v>1497</v>
      </c>
      <c r="E24" s="11" t="s">
        <v>335</v>
      </c>
      <c r="F24" s="11" t="s">
        <v>1538</v>
      </c>
      <c r="G24" s="37" t="n">
        <v>5376</v>
      </c>
      <c r="H24" s="37" t="n">
        <v>291606.55</v>
      </c>
    </row>
    <row r="25" customFormat="false" ht="15" hidden="false" customHeight="false" outlineLevel="0" collapsed="false">
      <c r="A25" s="11" t="s">
        <v>1539</v>
      </c>
      <c r="B25" s="38" t="n">
        <v>45756</v>
      </c>
      <c r="C25" s="11" t="s">
        <v>1496</v>
      </c>
      <c r="D25" s="11" t="s">
        <v>1497</v>
      </c>
      <c r="E25" s="11" t="s">
        <v>287</v>
      </c>
      <c r="F25" s="11" t="s">
        <v>1540</v>
      </c>
      <c r="G25" s="37" t="n">
        <v>4548</v>
      </c>
      <c r="H25" s="37" t="n">
        <v>296154.55</v>
      </c>
    </row>
    <row r="26" customFormat="false" ht="15" hidden="false" customHeight="false" outlineLevel="0" collapsed="false">
      <c r="A26" s="11" t="s">
        <v>1541</v>
      </c>
      <c r="B26" s="38" t="n">
        <v>45757</v>
      </c>
      <c r="C26" s="11" t="s">
        <v>1500</v>
      </c>
      <c r="D26" s="11" t="s">
        <v>307</v>
      </c>
      <c r="E26" s="11" t="s">
        <v>458</v>
      </c>
      <c r="F26" s="11" t="s">
        <v>1542</v>
      </c>
      <c r="G26" s="37" t="n">
        <v>-31749.82</v>
      </c>
      <c r="H26" s="37" t="n">
        <v>264404.73</v>
      </c>
    </row>
    <row r="27" customFormat="false" ht="15" hidden="false" customHeight="false" outlineLevel="0" collapsed="false">
      <c r="A27" s="11" t="s">
        <v>1543</v>
      </c>
      <c r="B27" s="38" t="n">
        <v>45757</v>
      </c>
      <c r="C27" s="11" t="s">
        <v>1500</v>
      </c>
      <c r="D27" s="11" t="s">
        <v>272</v>
      </c>
      <c r="E27" s="11" t="s">
        <v>273</v>
      </c>
      <c r="F27" s="11"/>
      <c r="G27" s="37" t="n">
        <v>-3840</v>
      </c>
      <c r="H27" s="37" t="n">
        <v>260564.73</v>
      </c>
    </row>
    <row r="28" customFormat="false" ht="15" hidden="false" customHeight="false" outlineLevel="0" collapsed="false">
      <c r="A28" s="11" t="s">
        <v>1544</v>
      </c>
      <c r="B28" s="38" t="n">
        <v>45757</v>
      </c>
      <c r="C28" s="11" t="s">
        <v>1500</v>
      </c>
      <c r="D28" s="11" t="s">
        <v>307</v>
      </c>
      <c r="E28" s="11" t="s">
        <v>313</v>
      </c>
      <c r="F28" s="11" t="s">
        <v>1545</v>
      </c>
      <c r="G28" s="37" t="n">
        <v>-4442.65</v>
      </c>
      <c r="H28" s="37" t="n">
        <v>256122.08</v>
      </c>
    </row>
    <row r="29" customFormat="false" ht="15" hidden="false" customHeight="false" outlineLevel="0" collapsed="false">
      <c r="A29" s="11" t="s">
        <v>1546</v>
      </c>
      <c r="B29" s="38" t="n">
        <v>45757</v>
      </c>
      <c r="C29" s="11" t="s">
        <v>1500</v>
      </c>
      <c r="D29" s="11" t="s">
        <v>307</v>
      </c>
      <c r="E29" s="11" t="s">
        <v>464</v>
      </c>
      <c r="F29" s="11" t="s">
        <v>1547</v>
      </c>
      <c r="G29" s="37" t="n">
        <v>-11331.8</v>
      </c>
      <c r="H29" s="37" t="n">
        <v>244790.28</v>
      </c>
    </row>
    <row r="30" customFormat="false" ht="15" hidden="false" customHeight="false" outlineLevel="0" collapsed="false">
      <c r="A30" s="11" t="s">
        <v>1548</v>
      </c>
      <c r="B30" s="38" t="n">
        <v>45758</v>
      </c>
      <c r="C30" s="11" t="s">
        <v>1496</v>
      </c>
      <c r="D30" s="11" t="s">
        <v>1497</v>
      </c>
      <c r="E30" s="11" t="s">
        <v>280</v>
      </c>
      <c r="F30" s="11" t="s">
        <v>1549</v>
      </c>
      <c r="G30" s="37" t="n">
        <v>8712</v>
      </c>
      <c r="H30" s="37" t="n">
        <v>253502.28</v>
      </c>
    </row>
    <row r="31" customFormat="false" ht="15" hidden="false" customHeight="false" outlineLevel="0" collapsed="false">
      <c r="A31" s="11" t="s">
        <v>1550</v>
      </c>
      <c r="B31" s="38" t="n">
        <v>45758</v>
      </c>
      <c r="C31" s="11" t="s">
        <v>1496</v>
      </c>
      <c r="D31" s="11" t="s">
        <v>1497</v>
      </c>
      <c r="E31" s="11" t="s">
        <v>327</v>
      </c>
      <c r="F31" s="11" t="s">
        <v>1551</v>
      </c>
      <c r="G31" s="37" t="n">
        <v>36996</v>
      </c>
      <c r="H31" s="37" t="n">
        <v>290498.28</v>
      </c>
    </row>
    <row r="32" customFormat="false" ht="15" hidden="false" customHeight="false" outlineLevel="0" collapsed="false">
      <c r="A32" s="11" t="s">
        <v>1552</v>
      </c>
      <c r="B32" s="38" t="n">
        <v>45758</v>
      </c>
      <c r="C32" s="11" t="s">
        <v>1496</v>
      </c>
      <c r="D32" s="11" t="s">
        <v>1497</v>
      </c>
      <c r="E32" s="11" t="s">
        <v>335</v>
      </c>
      <c r="F32" s="11" t="s">
        <v>1553</v>
      </c>
      <c r="G32" s="37" t="n">
        <v>11976</v>
      </c>
      <c r="H32" s="37" t="n">
        <v>302474.28</v>
      </c>
    </row>
    <row r="33" customFormat="false" ht="15" hidden="false" customHeight="false" outlineLevel="0" collapsed="false">
      <c r="A33" s="11" t="s">
        <v>1554</v>
      </c>
      <c r="B33" s="38" t="n">
        <v>45761</v>
      </c>
      <c r="C33" s="11" t="s">
        <v>1496</v>
      </c>
      <c r="D33" s="11" t="s">
        <v>1497</v>
      </c>
      <c r="E33" s="11" t="s">
        <v>298</v>
      </c>
      <c r="F33" s="11" t="s">
        <v>1555</v>
      </c>
      <c r="G33" s="37" t="n">
        <v>7610</v>
      </c>
      <c r="H33" s="37" t="n">
        <v>310084.28</v>
      </c>
    </row>
    <row r="34" customFormat="false" ht="15" hidden="false" customHeight="false" outlineLevel="0" collapsed="false">
      <c r="A34" s="11" t="s">
        <v>1556</v>
      </c>
      <c r="B34" s="38" t="n">
        <v>45761</v>
      </c>
      <c r="C34" s="11" t="s">
        <v>1496</v>
      </c>
      <c r="D34" s="11" t="s">
        <v>1497</v>
      </c>
      <c r="E34" s="11" t="s">
        <v>335</v>
      </c>
      <c r="F34" s="11" t="s">
        <v>1557</v>
      </c>
      <c r="G34" s="37" t="n">
        <v>7752</v>
      </c>
      <c r="H34" s="37" t="n">
        <v>317836.28</v>
      </c>
    </row>
    <row r="35" customFormat="false" ht="15" hidden="false" customHeight="false" outlineLevel="0" collapsed="false">
      <c r="A35" s="11" t="s">
        <v>1558</v>
      </c>
      <c r="B35" s="38" t="n">
        <v>45761</v>
      </c>
      <c r="C35" s="11" t="s">
        <v>1496</v>
      </c>
      <c r="D35" s="11" t="s">
        <v>1497</v>
      </c>
      <c r="E35" s="11" t="s">
        <v>280</v>
      </c>
      <c r="F35" s="11" t="s">
        <v>1559</v>
      </c>
      <c r="G35" s="37" t="n">
        <v>14808</v>
      </c>
      <c r="H35" s="37" t="n">
        <v>332644.28</v>
      </c>
    </row>
    <row r="36" customFormat="false" ht="15" hidden="false" customHeight="false" outlineLevel="0" collapsed="false">
      <c r="A36" s="11" t="s">
        <v>1560</v>
      </c>
      <c r="B36" s="38" t="n">
        <v>45761</v>
      </c>
      <c r="C36" s="11" t="s">
        <v>1496</v>
      </c>
      <c r="D36" s="11" t="s">
        <v>1497</v>
      </c>
      <c r="E36" s="11" t="s">
        <v>349</v>
      </c>
      <c r="F36" s="11" t="s">
        <v>1561</v>
      </c>
      <c r="G36" s="37" t="n">
        <v>7368</v>
      </c>
      <c r="H36" s="37" t="n">
        <v>340012.28</v>
      </c>
    </row>
    <row r="37" customFormat="false" ht="15" hidden="false" customHeight="false" outlineLevel="0" collapsed="false">
      <c r="A37" s="11" t="s">
        <v>1562</v>
      </c>
      <c r="B37" s="38" t="n">
        <v>45761</v>
      </c>
      <c r="C37" s="11" t="s">
        <v>1496</v>
      </c>
      <c r="D37" s="11" t="s">
        <v>1497</v>
      </c>
      <c r="E37" s="11" t="s">
        <v>287</v>
      </c>
      <c r="F37" s="11" t="s">
        <v>1563</v>
      </c>
      <c r="G37" s="37" t="n">
        <v>1800</v>
      </c>
      <c r="H37" s="37" t="n">
        <v>341812.28</v>
      </c>
    </row>
    <row r="38" customFormat="false" ht="15" hidden="false" customHeight="false" outlineLevel="0" collapsed="false">
      <c r="A38" s="11" t="s">
        <v>1564</v>
      </c>
      <c r="B38" s="38" t="n">
        <v>45761</v>
      </c>
      <c r="C38" s="11" t="s">
        <v>1496</v>
      </c>
      <c r="D38" s="11" t="s">
        <v>1497</v>
      </c>
      <c r="E38" s="11" t="s">
        <v>349</v>
      </c>
      <c r="F38" s="11" t="s">
        <v>1565</v>
      </c>
      <c r="G38" s="37" t="n">
        <v>18000</v>
      </c>
      <c r="H38" s="37" t="n">
        <v>359812.28</v>
      </c>
    </row>
    <row r="39" customFormat="false" ht="15" hidden="false" customHeight="false" outlineLevel="0" collapsed="false">
      <c r="A39" s="11" t="s">
        <v>1566</v>
      </c>
      <c r="B39" s="38" t="n">
        <v>45762</v>
      </c>
      <c r="C39" s="11" t="s">
        <v>1500</v>
      </c>
      <c r="D39" s="11" t="s">
        <v>317</v>
      </c>
      <c r="E39" s="11" t="s">
        <v>318</v>
      </c>
      <c r="F39" s="11"/>
      <c r="G39" s="37" t="n">
        <v>-82000</v>
      </c>
      <c r="H39" s="37" t="n">
        <v>277812.28</v>
      </c>
    </row>
    <row r="40" customFormat="false" ht="15" hidden="false" customHeight="false" outlineLevel="0" collapsed="false">
      <c r="A40" s="11" t="s">
        <v>1567</v>
      </c>
      <c r="B40" s="38" t="n">
        <v>45762</v>
      </c>
      <c r="C40" s="11" t="s">
        <v>1496</v>
      </c>
      <c r="D40" s="11" t="s">
        <v>1497</v>
      </c>
      <c r="E40" s="11" t="s">
        <v>349</v>
      </c>
      <c r="F40" s="11" t="s">
        <v>1568</v>
      </c>
      <c r="G40" s="37" t="n">
        <v>23652</v>
      </c>
      <c r="H40" s="37" t="n">
        <v>301464.28</v>
      </c>
    </row>
    <row r="41" customFormat="false" ht="15" hidden="false" customHeight="false" outlineLevel="0" collapsed="false">
      <c r="A41" s="11" t="s">
        <v>1569</v>
      </c>
      <c r="B41" s="38" t="n">
        <v>45762</v>
      </c>
      <c r="C41" s="11" t="s">
        <v>1496</v>
      </c>
      <c r="D41" s="11" t="s">
        <v>1497</v>
      </c>
      <c r="E41" s="11" t="s">
        <v>335</v>
      </c>
      <c r="F41" s="11" t="s">
        <v>1570</v>
      </c>
      <c r="G41" s="37" t="n">
        <v>7464</v>
      </c>
      <c r="H41" s="37" t="n">
        <v>308928.28</v>
      </c>
    </row>
    <row r="42" customFormat="false" ht="15" hidden="false" customHeight="false" outlineLevel="0" collapsed="false">
      <c r="A42" s="11" t="s">
        <v>1571</v>
      </c>
      <c r="B42" s="38" t="n">
        <v>45763</v>
      </c>
      <c r="C42" s="11" t="s">
        <v>1500</v>
      </c>
      <c r="D42" s="11" t="s">
        <v>291</v>
      </c>
      <c r="E42" s="11" t="s">
        <v>292</v>
      </c>
      <c r="F42" s="11"/>
      <c r="G42" s="37" t="n">
        <v>-5491.49</v>
      </c>
      <c r="H42" s="37" t="n">
        <v>303436.79</v>
      </c>
    </row>
    <row r="43" customFormat="false" ht="15" hidden="false" customHeight="false" outlineLevel="0" collapsed="false">
      <c r="A43" s="11" t="s">
        <v>1572</v>
      </c>
      <c r="B43" s="38" t="n">
        <v>45764</v>
      </c>
      <c r="C43" s="11" t="s">
        <v>1500</v>
      </c>
      <c r="D43" s="11" t="s">
        <v>307</v>
      </c>
      <c r="E43" s="11" t="s">
        <v>308</v>
      </c>
      <c r="F43" s="11" t="s">
        <v>1573</v>
      </c>
      <c r="G43" s="37" t="n">
        <v>-31467.43</v>
      </c>
      <c r="H43" s="37" t="n">
        <v>271969.36</v>
      </c>
    </row>
    <row r="44" customFormat="false" ht="15" hidden="false" customHeight="false" outlineLevel="0" collapsed="false">
      <c r="A44" s="11" t="s">
        <v>1574</v>
      </c>
      <c r="B44" s="38" t="n">
        <v>45764</v>
      </c>
      <c r="C44" s="11" t="s">
        <v>1496</v>
      </c>
      <c r="D44" s="11" t="s">
        <v>1497</v>
      </c>
      <c r="E44" s="11" t="s">
        <v>280</v>
      </c>
      <c r="F44" s="11" t="s">
        <v>1575</v>
      </c>
      <c r="G44" s="37" t="n">
        <v>9096</v>
      </c>
      <c r="H44" s="37" t="n">
        <v>281065.36</v>
      </c>
    </row>
    <row r="45" customFormat="false" ht="15" hidden="false" customHeight="false" outlineLevel="0" collapsed="false">
      <c r="A45" s="11" t="s">
        <v>1576</v>
      </c>
      <c r="B45" s="38" t="n">
        <v>45764</v>
      </c>
      <c r="C45" s="11" t="s">
        <v>1496</v>
      </c>
      <c r="D45" s="11" t="s">
        <v>1497</v>
      </c>
      <c r="E45" s="11" t="s">
        <v>331</v>
      </c>
      <c r="F45" s="11" t="s">
        <v>1577</v>
      </c>
      <c r="G45" s="37" t="n">
        <v>4440</v>
      </c>
      <c r="H45" s="37" t="n">
        <v>285505.36</v>
      </c>
    </row>
    <row r="46" customFormat="false" ht="15" hidden="false" customHeight="false" outlineLevel="0" collapsed="false">
      <c r="A46" s="11" t="s">
        <v>1578</v>
      </c>
      <c r="B46" s="38" t="n">
        <v>45764</v>
      </c>
      <c r="C46" s="11" t="s">
        <v>1500</v>
      </c>
      <c r="D46" s="11" t="s">
        <v>307</v>
      </c>
      <c r="E46" s="11" t="s">
        <v>313</v>
      </c>
      <c r="F46" s="11" t="s">
        <v>1579</v>
      </c>
      <c r="G46" s="37" t="n">
        <v>-5067.12</v>
      </c>
      <c r="H46" s="37" t="n">
        <v>280438.24</v>
      </c>
    </row>
    <row r="47" customFormat="false" ht="15" hidden="false" customHeight="false" outlineLevel="0" collapsed="false">
      <c r="A47" s="11" t="s">
        <v>1580</v>
      </c>
      <c r="B47" s="38" t="n">
        <v>45764</v>
      </c>
      <c r="C47" s="11" t="s">
        <v>1496</v>
      </c>
      <c r="D47" s="11" t="s">
        <v>1497</v>
      </c>
      <c r="E47" s="11" t="s">
        <v>280</v>
      </c>
      <c r="F47" s="11" t="s">
        <v>1581</v>
      </c>
      <c r="G47" s="37" t="n">
        <v>5904</v>
      </c>
      <c r="H47" s="37" t="n">
        <v>286342.24</v>
      </c>
    </row>
    <row r="48" customFormat="false" ht="15" hidden="false" customHeight="false" outlineLevel="0" collapsed="false">
      <c r="A48" s="11" t="s">
        <v>1582</v>
      </c>
      <c r="B48" s="38" t="n">
        <v>45765</v>
      </c>
      <c r="C48" s="11" t="s">
        <v>1496</v>
      </c>
      <c r="D48" s="11" t="s">
        <v>1497</v>
      </c>
      <c r="E48" s="11" t="s">
        <v>331</v>
      </c>
      <c r="F48" s="11" t="s">
        <v>1583</v>
      </c>
      <c r="G48" s="37" t="n">
        <v>7776</v>
      </c>
      <c r="H48" s="37" t="n">
        <v>294118.24</v>
      </c>
    </row>
    <row r="49" customFormat="false" ht="15" hidden="false" customHeight="false" outlineLevel="0" collapsed="false">
      <c r="A49" s="11" t="s">
        <v>1584</v>
      </c>
      <c r="B49" s="38" t="n">
        <v>45769</v>
      </c>
      <c r="C49" s="11" t="s">
        <v>1496</v>
      </c>
      <c r="D49" s="11" t="s">
        <v>1497</v>
      </c>
      <c r="E49" s="11" t="s">
        <v>287</v>
      </c>
      <c r="F49" s="11" t="s">
        <v>1585</v>
      </c>
      <c r="G49" s="37" t="n">
        <v>2808</v>
      </c>
      <c r="H49" s="37" t="n">
        <v>296926.24</v>
      </c>
    </row>
    <row r="50" customFormat="false" ht="15" hidden="false" customHeight="false" outlineLevel="0" collapsed="false">
      <c r="A50" s="11" t="s">
        <v>1586</v>
      </c>
      <c r="B50" s="38" t="n">
        <v>45769</v>
      </c>
      <c r="C50" s="11" t="s">
        <v>1496</v>
      </c>
      <c r="D50" s="11" t="s">
        <v>1497</v>
      </c>
      <c r="E50" s="11" t="s">
        <v>280</v>
      </c>
      <c r="F50" s="11" t="s">
        <v>1587</v>
      </c>
      <c r="G50" s="37" t="n">
        <v>10092</v>
      </c>
      <c r="H50" s="37" t="n">
        <v>307018.24</v>
      </c>
    </row>
    <row r="51" customFormat="false" ht="15" hidden="false" customHeight="false" outlineLevel="0" collapsed="false">
      <c r="A51" s="11" t="s">
        <v>1588</v>
      </c>
      <c r="B51" s="38" t="n">
        <v>45769</v>
      </c>
      <c r="C51" s="11" t="s">
        <v>1496</v>
      </c>
      <c r="D51" s="11" t="s">
        <v>1497</v>
      </c>
      <c r="E51" s="11" t="s">
        <v>331</v>
      </c>
      <c r="F51" s="11" t="s">
        <v>1589</v>
      </c>
      <c r="G51" s="37" t="n">
        <v>12696</v>
      </c>
      <c r="H51" s="37" t="n">
        <v>319714.24</v>
      </c>
    </row>
    <row r="52" customFormat="false" ht="15" hidden="false" customHeight="false" outlineLevel="0" collapsed="false">
      <c r="A52" s="11" t="s">
        <v>1590</v>
      </c>
      <c r="B52" s="38" t="n">
        <v>45769</v>
      </c>
      <c r="C52" s="11" t="s">
        <v>1496</v>
      </c>
      <c r="D52" s="11" t="s">
        <v>1497</v>
      </c>
      <c r="E52" s="11" t="s">
        <v>327</v>
      </c>
      <c r="F52" s="11" t="s">
        <v>1591</v>
      </c>
      <c r="G52" s="37" t="n">
        <v>6996</v>
      </c>
      <c r="H52" s="37" t="n">
        <v>326710.24</v>
      </c>
    </row>
    <row r="53" customFormat="false" ht="15" hidden="false" customHeight="false" outlineLevel="0" collapsed="false">
      <c r="A53" s="11" t="s">
        <v>1592</v>
      </c>
      <c r="B53" s="38" t="n">
        <v>45769</v>
      </c>
      <c r="C53" s="11" t="s">
        <v>1496</v>
      </c>
      <c r="D53" s="11" t="s">
        <v>1497</v>
      </c>
      <c r="E53" s="11" t="s">
        <v>280</v>
      </c>
      <c r="F53" s="11" t="s">
        <v>1593</v>
      </c>
      <c r="G53" s="37" t="n">
        <v>5004</v>
      </c>
      <c r="H53" s="37" t="n">
        <v>331714.24</v>
      </c>
    </row>
    <row r="54" customFormat="false" ht="15" hidden="false" customHeight="false" outlineLevel="0" collapsed="false">
      <c r="A54" s="11" t="s">
        <v>1594</v>
      </c>
      <c r="B54" s="38" t="n">
        <v>45769</v>
      </c>
      <c r="C54" s="11" t="s">
        <v>1496</v>
      </c>
      <c r="D54" s="11" t="s">
        <v>1497</v>
      </c>
      <c r="E54" s="11" t="s">
        <v>298</v>
      </c>
      <c r="F54" s="11" t="s">
        <v>1595</v>
      </c>
      <c r="G54" s="37" t="n">
        <v>15710</v>
      </c>
      <c r="H54" s="37" t="n">
        <v>347424.24</v>
      </c>
    </row>
    <row r="55" customFormat="false" ht="15" hidden="false" customHeight="false" outlineLevel="0" collapsed="false">
      <c r="A55" s="11" t="s">
        <v>1596</v>
      </c>
      <c r="B55" s="38" t="n">
        <v>45769</v>
      </c>
      <c r="C55" s="11" t="s">
        <v>1496</v>
      </c>
      <c r="D55" s="11" t="s">
        <v>1497</v>
      </c>
      <c r="E55" s="11" t="s">
        <v>349</v>
      </c>
      <c r="F55" s="11" t="s">
        <v>1597</v>
      </c>
      <c r="G55" s="37" t="n">
        <v>6192</v>
      </c>
      <c r="H55" s="37" t="n">
        <v>353616.24</v>
      </c>
    </row>
    <row r="56" customFormat="false" ht="15" hidden="false" customHeight="false" outlineLevel="0" collapsed="false">
      <c r="A56" s="11" t="s">
        <v>1598</v>
      </c>
      <c r="B56" s="38" t="n">
        <v>45769</v>
      </c>
      <c r="C56" s="11" t="s">
        <v>1496</v>
      </c>
      <c r="D56" s="11" t="s">
        <v>1497</v>
      </c>
      <c r="E56" s="11" t="s">
        <v>298</v>
      </c>
      <c r="F56" s="11" t="s">
        <v>1599</v>
      </c>
      <c r="G56" s="37" t="n">
        <v>8540</v>
      </c>
      <c r="H56" s="37" t="n">
        <v>362156.24</v>
      </c>
    </row>
    <row r="57" customFormat="false" ht="15" hidden="false" customHeight="false" outlineLevel="0" collapsed="false">
      <c r="A57" s="11" t="s">
        <v>1600</v>
      </c>
      <c r="B57" s="38" t="n">
        <v>45770</v>
      </c>
      <c r="C57" s="11" t="s">
        <v>1496</v>
      </c>
      <c r="D57" s="11" t="s">
        <v>1497</v>
      </c>
      <c r="E57" s="11" t="s">
        <v>327</v>
      </c>
      <c r="F57" s="11" t="s">
        <v>1601</v>
      </c>
      <c r="G57" s="37" t="n">
        <v>24492</v>
      </c>
      <c r="H57" s="37" t="n">
        <v>386648.24</v>
      </c>
    </row>
    <row r="58" customFormat="false" ht="15" hidden="false" customHeight="false" outlineLevel="0" collapsed="false">
      <c r="A58" s="11" t="s">
        <v>1602</v>
      </c>
      <c r="B58" s="38" t="n">
        <v>45770</v>
      </c>
      <c r="C58" s="11" t="s">
        <v>1500</v>
      </c>
      <c r="D58" s="11" t="s">
        <v>291</v>
      </c>
      <c r="E58" s="11" t="s">
        <v>292</v>
      </c>
      <c r="F58" s="11"/>
      <c r="G58" s="37" t="n">
        <v>-4193.76</v>
      </c>
      <c r="H58" s="37" t="n">
        <v>382454.48</v>
      </c>
    </row>
    <row r="59" customFormat="false" ht="15" hidden="false" customHeight="false" outlineLevel="0" collapsed="false">
      <c r="A59" s="11" t="s">
        <v>1603</v>
      </c>
      <c r="B59" s="38" t="n">
        <v>45770</v>
      </c>
      <c r="C59" s="11" t="s">
        <v>1496</v>
      </c>
      <c r="D59" s="11" t="s">
        <v>1497</v>
      </c>
      <c r="E59" s="11" t="s">
        <v>349</v>
      </c>
      <c r="F59" s="11" t="s">
        <v>1604</v>
      </c>
      <c r="G59" s="37" t="n">
        <v>15216</v>
      </c>
      <c r="H59" s="37" t="n">
        <v>397670.48</v>
      </c>
    </row>
    <row r="60" customFormat="false" ht="15" hidden="false" customHeight="false" outlineLevel="0" collapsed="false">
      <c r="A60" s="11" t="s">
        <v>1605</v>
      </c>
      <c r="B60" s="38" t="n">
        <v>45771</v>
      </c>
      <c r="C60" s="11" t="s">
        <v>1500</v>
      </c>
      <c r="D60" s="11" t="s">
        <v>307</v>
      </c>
      <c r="E60" s="11" t="s">
        <v>414</v>
      </c>
      <c r="F60" s="11" t="s">
        <v>1606</v>
      </c>
      <c r="G60" s="37" t="n">
        <v>-18500.05</v>
      </c>
      <c r="H60" s="37" t="n">
        <v>379170.43</v>
      </c>
    </row>
    <row r="61" customFormat="false" ht="15" hidden="false" customHeight="false" outlineLevel="0" collapsed="false">
      <c r="A61" s="11" t="s">
        <v>1607</v>
      </c>
      <c r="B61" s="38" t="n">
        <v>45771</v>
      </c>
      <c r="C61" s="11" t="s">
        <v>1500</v>
      </c>
      <c r="D61" s="11" t="s">
        <v>383</v>
      </c>
      <c r="E61" s="11" t="s">
        <v>384</v>
      </c>
      <c r="F61" s="11" t="s">
        <v>1608</v>
      </c>
      <c r="G61" s="37" t="n">
        <v>-56884.12</v>
      </c>
      <c r="H61" s="37" t="n">
        <v>322286.31</v>
      </c>
    </row>
    <row r="62" customFormat="false" ht="15" hidden="false" customHeight="false" outlineLevel="0" collapsed="false">
      <c r="A62" s="11" t="s">
        <v>1609</v>
      </c>
      <c r="B62" s="38" t="n">
        <v>45771</v>
      </c>
      <c r="C62" s="11" t="s">
        <v>1496</v>
      </c>
      <c r="D62" s="11" t="s">
        <v>1497</v>
      </c>
      <c r="E62" s="11" t="s">
        <v>323</v>
      </c>
      <c r="F62" s="11" t="s">
        <v>1610</v>
      </c>
      <c r="G62" s="37" t="n">
        <v>8784</v>
      </c>
      <c r="H62" s="37" t="n">
        <v>331070.31</v>
      </c>
    </row>
    <row r="63" customFormat="false" ht="15" hidden="false" customHeight="false" outlineLevel="0" collapsed="false">
      <c r="A63" s="11" t="s">
        <v>1611</v>
      </c>
      <c r="B63" s="38" t="n">
        <v>45772</v>
      </c>
      <c r="C63" s="11" t="s">
        <v>1496</v>
      </c>
      <c r="D63" s="11" t="s">
        <v>1497</v>
      </c>
      <c r="E63" s="11" t="s">
        <v>335</v>
      </c>
      <c r="F63" s="11" t="s">
        <v>1612</v>
      </c>
      <c r="G63" s="37" t="n">
        <v>2688</v>
      </c>
      <c r="H63" s="37" t="n">
        <v>333758.31</v>
      </c>
    </row>
    <row r="64" customFormat="false" ht="15" hidden="false" customHeight="false" outlineLevel="0" collapsed="false">
      <c r="A64" s="11" t="s">
        <v>1613</v>
      </c>
      <c r="B64" s="38" t="n">
        <v>45772</v>
      </c>
      <c r="C64" s="11" t="s">
        <v>1496</v>
      </c>
      <c r="D64" s="11" t="s">
        <v>1497</v>
      </c>
      <c r="E64" s="11" t="s">
        <v>331</v>
      </c>
      <c r="F64" s="11" t="s">
        <v>1614</v>
      </c>
      <c r="G64" s="37" t="n">
        <v>18000</v>
      </c>
      <c r="H64" s="37" t="n">
        <v>351758.31</v>
      </c>
    </row>
    <row r="65" customFormat="false" ht="15" hidden="false" customHeight="false" outlineLevel="0" collapsed="false">
      <c r="A65" s="11" t="s">
        <v>1615</v>
      </c>
      <c r="B65" s="38" t="n">
        <v>45772</v>
      </c>
      <c r="C65" s="11" t="s">
        <v>1496</v>
      </c>
      <c r="D65" s="11" t="s">
        <v>1497</v>
      </c>
      <c r="E65" s="11" t="s">
        <v>287</v>
      </c>
      <c r="F65" s="11" t="s">
        <v>1616</v>
      </c>
      <c r="G65" s="37" t="n">
        <v>5856</v>
      </c>
      <c r="H65" s="37" t="n">
        <v>357614.31</v>
      </c>
    </row>
    <row r="66" customFormat="false" ht="15" hidden="false" customHeight="false" outlineLevel="0" collapsed="false">
      <c r="A66" s="11" t="s">
        <v>1617</v>
      </c>
      <c r="B66" s="38" t="n">
        <v>45775</v>
      </c>
      <c r="C66" s="11" t="s">
        <v>1496</v>
      </c>
      <c r="D66" s="11" t="s">
        <v>1497</v>
      </c>
      <c r="E66" s="11" t="s">
        <v>280</v>
      </c>
      <c r="F66" s="11" t="s">
        <v>1618</v>
      </c>
      <c r="G66" s="37" t="n">
        <v>9684</v>
      </c>
      <c r="H66" s="37" t="n">
        <v>367298.31</v>
      </c>
    </row>
    <row r="67" customFormat="false" ht="15" hidden="false" customHeight="false" outlineLevel="0" collapsed="false">
      <c r="A67" s="11" t="s">
        <v>1619</v>
      </c>
      <c r="B67" s="38" t="n">
        <v>45775</v>
      </c>
      <c r="C67" s="11" t="s">
        <v>1496</v>
      </c>
      <c r="D67" s="11" t="s">
        <v>1497</v>
      </c>
      <c r="E67" s="11" t="s">
        <v>280</v>
      </c>
      <c r="F67" s="11" t="s">
        <v>1620</v>
      </c>
      <c r="G67" s="37" t="n">
        <v>6120</v>
      </c>
      <c r="H67" s="37" t="n">
        <v>373418.31</v>
      </c>
    </row>
    <row r="68" customFormat="false" ht="15" hidden="false" customHeight="false" outlineLevel="0" collapsed="false">
      <c r="A68" s="11" t="s">
        <v>1621</v>
      </c>
      <c r="B68" s="38" t="n">
        <v>45775</v>
      </c>
      <c r="C68" s="11" t="s">
        <v>1496</v>
      </c>
      <c r="D68" s="11" t="s">
        <v>1497</v>
      </c>
      <c r="E68" s="11" t="s">
        <v>335</v>
      </c>
      <c r="F68" s="11" t="s">
        <v>1622</v>
      </c>
      <c r="G68" s="37" t="n">
        <v>3864</v>
      </c>
      <c r="H68" s="37" t="n">
        <v>377282.31</v>
      </c>
    </row>
    <row r="69" customFormat="false" ht="15" hidden="false" customHeight="false" outlineLevel="0" collapsed="false">
      <c r="A69" s="11" t="s">
        <v>1623</v>
      </c>
      <c r="B69" s="38" t="n">
        <v>45775</v>
      </c>
      <c r="C69" s="11" t="s">
        <v>1496</v>
      </c>
      <c r="D69" s="11" t="s">
        <v>1497</v>
      </c>
      <c r="E69" s="11" t="s">
        <v>335</v>
      </c>
      <c r="F69" s="11" t="s">
        <v>1624</v>
      </c>
      <c r="G69" s="37" t="n">
        <v>9036</v>
      </c>
      <c r="H69" s="37" t="n">
        <v>386318.31</v>
      </c>
    </row>
    <row r="70" customFormat="false" ht="15" hidden="false" customHeight="false" outlineLevel="0" collapsed="false">
      <c r="A70" s="11" t="s">
        <v>1625</v>
      </c>
      <c r="B70" s="38" t="n">
        <v>45775</v>
      </c>
      <c r="C70" s="11" t="s">
        <v>1496</v>
      </c>
      <c r="D70" s="11" t="s">
        <v>1497</v>
      </c>
      <c r="E70" s="11" t="s">
        <v>323</v>
      </c>
      <c r="F70" s="11" t="s">
        <v>1626</v>
      </c>
      <c r="G70" s="37" t="n">
        <v>7128</v>
      </c>
      <c r="H70" s="37" t="n">
        <v>393446.31</v>
      </c>
    </row>
    <row r="71" customFormat="false" ht="15" hidden="false" customHeight="false" outlineLevel="0" collapsed="false">
      <c r="A71" s="11" t="s">
        <v>1627</v>
      </c>
      <c r="B71" s="38" t="n">
        <v>45775</v>
      </c>
      <c r="C71" s="11" t="s">
        <v>1496</v>
      </c>
      <c r="D71" s="11" t="s">
        <v>1497</v>
      </c>
      <c r="E71" s="11" t="s">
        <v>323</v>
      </c>
      <c r="F71" s="11" t="s">
        <v>1628</v>
      </c>
      <c r="G71" s="37" t="n">
        <v>5016</v>
      </c>
      <c r="H71" s="37" t="n">
        <v>398462.31</v>
      </c>
    </row>
    <row r="72" customFormat="false" ht="15" hidden="false" customHeight="false" outlineLevel="0" collapsed="false">
      <c r="A72" s="11" t="s">
        <v>1629</v>
      </c>
      <c r="B72" s="38" t="n">
        <v>45775</v>
      </c>
      <c r="C72" s="11" t="s">
        <v>1496</v>
      </c>
      <c r="D72" s="11" t="s">
        <v>1497</v>
      </c>
      <c r="E72" s="11" t="s">
        <v>335</v>
      </c>
      <c r="F72" s="11" t="s">
        <v>1630</v>
      </c>
      <c r="G72" s="37" t="n">
        <v>3408</v>
      </c>
      <c r="H72" s="37" t="n">
        <v>401870.31</v>
      </c>
    </row>
    <row r="73" customFormat="false" ht="15" hidden="false" customHeight="false" outlineLevel="0" collapsed="false">
      <c r="A73" s="11" t="s">
        <v>1631</v>
      </c>
      <c r="B73" s="38" t="n">
        <v>45776</v>
      </c>
      <c r="C73" s="11" t="s">
        <v>1496</v>
      </c>
      <c r="D73" s="11" t="s">
        <v>1497</v>
      </c>
      <c r="E73" s="11" t="s">
        <v>399</v>
      </c>
      <c r="F73" s="11" t="s">
        <v>1632</v>
      </c>
      <c r="G73" s="37" t="n">
        <v>19860</v>
      </c>
      <c r="H73" s="37" t="n">
        <v>421730.31</v>
      </c>
    </row>
    <row r="74" customFormat="false" ht="15" hidden="false" customHeight="false" outlineLevel="0" collapsed="false">
      <c r="A74" s="11" t="s">
        <v>1633</v>
      </c>
      <c r="B74" s="38" t="n">
        <v>45777</v>
      </c>
      <c r="C74" s="11" t="s">
        <v>1500</v>
      </c>
      <c r="D74" s="11" t="s">
        <v>1634</v>
      </c>
      <c r="E74" s="11" t="s">
        <v>425</v>
      </c>
      <c r="F74" s="11"/>
      <c r="G74" s="37" t="n">
        <v>-101500</v>
      </c>
      <c r="H74" s="37" t="n">
        <v>320230.31</v>
      </c>
    </row>
    <row r="75" customFormat="false" ht="15" hidden="false" customHeight="false" outlineLevel="0" collapsed="false">
      <c r="A75" s="11" t="s">
        <v>1635</v>
      </c>
      <c r="B75" s="38" t="n">
        <v>45777</v>
      </c>
      <c r="C75" s="11" t="s">
        <v>1500</v>
      </c>
      <c r="D75" s="11" t="s">
        <v>291</v>
      </c>
      <c r="E75" s="11" t="s">
        <v>292</v>
      </c>
      <c r="F75" s="11"/>
      <c r="G75" s="37" t="n">
        <v>-4506.59</v>
      </c>
      <c r="H75" s="37" t="n">
        <v>315723.72</v>
      </c>
    </row>
    <row r="76" customFormat="false" ht="15" hidden="false" customHeight="false" outlineLevel="0" collapsed="false">
      <c r="A76" s="11" t="s">
        <v>1636</v>
      </c>
      <c r="B76" s="38" t="n">
        <v>45777</v>
      </c>
      <c r="C76" s="11" t="s">
        <v>1500</v>
      </c>
      <c r="D76" s="11" t="s">
        <v>307</v>
      </c>
      <c r="E76" s="11" t="s">
        <v>313</v>
      </c>
      <c r="F76" s="11" t="s">
        <v>1637</v>
      </c>
      <c r="G76" s="37" t="n">
        <v>-5012.76</v>
      </c>
      <c r="H76" s="37" t="n">
        <v>310710.96</v>
      </c>
    </row>
    <row r="77" customFormat="false" ht="15" hidden="false" customHeight="false" outlineLevel="0" collapsed="false">
      <c r="A77" s="11" t="s">
        <v>1638</v>
      </c>
      <c r="B77" s="38" t="n">
        <v>45777</v>
      </c>
      <c r="C77" s="11" t="s">
        <v>1500</v>
      </c>
      <c r="D77" s="11" t="s">
        <v>307</v>
      </c>
      <c r="E77" s="11" t="s">
        <v>308</v>
      </c>
      <c r="F77" s="11" t="s">
        <v>1639</v>
      </c>
      <c r="G77" s="37" t="n">
        <v>-32832.16</v>
      </c>
      <c r="H77" s="37" t="n">
        <v>277878.8</v>
      </c>
    </row>
    <row r="78" customFormat="false" ht="15" hidden="false" customHeight="false" outlineLevel="0" collapsed="false">
      <c r="A78" s="11" t="s">
        <v>1640</v>
      </c>
      <c r="B78" s="38" t="n">
        <v>45777</v>
      </c>
      <c r="C78" s="11" t="s">
        <v>1500</v>
      </c>
      <c r="D78" s="11" t="s">
        <v>307</v>
      </c>
      <c r="E78" s="11" t="s">
        <v>420</v>
      </c>
      <c r="F78" s="11" t="s">
        <v>1641</v>
      </c>
      <c r="G78" s="37" t="n">
        <v>-104352.71</v>
      </c>
      <c r="H78" s="37" t="n">
        <v>173526.09</v>
      </c>
    </row>
    <row r="79" customFormat="false" ht="15" hidden="false" customHeight="false" outlineLevel="0" collapsed="false">
      <c r="A79" s="11" t="s">
        <v>1642</v>
      </c>
      <c r="B79" s="38" t="n">
        <v>45779</v>
      </c>
      <c r="C79" s="11" t="s">
        <v>1496</v>
      </c>
      <c r="D79" s="11" t="s">
        <v>1497</v>
      </c>
      <c r="E79" s="11" t="s">
        <v>399</v>
      </c>
      <c r="F79" s="11" t="s">
        <v>1643</v>
      </c>
      <c r="G79" s="37" t="n">
        <v>17544</v>
      </c>
      <c r="H79" s="37" t="n">
        <v>191070.09</v>
      </c>
    </row>
    <row r="80" customFormat="false" ht="15" hidden="false" customHeight="false" outlineLevel="0" collapsed="false">
      <c r="A80" s="11" t="s">
        <v>1644</v>
      </c>
      <c r="B80" s="38" t="n">
        <v>45779</v>
      </c>
      <c r="C80" s="11" t="s">
        <v>1496</v>
      </c>
      <c r="D80" s="11" t="s">
        <v>1497</v>
      </c>
      <c r="E80" s="11" t="s">
        <v>392</v>
      </c>
      <c r="F80" s="11" t="s">
        <v>1645</v>
      </c>
      <c r="G80" s="37" t="n">
        <v>19260</v>
      </c>
      <c r="H80" s="37" t="n">
        <v>210330.09</v>
      </c>
    </row>
    <row r="81" customFormat="false" ht="15" hidden="false" customHeight="false" outlineLevel="0" collapsed="false">
      <c r="A81" s="11" t="s">
        <v>1646</v>
      </c>
      <c r="B81" s="38" t="n">
        <v>45779</v>
      </c>
      <c r="C81" s="11" t="s">
        <v>1496</v>
      </c>
      <c r="D81" s="11" t="s">
        <v>1497</v>
      </c>
      <c r="E81" s="11" t="s">
        <v>335</v>
      </c>
      <c r="F81" s="11" t="s">
        <v>1647</v>
      </c>
      <c r="G81" s="37" t="n">
        <v>10212</v>
      </c>
      <c r="H81" s="37" t="n">
        <v>220542.09</v>
      </c>
    </row>
    <row r="82" customFormat="false" ht="15" hidden="false" customHeight="false" outlineLevel="0" collapsed="false">
      <c r="A82" s="11" t="s">
        <v>1648</v>
      </c>
      <c r="B82" s="38" t="n">
        <v>45779</v>
      </c>
      <c r="C82" s="11" t="s">
        <v>1496</v>
      </c>
      <c r="D82" s="11" t="s">
        <v>1497</v>
      </c>
      <c r="E82" s="11" t="s">
        <v>280</v>
      </c>
      <c r="F82" s="11" t="s">
        <v>1649</v>
      </c>
      <c r="G82" s="37" t="n">
        <v>5220</v>
      </c>
      <c r="H82" s="37" t="n">
        <v>225762.09</v>
      </c>
    </row>
    <row r="83" customFormat="false" ht="15" hidden="false" customHeight="false" outlineLevel="0" collapsed="false">
      <c r="A83" s="11" t="s">
        <v>1650</v>
      </c>
      <c r="B83" s="38" t="n">
        <v>45779</v>
      </c>
      <c r="C83" s="11" t="s">
        <v>1496</v>
      </c>
      <c r="D83" s="11" t="s">
        <v>1497</v>
      </c>
      <c r="E83" s="11" t="s">
        <v>331</v>
      </c>
      <c r="F83" s="11" t="s">
        <v>1651</v>
      </c>
      <c r="G83" s="37" t="n">
        <v>12852</v>
      </c>
      <c r="H83" s="37" t="n">
        <v>238614.09</v>
      </c>
    </row>
    <row r="84" customFormat="false" ht="15" hidden="false" customHeight="false" outlineLevel="0" collapsed="false">
      <c r="A84" s="11" t="s">
        <v>1652</v>
      </c>
      <c r="B84" s="38" t="n">
        <v>45782</v>
      </c>
      <c r="C84" s="11" t="s">
        <v>1496</v>
      </c>
      <c r="D84" s="11" t="s">
        <v>1497</v>
      </c>
      <c r="E84" s="11" t="s">
        <v>280</v>
      </c>
      <c r="F84" s="11" t="s">
        <v>1653</v>
      </c>
      <c r="G84" s="37" t="n">
        <v>18036</v>
      </c>
      <c r="H84" s="37" t="n">
        <v>256650.09</v>
      </c>
    </row>
    <row r="85" customFormat="false" ht="15" hidden="false" customHeight="false" outlineLevel="0" collapsed="false">
      <c r="A85" s="11" t="s">
        <v>1654</v>
      </c>
      <c r="B85" s="38" t="n">
        <v>45782</v>
      </c>
      <c r="C85" s="11" t="s">
        <v>1500</v>
      </c>
      <c r="D85" s="11" t="s">
        <v>448</v>
      </c>
      <c r="E85" s="11" t="s">
        <v>449</v>
      </c>
      <c r="F85" s="11"/>
      <c r="G85" s="37" t="n">
        <v>-2880</v>
      </c>
      <c r="H85" s="37" t="n">
        <v>253770.09</v>
      </c>
    </row>
    <row r="86" customFormat="false" ht="15" hidden="false" customHeight="false" outlineLevel="0" collapsed="false">
      <c r="A86" s="11" t="s">
        <v>1655</v>
      </c>
      <c r="B86" s="38" t="n">
        <v>45782</v>
      </c>
      <c r="C86" s="11" t="s">
        <v>1496</v>
      </c>
      <c r="D86" s="11" t="s">
        <v>1497</v>
      </c>
      <c r="E86" s="11" t="s">
        <v>349</v>
      </c>
      <c r="F86" s="11" t="s">
        <v>1656</v>
      </c>
      <c r="G86" s="37" t="n">
        <v>10788</v>
      </c>
      <c r="H86" s="37" t="n">
        <v>264558.09</v>
      </c>
    </row>
    <row r="87" customFormat="false" ht="15" hidden="false" customHeight="false" outlineLevel="0" collapsed="false">
      <c r="A87" s="11" t="s">
        <v>1657</v>
      </c>
      <c r="B87" s="38" t="n">
        <v>45782</v>
      </c>
      <c r="C87" s="11" t="s">
        <v>1496</v>
      </c>
      <c r="D87" s="11" t="s">
        <v>1497</v>
      </c>
      <c r="E87" s="11" t="s">
        <v>287</v>
      </c>
      <c r="F87" s="11" t="s">
        <v>1658</v>
      </c>
      <c r="G87" s="37" t="n">
        <v>4344</v>
      </c>
      <c r="H87" s="37" t="n">
        <v>268902.09</v>
      </c>
    </row>
    <row r="88" customFormat="false" ht="15" hidden="false" customHeight="false" outlineLevel="0" collapsed="false">
      <c r="A88" s="11" t="s">
        <v>1659</v>
      </c>
      <c r="B88" s="38" t="n">
        <v>45782</v>
      </c>
      <c r="C88" s="11" t="s">
        <v>1500</v>
      </c>
      <c r="D88" s="11" t="s">
        <v>469</v>
      </c>
      <c r="E88" s="11" t="s">
        <v>470</v>
      </c>
      <c r="F88" s="11"/>
      <c r="G88" s="37" t="n">
        <v>-8900</v>
      </c>
      <c r="H88" s="37" t="n">
        <v>260002.09</v>
      </c>
    </row>
    <row r="89" customFormat="false" ht="15" hidden="false" customHeight="false" outlineLevel="0" collapsed="false">
      <c r="A89" s="11" t="s">
        <v>1660</v>
      </c>
      <c r="B89" s="38" t="n">
        <v>45782</v>
      </c>
      <c r="C89" s="11" t="s">
        <v>1496</v>
      </c>
      <c r="D89" s="11" t="s">
        <v>1497</v>
      </c>
      <c r="E89" s="11" t="s">
        <v>287</v>
      </c>
      <c r="F89" s="11" t="s">
        <v>1661</v>
      </c>
      <c r="G89" s="37" t="n">
        <v>2604</v>
      </c>
      <c r="H89" s="37" t="n">
        <v>262606.09</v>
      </c>
    </row>
    <row r="90" customFormat="false" ht="15" hidden="false" customHeight="false" outlineLevel="0" collapsed="false">
      <c r="A90" s="11" t="s">
        <v>1662</v>
      </c>
      <c r="B90" s="38" t="n">
        <v>45782</v>
      </c>
      <c r="C90" s="11" t="s">
        <v>1496</v>
      </c>
      <c r="D90" s="11" t="s">
        <v>1497</v>
      </c>
      <c r="E90" s="11" t="s">
        <v>287</v>
      </c>
      <c r="F90" s="11" t="s">
        <v>1663</v>
      </c>
      <c r="G90" s="37" t="n">
        <v>4740</v>
      </c>
      <c r="H90" s="37" t="n">
        <v>267346.09</v>
      </c>
    </row>
    <row r="91" customFormat="false" ht="15" hidden="false" customHeight="false" outlineLevel="0" collapsed="false">
      <c r="A91" s="11" t="s">
        <v>1664</v>
      </c>
      <c r="B91" s="38" t="n">
        <v>45783</v>
      </c>
      <c r="C91" s="11" t="s">
        <v>1496</v>
      </c>
      <c r="D91" s="11" t="s">
        <v>1497</v>
      </c>
      <c r="E91" s="11" t="s">
        <v>287</v>
      </c>
      <c r="F91" s="11" t="s">
        <v>1665</v>
      </c>
      <c r="G91" s="37" t="n">
        <v>4164</v>
      </c>
      <c r="H91" s="37" t="n">
        <v>271510.09</v>
      </c>
    </row>
    <row r="92" customFormat="false" ht="15" hidden="false" customHeight="false" outlineLevel="0" collapsed="false">
      <c r="A92" s="11" t="s">
        <v>1666</v>
      </c>
      <c r="B92" s="38" t="n">
        <v>45784</v>
      </c>
      <c r="C92" s="11" t="s">
        <v>1500</v>
      </c>
      <c r="D92" s="11" t="s">
        <v>291</v>
      </c>
      <c r="E92" s="11" t="s">
        <v>292</v>
      </c>
      <c r="F92" s="11"/>
      <c r="G92" s="37" t="n">
        <v>-5193.23</v>
      </c>
      <c r="H92" s="37" t="n">
        <v>266316.86</v>
      </c>
    </row>
    <row r="93" customFormat="false" ht="15" hidden="false" customHeight="false" outlineLevel="0" collapsed="false">
      <c r="A93" s="11" t="s">
        <v>1667</v>
      </c>
      <c r="B93" s="38" t="n">
        <v>45784</v>
      </c>
      <c r="C93" s="11" t="s">
        <v>1500</v>
      </c>
      <c r="D93" s="11" t="s">
        <v>307</v>
      </c>
      <c r="E93" s="11" t="s">
        <v>458</v>
      </c>
      <c r="F93" s="11" t="s">
        <v>1668</v>
      </c>
      <c r="G93" s="37" t="n">
        <v>-33226.62</v>
      </c>
      <c r="H93" s="37" t="n">
        <v>233090.24</v>
      </c>
    </row>
    <row r="94" customFormat="false" ht="15" hidden="false" customHeight="false" outlineLevel="0" collapsed="false">
      <c r="A94" s="11" t="s">
        <v>1669</v>
      </c>
      <c r="B94" s="38" t="n">
        <v>45784</v>
      </c>
      <c r="C94" s="11" t="s">
        <v>1500</v>
      </c>
      <c r="D94" s="11" t="s">
        <v>307</v>
      </c>
      <c r="E94" s="11" t="s">
        <v>464</v>
      </c>
      <c r="F94" s="11" t="s">
        <v>1670</v>
      </c>
      <c r="G94" s="37" t="n">
        <v>-11943.78</v>
      </c>
      <c r="H94" s="37" t="n">
        <v>221146.46</v>
      </c>
    </row>
    <row r="95" customFormat="false" ht="15" hidden="false" customHeight="false" outlineLevel="0" collapsed="false">
      <c r="A95" s="11" t="s">
        <v>1671</v>
      </c>
      <c r="B95" s="38" t="n">
        <v>45784</v>
      </c>
      <c r="C95" s="11" t="s">
        <v>1500</v>
      </c>
      <c r="D95" s="11" t="s">
        <v>307</v>
      </c>
      <c r="E95" s="11" t="s">
        <v>313</v>
      </c>
      <c r="F95" s="11" t="s">
        <v>1672</v>
      </c>
      <c r="G95" s="37" t="n">
        <v>-4554.64</v>
      </c>
      <c r="H95" s="37" t="n">
        <v>216591.82</v>
      </c>
    </row>
    <row r="96" customFormat="false" ht="15" hidden="false" customHeight="false" outlineLevel="0" collapsed="false">
      <c r="A96" s="11" t="s">
        <v>1673</v>
      </c>
      <c r="B96" s="38" t="n">
        <v>45786</v>
      </c>
      <c r="C96" s="11" t="s">
        <v>1496</v>
      </c>
      <c r="D96" s="11" t="s">
        <v>1497</v>
      </c>
      <c r="E96" s="11" t="s">
        <v>392</v>
      </c>
      <c r="F96" s="11" t="s">
        <v>1674</v>
      </c>
      <c r="G96" s="37" t="n">
        <v>6228</v>
      </c>
      <c r="H96" s="37" t="n">
        <v>222819.82</v>
      </c>
    </row>
    <row r="97" customFormat="false" ht="15" hidden="false" customHeight="false" outlineLevel="0" collapsed="false">
      <c r="A97" s="11" t="s">
        <v>1675</v>
      </c>
      <c r="B97" s="38" t="n">
        <v>45786</v>
      </c>
      <c r="C97" s="11" t="s">
        <v>1496</v>
      </c>
      <c r="D97" s="11" t="s">
        <v>1497</v>
      </c>
      <c r="E97" s="11" t="s">
        <v>335</v>
      </c>
      <c r="F97" s="11" t="s">
        <v>1676</v>
      </c>
      <c r="G97" s="37" t="n">
        <v>4740</v>
      </c>
      <c r="H97" s="37" t="n">
        <v>227559.82</v>
      </c>
    </row>
    <row r="98" customFormat="false" ht="15" hidden="false" customHeight="false" outlineLevel="0" collapsed="false">
      <c r="A98" s="11" t="s">
        <v>1677</v>
      </c>
      <c r="B98" s="38" t="n">
        <v>45786</v>
      </c>
      <c r="C98" s="11" t="s">
        <v>1500</v>
      </c>
      <c r="D98" s="11" t="s">
        <v>480</v>
      </c>
      <c r="E98" s="11" t="s">
        <v>481</v>
      </c>
      <c r="F98" s="11"/>
      <c r="G98" s="37" t="n">
        <v>-9840</v>
      </c>
      <c r="H98" s="37" t="n">
        <v>217719.82</v>
      </c>
    </row>
    <row r="99" customFormat="false" ht="15" hidden="false" customHeight="false" outlineLevel="0" collapsed="false">
      <c r="A99" s="11" t="s">
        <v>1678</v>
      </c>
      <c r="B99" s="38" t="n">
        <v>45786</v>
      </c>
      <c r="C99" s="11" t="s">
        <v>1496</v>
      </c>
      <c r="D99" s="11" t="s">
        <v>1497</v>
      </c>
      <c r="E99" s="11" t="s">
        <v>280</v>
      </c>
      <c r="F99" s="11" t="s">
        <v>1679</v>
      </c>
      <c r="G99" s="37" t="n">
        <v>6444</v>
      </c>
      <c r="H99" s="37" t="n">
        <v>224163.82</v>
      </c>
    </row>
    <row r="100" customFormat="false" ht="15" hidden="false" customHeight="false" outlineLevel="0" collapsed="false">
      <c r="A100" s="11" t="s">
        <v>1680</v>
      </c>
      <c r="B100" s="38" t="n">
        <v>45786</v>
      </c>
      <c r="C100" s="11" t="s">
        <v>1496</v>
      </c>
      <c r="D100" s="11" t="s">
        <v>1497</v>
      </c>
      <c r="E100" s="11" t="s">
        <v>399</v>
      </c>
      <c r="F100" s="11" t="s">
        <v>1681</v>
      </c>
      <c r="G100" s="37" t="n">
        <v>15540</v>
      </c>
      <c r="H100" s="37" t="n">
        <v>239703.82</v>
      </c>
    </row>
    <row r="101" customFormat="false" ht="15" hidden="false" customHeight="false" outlineLevel="0" collapsed="false">
      <c r="A101" s="11" t="s">
        <v>1682</v>
      </c>
      <c r="B101" s="38" t="n">
        <v>45786</v>
      </c>
      <c r="C101" s="11" t="s">
        <v>1496</v>
      </c>
      <c r="D101" s="11" t="s">
        <v>1497</v>
      </c>
      <c r="E101" s="11" t="s">
        <v>323</v>
      </c>
      <c r="F101" s="11" t="s">
        <v>1683</v>
      </c>
      <c r="G101" s="37" t="n">
        <v>7392</v>
      </c>
      <c r="H101" s="37" t="n">
        <v>247095.82</v>
      </c>
    </row>
    <row r="102" customFormat="false" ht="15" hidden="false" customHeight="false" outlineLevel="0" collapsed="false">
      <c r="A102" s="11" t="s">
        <v>1684</v>
      </c>
      <c r="B102" s="38" t="n">
        <v>45789</v>
      </c>
      <c r="C102" s="11" t="s">
        <v>1496</v>
      </c>
      <c r="D102" s="11" t="s">
        <v>1497</v>
      </c>
      <c r="E102" s="11" t="s">
        <v>392</v>
      </c>
      <c r="F102" s="11" t="s">
        <v>1685</v>
      </c>
      <c r="G102" s="37" t="n">
        <v>11412</v>
      </c>
      <c r="H102" s="37" t="n">
        <v>258507.82</v>
      </c>
    </row>
    <row r="103" customFormat="false" ht="15" hidden="false" customHeight="false" outlineLevel="0" collapsed="false">
      <c r="A103" s="11" t="s">
        <v>1686</v>
      </c>
      <c r="B103" s="38" t="n">
        <v>45789</v>
      </c>
      <c r="C103" s="11" t="s">
        <v>1496</v>
      </c>
      <c r="D103" s="11" t="s">
        <v>1497</v>
      </c>
      <c r="E103" s="11" t="s">
        <v>280</v>
      </c>
      <c r="F103" s="11" t="s">
        <v>1687</v>
      </c>
      <c r="G103" s="37" t="n">
        <v>9348</v>
      </c>
      <c r="H103" s="37" t="n">
        <v>267855.82</v>
      </c>
    </row>
    <row r="104" customFormat="false" ht="15" hidden="false" customHeight="false" outlineLevel="0" collapsed="false">
      <c r="A104" s="11" t="s">
        <v>1688</v>
      </c>
      <c r="B104" s="38" t="n">
        <v>45789</v>
      </c>
      <c r="C104" s="11" t="s">
        <v>1500</v>
      </c>
      <c r="D104" s="11" t="s">
        <v>272</v>
      </c>
      <c r="E104" s="11" t="s">
        <v>273</v>
      </c>
      <c r="F104" s="11"/>
      <c r="G104" s="37" t="n">
        <v>-3840</v>
      </c>
      <c r="H104" s="37" t="n">
        <v>264015.82</v>
      </c>
    </row>
    <row r="105" customFormat="false" ht="15" hidden="false" customHeight="false" outlineLevel="0" collapsed="false">
      <c r="A105" s="11" t="s">
        <v>1689</v>
      </c>
      <c r="B105" s="38" t="n">
        <v>45789</v>
      </c>
      <c r="C105" s="11" t="s">
        <v>1496</v>
      </c>
      <c r="D105" s="11" t="s">
        <v>1497</v>
      </c>
      <c r="E105" s="11" t="s">
        <v>335</v>
      </c>
      <c r="F105" s="11" t="s">
        <v>1690</v>
      </c>
      <c r="G105" s="37" t="n">
        <v>5856</v>
      </c>
      <c r="H105" s="37" t="n">
        <v>269871.82</v>
      </c>
    </row>
    <row r="106" customFormat="false" ht="15" hidden="false" customHeight="false" outlineLevel="0" collapsed="false">
      <c r="A106" s="11" t="s">
        <v>1691</v>
      </c>
      <c r="B106" s="38" t="n">
        <v>45791</v>
      </c>
      <c r="C106" s="11" t="s">
        <v>1496</v>
      </c>
      <c r="D106" s="11" t="s">
        <v>1497</v>
      </c>
      <c r="E106" s="11" t="s">
        <v>327</v>
      </c>
      <c r="F106" s="11" t="s">
        <v>1692</v>
      </c>
      <c r="G106" s="37" t="n">
        <v>23508</v>
      </c>
      <c r="H106" s="37" t="n">
        <v>293379.82</v>
      </c>
    </row>
    <row r="107" customFormat="false" ht="15" hidden="false" customHeight="false" outlineLevel="0" collapsed="false">
      <c r="A107" s="11" t="s">
        <v>1693</v>
      </c>
      <c r="B107" s="38" t="n">
        <v>45791</v>
      </c>
      <c r="C107" s="11" t="s">
        <v>1500</v>
      </c>
      <c r="D107" s="11" t="s">
        <v>291</v>
      </c>
      <c r="E107" s="11" t="s">
        <v>292</v>
      </c>
      <c r="F107" s="11"/>
      <c r="G107" s="37" t="n">
        <v>-5296.71</v>
      </c>
      <c r="H107" s="37" t="n">
        <v>288083.11</v>
      </c>
    </row>
    <row r="108" customFormat="false" ht="15" hidden="false" customHeight="false" outlineLevel="0" collapsed="false">
      <c r="A108" s="11" t="s">
        <v>1694</v>
      </c>
      <c r="B108" s="38" t="n">
        <v>45792</v>
      </c>
      <c r="C108" s="11" t="s">
        <v>1500</v>
      </c>
      <c r="D108" s="11" t="s">
        <v>307</v>
      </c>
      <c r="E108" s="11" t="s">
        <v>308</v>
      </c>
      <c r="F108" s="11" t="s">
        <v>1695</v>
      </c>
      <c r="G108" s="37" t="n">
        <v>-32643.41</v>
      </c>
      <c r="H108" s="37" t="n">
        <v>255439.7</v>
      </c>
    </row>
    <row r="109" customFormat="false" ht="15" hidden="false" customHeight="false" outlineLevel="0" collapsed="false">
      <c r="A109" s="11" t="s">
        <v>1696</v>
      </c>
      <c r="B109" s="38" t="n">
        <v>45792</v>
      </c>
      <c r="C109" s="11" t="s">
        <v>1500</v>
      </c>
      <c r="D109" s="11" t="s">
        <v>317</v>
      </c>
      <c r="E109" s="11" t="s">
        <v>318</v>
      </c>
      <c r="F109" s="11"/>
      <c r="G109" s="37" t="n">
        <v>-82000</v>
      </c>
      <c r="H109" s="37" t="n">
        <v>173439.7</v>
      </c>
    </row>
    <row r="110" customFormat="false" ht="15" hidden="false" customHeight="false" outlineLevel="0" collapsed="false">
      <c r="A110" s="11" t="s">
        <v>1697</v>
      </c>
      <c r="B110" s="38" t="n">
        <v>45792</v>
      </c>
      <c r="C110" s="11" t="s">
        <v>1496</v>
      </c>
      <c r="D110" s="11" t="s">
        <v>1497</v>
      </c>
      <c r="E110" s="11" t="s">
        <v>349</v>
      </c>
      <c r="F110" s="11" t="s">
        <v>1698</v>
      </c>
      <c r="G110" s="37" t="n">
        <v>14988</v>
      </c>
      <c r="H110" s="37" t="n">
        <v>188427.7</v>
      </c>
    </row>
    <row r="111" customFormat="false" ht="15" hidden="false" customHeight="false" outlineLevel="0" collapsed="false">
      <c r="A111" s="11" t="s">
        <v>1699</v>
      </c>
      <c r="B111" s="38" t="n">
        <v>45792</v>
      </c>
      <c r="C111" s="11" t="s">
        <v>1500</v>
      </c>
      <c r="D111" s="11" t="s">
        <v>1700</v>
      </c>
      <c r="E111" s="11" t="s">
        <v>384</v>
      </c>
      <c r="F111" s="11"/>
      <c r="G111" s="37" t="n">
        <v>-9800</v>
      </c>
      <c r="H111" s="37" t="n">
        <v>178627.7</v>
      </c>
    </row>
    <row r="112" customFormat="false" ht="15" hidden="false" customHeight="false" outlineLevel="0" collapsed="false">
      <c r="A112" s="11" t="s">
        <v>1701</v>
      </c>
      <c r="B112" s="38" t="n">
        <v>45792</v>
      </c>
      <c r="C112" s="11" t="s">
        <v>1500</v>
      </c>
      <c r="D112" s="11" t="s">
        <v>307</v>
      </c>
      <c r="E112" s="11" t="s">
        <v>313</v>
      </c>
      <c r="F112" s="11" t="s">
        <v>1702</v>
      </c>
      <c r="G112" s="37" t="n">
        <v>-4615</v>
      </c>
      <c r="H112" s="37" t="n">
        <v>174012.7</v>
      </c>
    </row>
    <row r="113" customFormat="false" ht="15" hidden="false" customHeight="false" outlineLevel="0" collapsed="false">
      <c r="A113" s="11" t="s">
        <v>1703</v>
      </c>
      <c r="B113" s="38" t="n">
        <v>45792</v>
      </c>
      <c r="C113" s="11" t="s">
        <v>1496</v>
      </c>
      <c r="D113" s="11" t="s">
        <v>1497</v>
      </c>
      <c r="E113" s="11" t="s">
        <v>349</v>
      </c>
      <c r="F113" s="11" t="s">
        <v>1704</v>
      </c>
      <c r="G113" s="37" t="n">
        <v>6888</v>
      </c>
      <c r="H113" s="37" t="n">
        <v>180900.7</v>
      </c>
    </row>
    <row r="114" customFormat="false" ht="15" hidden="false" customHeight="false" outlineLevel="0" collapsed="false">
      <c r="A114" s="11" t="s">
        <v>1705</v>
      </c>
      <c r="B114" s="38" t="n">
        <v>45792</v>
      </c>
      <c r="C114" s="11" t="s">
        <v>1496</v>
      </c>
      <c r="D114" s="11" t="s">
        <v>1497</v>
      </c>
      <c r="E114" s="11" t="s">
        <v>335</v>
      </c>
      <c r="F114" s="11" t="s">
        <v>1706</v>
      </c>
      <c r="G114" s="37" t="n">
        <v>9684</v>
      </c>
      <c r="H114" s="37" t="n">
        <v>190584.7</v>
      </c>
    </row>
    <row r="115" customFormat="false" ht="15" hidden="false" customHeight="false" outlineLevel="0" collapsed="false">
      <c r="A115" s="11" t="s">
        <v>1707</v>
      </c>
      <c r="B115" s="38" t="n">
        <v>45793</v>
      </c>
      <c r="C115" s="11" t="s">
        <v>1496</v>
      </c>
      <c r="D115" s="11" t="s">
        <v>1497</v>
      </c>
      <c r="E115" s="11" t="s">
        <v>331</v>
      </c>
      <c r="F115" s="11" t="s">
        <v>1708</v>
      </c>
      <c r="G115" s="37" t="n">
        <v>9204</v>
      </c>
      <c r="H115" s="37" t="n">
        <v>199788.7</v>
      </c>
    </row>
    <row r="116" customFormat="false" ht="15" hidden="false" customHeight="false" outlineLevel="0" collapsed="false">
      <c r="A116" s="11" t="s">
        <v>1709</v>
      </c>
      <c r="B116" s="38" t="n">
        <v>45796</v>
      </c>
      <c r="C116" s="11" t="s">
        <v>1496</v>
      </c>
      <c r="D116" s="11" t="s">
        <v>1497</v>
      </c>
      <c r="E116" s="11" t="s">
        <v>298</v>
      </c>
      <c r="F116" s="11" t="s">
        <v>1710</v>
      </c>
      <c r="G116" s="37" t="n">
        <v>7070</v>
      </c>
      <c r="H116" s="37" t="n">
        <v>206858.7</v>
      </c>
    </row>
    <row r="117" customFormat="false" ht="15" hidden="false" customHeight="false" outlineLevel="0" collapsed="false">
      <c r="A117" s="11" t="s">
        <v>1711</v>
      </c>
      <c r="B117" s="38" t="n">
        <v>45796</v>
      </c>
      <c r="C117" s="11" t="s">
        <v>1496</v>
      </c>
      <c r="D117" s="11" t="s">
        <v>1497</v>
      </c>
      <c r="E117" s="11" t="s">
        <v>335</v>
      </c>
      <c r="F117" s="11" t="s">
        <v>1712</v>
      </c>
      <c r="G117" s="37" t="n">
        <v>7104</v>
      </c>
      <c r="H117" s="37" t="n">
        <v>213962.7</v>
      </c>
    </row>
    <row r="118" customFormat="false" ht="15" hidden="false" customHeight="false" outlineLevel="0" collapsed="false">
      <c r="A118" s="11" t="s">
        <v>1713</v>
      </c>
      <c r="B118" s="38" t="n">
        <v>45796</v>
      </c>
      <c r="C118" s="11" t="s">
        <v>1496</v>
      </c>
      <c r="D118" s="11" t="s">
        <v>1497</v>
      </c>
      <c r="E118" s="11" t="s">
        <v>331</v>
      </c>
      <c r="F118" s="11" t="s">
        <v>1714</v>
      </c>
      <c r="G118" s="37" t="n">
        <v>4476</v>
      </c>
      <c r="H118" s="37" t="n">
        <v>218438.7</v>
      </c>
    </row>
    <row r="119" customFormat="false" ht="15" hidden="false" customHeight="false" outlineLevel="0" collapsed="false">
      <c r="A119" s="11" t="s">
        <v>1715</v>
      </c>
      <c r="B119" s="38" t="n">
        <v>45796</v>
      </c>
      <c r="C119" s="11" t="s">
        <v>1496</v>
      </c>
      <c r="D119" s="11" t="s">
        <v>1497</v>
      </c>
      <c r="E119" s="11" t="s">
        <v>335</v>
      </c>
      <c r="F119" s="11" t="s">
        <v>1716</v>
      </c>
      <c r="G119" s="37" t="n">
        <v>5688</v>
      </c>
      <c r="H119" s="37" t="n">
        <v>224126.7</v>
      </c>
    </row>
    <row r="120" customFormat="false" ht="15" hidden="false" customHeight="false" outlineLevel="0" collapsed="false">
      <c r="A120" s="11" t="s">
        <v>1717</v>
      </c>
      <c r="B120" s="38" t="n">
        <v>45796</v>
      </c>
      <c r="C120" s="11" t="s">
        <v>1496</v>
      </c>
      <c r="D120" s="11" t="s">
        <v>1497</v>
      </c>
      <c r="E120" s="11" t="s">
        <v>280</v>
      </c>
      <c r="F120" s="11" t="s">
        <v>1718</v>
      </c>
      <c r="G120" s="37" t="n">
        <v>4104</v>
      </c>
      <c r="H120" s="37" t="n">
        <v>228230.7</v>
      </c>
    </row>
    <row r="121" customFormat="false" ht="15" hidden="false" customHeight="false" outlineLevel="0" collapsed="false">
      <c r="A121" s="11" t="s">
        <v>1719</v>
      </c>
      <c r="B121" s="38" t="n">
        <v>45796</v>
      </c>
      <c r="C121" s="11" t="s">
        <v>1496</v>
      </c>
      <c r="D121" s="11" t="s">
        <v>1497</v>
      </c>
      <c r="E121" s="11" t="s">
        <v>280</v>
      </c>
      <c r="F121" s="11" t="s">
        <v>1720</v>
      </c>
      <c r="G121" s="37" t="n">
        <v>6540</v>
      </c>
      <c r="H121" s="37" t="n">
        <v>234770.7</v>
      </c>
    </row>
    <row r="122" customFormat="false" ht="15" hidden="false" customHeight="false" outlineLevel="0" collapsed="false">
      <c r="A122" s="11" t="s">
        <v>1721</v>
      </c>
      <c r="B122" s="38" t="n">
        <v>45796</v>
      </c>
      <c r="C122" s="11" t="s">
        <v>1496</v>
      </c>
      <c r="D122" s="11" t="s">
        <v>1497</v>
      </c>
      <c r="E122" s="11" t="s">
        <v>349</v>
      </c>
      <c r="F122" s="11" t="s">
        <v>1722</v>
      </c>
      <c r="G122" s="37" t="n">
        <v>9780</v>
      </c>
      <c r="H122" s="37" t="n">
        <v>244550.7</v>
      </c>
    </row>
    <row r="123" customFormat="false" ht="15" hidden="false" customHeight="false" outlineLevel="0" collapsed="false">
      <c r="A123" s="11" t="s">
        <v>1723</v>
      </c>
      <c r="B123" s="38" t="n">
        <v>45796</v>
      </c>
      <c r="C123" s="11" t="s">
        <v>1496</v>
      </c>
      <c r="D123" s="11" t="s">
        <v>1497</v>
      </c>
      <c r="E123" s="11" t="s">
        <v>323</v>
      </c>
      <c r="F123" s="11" t="s">
        <v>1724</v>
      </c>
      <c r="G123" s="37" t="n">
        <v>6264</v>
      </c>
      <c r="H123" s="37" t="n">
        <v>250814.7</v>
      </c>
    </row>
    <row r="124" customFormat="false" ht="15" hidden="false" customHeight="false" outlineLevel="0" collapsed="false">
      <c r="A124" s="11" t="s">
        <v>1725</v>
      </c>
      <c r="B124" s="38" t="n">
        <v>45797</v>
      </c>
      <c r="C124" s="11" t="s">
        <v>1496</v>
      </c>
      <c r="D124" s="11" t="s">
        <v>1497</v>
      </c>
      <c r="E124" s="11" t="s">
        <v>287</v>
      </c>
      <c r="F124" s="11" t="s">
        <v>1726</v>
      </c>
      <c r="G124" s="37" t="n">
        <v>2436</v>
      </c>
      <c r="H124" s="37" t="n">
        <v>253250.7</v>
      </c>
    </row>
    <row r="125" customFormat="false" ht="15" hidden="false" customHeight="false" outlineLevel="0" collapsed="false">
      <c r="A125" s="11" t="s">
        <v>1727</v>
      </c>
      <c r="B125" s="38" t="n">
        <v>45798</v>
      </c>
      <c r="C125" s="11" t="s">
        <v>1496</v>
      </c>
      <c r="D125" s="11" t="s">
        <v>1497</v>
      </c>
      <c r="E125" s="11" t="s">
        <v>349</v>
      </c>
      <c r="F125" s="11" t="s">
        <v>1728</v>
      </c>
      <c r="G125" s="37" t="n">
        <v>11700</v>
      </c>
      <c r="H125" s="37" t="n">
        <v>264950.7</v>
      </c>
    </row>
    <row r="126" customFormat="false" ht="15" hidden="false" customHeight="false" outlineLevel="0" collapsed="false">
      <c r="A126" s="11" t="s">
        <v>1729</v>
      </c>
      <c r="B126" s="38" t="n">
        <v>45798</v>
      </c>
      <c r="C126" s="11" t="s">
        <v>1500</v>
      </c>
      <c r="D126" s="11" t="s">
        <v>291</v>
      </c>
      <c r="E126" s="11" t="s">
        <v>292</v>
      </c>
      <c r="F126" s="11"/>
      <c r="G126" s="37" t="n">
        <v>-4547.79</v>
      </c>
      <c r="H126" s="37" t="n">
        <v>260402.91</v>
      </c>
    </row>
    <row r="127" customFormat="false" ht="15" hidden="false" customHeight="false" outlineLevel="0" collapsed="false">
      <c r="A127" s="11" t="s">
        <v>1730</v>
      </c>
      <c r="B127" s="38" t="n">
        <v>45798</v>
      </c>
      <c r="C127" s="11" t="s">
        <v>1496</v>
      </c>
      <c r="D127" s="11" t="s">
        <v>1497</v>
      </c>
      <c r="E127" s="11" t="s">
        <v>349</v>
      </c>
      <c r="F127" s="11" t="s">
        <v>1731</v>
      </c>
      <c r="G127" s="37" t="n">
        <v>13500</v>
      </c>
      <c r="H127" s="37" t="n">
        <v>273902.91</v>
      </c>
    </row>
    <row r="128" customFormat="false" ht="15" hidden="false" customHeight="false" outlineLevel="0" collapsed="false">
      <c r="A128" s="11" t="s">
        <v>1732</v>
      </c>
      <c r="B128" s="38" t="n">
        <v>45798</v>
      </c>
      <c r="C128" s="11" t="s">
        <v>1496</v>
      </c>
      <c r="D128" s="11" t="s">
        <v>1497</v>
      </c>
      <c r="E128" s="11" t="s">
        <v>327</v>
      </c>
      <c r="F128" s="11" t="s">
        <v>1733</v>
      </c>
      <c r="G128" s="37" t="n">
        <v>26460</v>
      </c>
      <c r="H128" s="37" t="n">
        <v>300362.91</v>
      </c>
    </row>
    <row r="129" customFormat="false" ht="15" hidden="false" customHeight="false" outlineLevel="0" collapsed="false">
      <c r="A129" s="11" t="s">
        <v>1734</v>
      </c>
      <c r="B129" s="38" t="n">
        <v>45799</v>
      </c>
      <c r="C129" s="11" t="s">
        <v>1500</v>
      </c>
      <c r="D129" s="11" t="s">
        <v>307</v>
      </c>
      <c r="E129" s="11" t="s">
        <v>313</v>
      </c>
      <c r="F129" s="11" t="s">
        <v>1735</v>
      </c>
      <c r="G129" s="37" t="n">
        <v>-4853.24</v>
      </c>
      <c r="H129" s="37" t="n">
        <v>295509.67</v>
      </c>
    </row>
    <row r="130" customFormat="false" ht="15" hidden="false" customHeight="false" outlineLevel="0" collapsed="false">
      <c r="A130" s="11" t="s">
        <v>1736</v>
      </c>
      <c r="B130" s="38" t="n">
        <v>45803</v>
      </c>
      <c r="C130" s="11" t="s">
        <v>1496</v>
      </c>
      <c r="D130" s="11" t="s">
        <v>1497</v>
      </c>
      <c r="E130" s="11" t="s">
        <v>287</v>
      </c>
      <c r="F130" s="11" t="s">
        <v>1737</v>
      </c>
      <c r="G130" s="37" t="n">
        <v>4380</v>
      </c>
      <c r="H130" s="37" t="n">
        <v>299889.67</v>
      </c>
    </row>
    <row r="131" customFormat="false" ht="15" hidden="false" customHeight="false" outlineLevel="0" collapsed="false">
      <c r="A131" s="11" t="s">
        <v>1738</v>
      </c>
      <c r="B131" s="38" t="n">
        <v>45803</v>
      </c>
      <c r="C131" s="11" t="s">
        <v>1496</v>
      </c>
      <c r="D131" s="11" t="s">
        <v>1497</v>
      </c>
      <c r="E131" s="11" t="s">
        <v>335</v>
      </c>
      <c r="F131" s="11" t="s">
        <v>1739</v>
      </c>
      <c r="G131" s="37" t="n">
        <v>6576</v>
      </c>
      <c r="H131" s="37" t="n">
        <v>306465.67</v>
      </c>
    </row>
    <row r="132" customFormat="false" ht="15" hidden="false" customHeight="false" outlineLevel="0" collapsed="false">
      <c r="A132" s="11" t="s">
        <v>1740</v>
      </c>
      <c r="B132" s="38" t="n">
        <v>45803</v>
      </c>
      <c r="C132" s="11" t="s">
        <v>1496</v>
      </c>
      <c r="D132" s="11" t="s">
        <v>1497</v>
      </c>
      <c r="E132" s="11" t="s">
        <v>280</v>
      </c>
      <c r="F132" s="11" t="s">
        <v>1741</v>
      </c>
      <c r="G132" s="37" t="n">
        <v>7980</v>
      </c>
      <c r="H132" s="37" t="n">
        <v>314445.67</v>
      </c>
    </row>
    <row r="133" customFormat="false" ht="15" hidden="false" customHeight="false" outlineLevel="0" collapsed="false">
      <c r="A133" s="11" t="s">
        <v>1742</v>
      </c>
      <c r="B133" s="38" t="n">
        <v>45803</v>
      </c>
      <c r="C133" s="11" t="s">
        <v>1496</v>
      </c>
      <c r="D133" s="11" t="s">
        <v>1497</v>
      </c>
      <c r="E133" s="11" t="s">
        <v>399</v>
      </c>
      <c r="F133" s="11" t="s">
        <v>1743</v>
      </c>
      <c r="G133" s="37" t="n">
        <v>17856</v>
      </c>
      <c r="H133" s="37" t="n">
        <v>332301.67</v>
      </c>
    </row>
    <row r="134" customFormat="false" ht="15" hidden="false" customHeight="false" outlineLevel="0" collapsed="false">
      <c r="A134" s="11" t="s">
        <v>1744</v>
      </c>
      <c r="B134" s="38" t="n">
        <v>45803</v>
      </c>
      <c r="C134" s="11" t="s">
        <v>1496</v>
      </c>
      <c r="D134" s="11" t="s">
        <v>1497</v>
      </c>
      <c r="E134" s="11" t="s">
        <v>323</v>
      </c>
      <c r="F134" s="11" t="s">
        <v>1745</v>
      </c>
      <c r="G134" s="37" t="n">
        <v>5364</v>
      </c>
      <c r="H134" s="37" t="n">
        <v>337665.67</v>
      </c>
    </row>
    <row r="135" customFormat="false" ht="15" hidden="false" customHeight="false" outlineLevel="0" collapsed="false">
      <c r="A135" s="11" t="s">
        <v>1746</v>
      </c>
      <c r="B135" s="38" t="n">
        <v>45803</v>
      </c>
      <c r="C135" s="11" t="s">
        <v>1496</v>
      </c>
      <c r="D135" s="11" t="s">
        <v>1497</v>
      </c>
      <c r="E135" s="11" t="s">
        <v>335</v>
      </c>
      <c r="F135" s="11" t="s">
        <v>1747</v>
      </c>
      <c r="G135" s="37" t="n">
        <v>4236</v>
      </c>
      <c r="H135" s="37" t="n">
        <v>341901.67</v>
      </c>
    </row>
    <row r="136" customFormat="false" ht="15" hidden="false" customHeight="false" outlineLevel="0" collapsed="false">
      <c r="A136" s="11" t="s">
        <v>1748</v>
      </c>
      <c r="B136" s="38" t="n">
        <v>45803</v>
      </c>
      <c r="C136" s="11" t="s">
        <v>1496</v>
      </c>
      <c r="D136" s="11" t="s">
        <v>1497</v>
      </c>
      <c r="E136" s="11" t="s">
        <v>335</v>
      </c>
      <c r="F136" s="11" t="s">
        <v>1749</v>
      </c>
      <c r="G136" s="37" t="n">
        <v>10104</v>
      </c>
      <c r="H136" s="37" t="n">
        <v>352005.67</v>
      </c>
    </row>
    <row r="137" customFormat="false" ht="15" hidden="false" customHeight="false" outlineLevel="0" collapsed="false">
      <c r="A137" s="11" t="s">
        <v>1750</v>
      </c>
      <c r="B137" s="38" t="n">
        <v>45803</v>
      </c>
      <c r="C137" s="11" t="s">
        <v>1500</v>
      </c>
      <c r="D137" s="11" t="s">
        <v>383</v>
      </c>
      <c r="E137" s="11" t="s">
        <v>384</v>
      </c>
      <c r="F137" s="11" t="s">
        <v>1751</v>
      </c>
      <c r="G137" s="37" t="n">
        <v>-52900.08</v>
      </c>
      <c r="H137" s="37" t="n">
        <v>299105.59</v>
      </c>
    </row>
    <row r="138" customFormat="false" ht="15" hidden="false" customHeight="false" outlineLevel="0" collapsed="false">
      <c r="A138" s="11" t="s">
        <v>1752</v>
      </c>
      <c r="B138" s="38" t="n">
        <v>45804</v>
      </c>
      <c r="C138" s="11" t="s">
        <v>1496</v>
      </c>
      <c r="D138" s="11" t="s">
        <v>1497</v>
      </c>
      <c r="E138" s="11" t="s">
        <v>335</v>
      </c>
      <c r="F138" s="11" t="s">
        <v>1753</v>
      </c>
      <c r="G138" s="37" t="n">
        <v>6420</v>
      </c>
      <c r="H138" s="37" t="n">
        <v>305525.59</v>
      </c>
    </row>
    <row r="139" customFormat="false" ht="15" hidden="false" customHeight="false" outlineLevel="0" collapsed="false">
      <c r="A139" s="11" t="s">
        <v>1754</v>
      </c>
      <c r="B139" s="38" t="n">
        <v>45804</v>
      </c>
      <c r="C139" s="11" t="s">
        <v>1496</v>
      </c>
      <c r="D139" s="11" t="s">
        <v>1497</v>
      </c>
      <c r="E139" s="11" t="s">
        <v>287</v>
      </c>
      <c r="F139" s="11" t="s">
        <v>1755</v>
      </c>
      <c r="G139" s="37" t="n">
        <v>2364</v>
      </c>
      <c r="H139" s="37" t="n">
        <v>307889.59</v>
      </c>
    </row>
    <row r="140" customFormat="false" ht="15" hidden="false" customHeight="false" outlineLevel="0" collapsed="false">
      <c r="A140" s="11" t="s">
        <v>1756</v>
      </c>
      <c r="B140" s="38" t="n">
        <v>45804</v>
      </c>
      <c r="C140" s="11" t="s">
        <v>1496</v>
      </c>
      <c r="D140" s="11" t="s">
        <v>1497</v>
      </c>
      <c r="E140" s="11" t="s">
        <v>335</v>
      </c>
      <c r="F140" s="11" t="s">
        <v>1757</v>
      </c>
      <c r="G140" s="37" t="n">
        <v>3552</v>
      </c>
      <c r="H140" s="37" t="n">
        <v>311441.59</v>
      </c>
    </row>
    <row r="141" customFormat="false" ht="15" hidden="false" customHeight="false" outlineLevel="0" collapsed="false">
      <c r="A141" s="11" t="s">
        <v>1758</v>
      </c>
      <c r="B141" s="38" t="n">
        <v>45805</v>
      </c>
      <c r="C141" s="11" t="s">
        <v>1500</v>
      </c>
      <c r="D141" s="11" t="s">
        <v>307</v>
      </c>
      <c r="E141" s="11" t="s">
        <v>308</v>
      </c>
      <c r="F141" s="11" t="s">
        <v>1759</v>
      </c>
      <c r="G141" s="37" t="n">
        <v>-30310.78</v>
      </c>
      <c r="H141" s="37" t="n">
        <v>281130.81</v>
      </c>
    </row>
    <row r="142" customFormat="false" ht="15" hidden="false" customHeight="false" outlineLevel="0" collapsed="false">
      <c r="A142" s="11" t="s">
        <v>1760</v>
      </c>
      <c r="B142" s="38" t="n">
        <v>45805</v>
      </c>
      <c r="C142" s="11" t="s">
        <v>1500</v>
      </c>
      <c r="D142" s="11" t="s">
        <v>307</v>
      </c>
      <c r="E142" s="11" t="s">
        <v>420</v>
      </c>
      <c r="F142" s="11" t="s">
        <v>1761</v>
      </c>
      <c r="G142" s="37" t="n">
        <v>-102403.48</v>
      </c>
      <c r="H142" s="37" t="n">
        <v>178727.33</v>
      </c>
    </row>
    <row r="143" customFormat="false" ht="15" hidden="false" customHeight="false" outlineLevel="0" collapsed="false">
      <c r="A143" s="11" t="s">
        <v>1762</v>
      </c>
      <c r="B143" s="38" t="n">
        <v>45805</v>
      </c>
      <c r="C143" s="11" t="s">
        <v>1500</v>
      </c>
      <c r="D143" s="11" t="s">
        <v>307</v>
      </c>
      <c r="E143" s="11" t="s">
        <v>313</v>
      </c>
      <c r="F143" s="11" t="s">
        <v>1763</v>
      </c>
      <c r="G143" s="37" t="n">
        <v>-5299.14</v>
      </c>
      <c r="H143" s="37" t="n">
        <v>173428.19</v>
      </c>
    </row>
    <row r="144" customFormat="false" ht="15" hidden="false" customHeight="false" outlineLevel="0" collapsed="false">
      <c r="A144" s="11" t="s">
        <v>1764</v>
      </c>
      <c r="B144" s="38" t="n">
        <v>45805</v>
      </c>
      <c r="C144" s="11" t="s">
        <v>1500</v>
      </c>
      <c r="D144" s="11" t="s">
        <v>307</v>
      </c>
      <c r="E144" s="11" t="s">
        <v>414</v>
      </c>
      <c r="F144" s="11" t="s">
        <v>1765</v>
      </c>
      <c r="G144" s="37" t="n">
        <v>-17458.87</v>
      </c>
      <c r="H144" s="37" t="n">
        <v>155969.32</v>
      </c>
    </row>
    <row r="145" customFormat="false" ht="15" hidden="false" customHeight="false" outlineLevel="0" collapsed="false">
      <c r="A145" s="11" t="s">
        <v>1766</v>
      </c>
      <c r="B145" s="38" t="n">
        <v>45805</v>
      </c>
      <c r="C145" s="11" t="s">
        <v>1500</v>
      </c>
      <c r="D145" s="11" t="s">
        <v>291</v>
      </c>
      <c r="E145" s="11" t="s">
        <v>292</v>
      </c>
      <c r="F145" s="11"/>
      <c r="G145" s="37" t="n">
        <v>-4573.28</v>
      </c>
      <c r="H145" s="37" t="n">
        <v>151396.04</v>
      </c>
    </row>
    <row r="146" customFormat="false" ht="15" hidden="false" customHeight="false" outlineLevel="0" collapsed="false">
      <c r="A146" s="11" t="s">
        <v>1767</v>
      </c>
      <c r="B146" s="38" t="n">
        <v>45807</v>
      </c>
      <c r="C146" s="11" t="s">
        <v>1496</v>
      </c>
      <c r="D146" s="11" t="s">
        <v>1497</v>
      </c>
      <c r="E146" s="11" t="s">
        <v>327</v>
      </c>
      <c r="F146" s="11" t="s">
        <v>1768</v>
      </c>
      <c r="G146" s="37" t="n">
        <v>34032</v>
      </c>
      <c r="H146" s="37" t="n">
        <v>185428.04</v>
      </c>
    </row>
    <row r="147" customFormat="false" ht="15" hidden="false" customHeight="false" outlineLevel="0" collapsed="false">
      <c r="A147" s="11" t="s">
        <v>1769</v>
      </c>
      <c r="B147" s="38" t="n">
        <v>45807</v>
      </c>
      <c r="C147" s="11" t="s">
        <v>1496</v>
      </c>
      <c r="D147" s="11" t="s">
        <v>1497</v>
      </c>
      <c r="E147" s="11" t="s">
        <v>298</v>
      </c>
      <c r="F147" s="11" t="s">
        <v>1770</v>
      </c>
      <c r="G147" s="37" t="n">
        <v>9950</v>
      </c>
      <c r="H147" s="37" t="n">
        <v>195378.04</v>
      </c>
    </row>
    <row r="148" customFormat="false" ht="15" hidden="false" customHeight="false" outlineLevel="0" collapsed="false">
      <c r="A148" s="11" t="s">
        <v>1771</v>
      </c>
      <c r="B148" s="38" t="n">
        <v>45807</v>
      </c>
      <c r="C148" s="11" t="s">
        <v>1500</v>
      </c>
      <c r="D148" s="11" t="s">
        <v>1634</v>
      </c>
      <c r="E148" s="11" t="s">
        <v>425</v>
      </c>
      <c r="F148" s="11"/>
      <c r="G148" s="37" t="n">
        <v>-101500</v>
      </c>
      <c r="H148" s="37" t="n">
        <v>93878.04</v>
      </c>
    </row>
    <row r="149" customFormat="false" ht="15" hidden="false" customHeight="false" outlineLevel="0" collapsed="false">
      <c r="A149" s="11" t="s">
        <v>1772</v>
      </c>
      <c r="B149" s="38" t="n">
        <v>45807</v>
      </c>
      <c r="C149" s="11" t="s">
        <v>1496</v>
      </c>
      <c r="D149" s="11" t="s">
        <v>1497</v>
      </c>
      <c r="E149" s="11" t="s">
        <v>327</v>
      </c>
      <c r="F149" s="11" t="s">
        <v>1773</v>
      </c>
      <c r="G149" s="37" t="n">
        <v>37860</v>
      </c>
      <c r="H149" s="37" t="n">
        <v>131738.04</v>
      </c>
    </row>
    <row r="150" customFormat="false" ht="15" hidden="false" customHeight="false" outlineLevel="0" collapsed="false">
      <c r="A150" s="11" t="s">
        <v>1774</v>
      </c>
      <c r="B150" s="38" t="n">
        <v>45807</v>
      </c>
      <c r="C150" s="11" t="s">
        <v>1496</v>
      </c>
      <c r="D150" s="11" t="s">
        <v>1497</v>
      </c>
      <c r="E150" s="11" t="s">
        <v>280</v>
      </c>
      <c r="F150" s="11" t="s">
        <v>1775</v>
      </c>
      <c r="G150" s="37" t="n">
        <v>1620</v>
      </c>
      <c r="H150" s="37" t="n">
        <v>133358.04</v>
      </c>
    </row>
    <row r="151" customFormat="false" ht="15" hidden="false" customHeight="false" outlineLevel="0" collapsed="false">
      <c r="A151" s="11" t="s">
        <v>1776</v>
      </c>
      <c r="B151" s="38" t="n">
        <v>45807</v>
      </c>
      <c r="C151" s="11" t="s">
        <v>1496</v>
      </c>
      <c r="D151" s="11" t="s">
        <v>1497</v>
      </c>
      <c r="E151" s="11" t="s">
        <v>349</v>
      </c>
      <c r="F151" s="11" t="s">
        <v>1777</v>
      </c>
      <c r="G151" s="37" t="n">
        <v>5784</v>
      </c>
      <c r="H151" s="37" t="n">
        <v>139142.04</v>
      </c>
    </row>
    <row r="152" customFormat="false" ht="15" hidden="false" customHeight="false" outlineLevel="0" collapsed="false">
      <c r="A152" s="11" t="s">
        <v>1778</v>
      </c>
      <c r="B152" s="38" t="n">
        <v>45807</v>
      </c>
      <c r="C152" s="11" t="s">
        <v>1496</v>
      </c>
      <c r="D152" s="11" t="s">
        <v>1497</v>
      </c>
      <c r="E152" s="11" t="s">
        <v>335</v>
      </c>
      <c r="F152" s="11" t="s">
        <v>1779</v>
      </c>
      <c r="G152" s="37" t="n">
        <v>12396</v>
      </c>
      <c r="H152" s="37" t="n">
        <v>151538.04</v>
      </c>
    </row>
    <row r="153" customFormat="false" ht="15" hidden="false" customHeight="false" outlineLevel="0" collapsed="false">
      <c r="A153" s="11" t="s">
        <v>1780</v>
      </c>
      <c r="B153" s="38" t="n">
        <v>45810</v>
      </c>
      <c r="C153" s="11" t="s">
        <v>1496</v>
      </c>
      <c r="D153" s="11" t="s">
        <v>1497</v>
      </c>
      <c r="E153" s="11" t="s">
        <v>323</v>
      </c>
      <c r="F153" s="11" t="s">
        <v>1781</v>
      </c>
      <c r="G153" s="37" t="n">
        <v>10236</v>
      </c>
      <c r="H153" s="37" t="n">
        <v>161774.04</v>
      </c>
    </row>
    <row r="154" customFormat="false" ht="15" hidden="false" customHeight="false" outlineLevel="0" collapsed="false">
      <c r="A154" s="11" t="s">
        <v>1782</v>
      </c>
      <c r="B154" s="38" t="n">
        <v>45810</v>
      </c>
      <c r="C154" s="11" t="s">
        <v>1496</v>
      </c>
      <c r="D154" s="11" t="s">
        <v>1497</v>
      </c>
      <c r="E154" s="11" t="s">
        <v>327</v>
      </c>
      <c r="F154" s="11" t="s">
        <v>1783</v>
      </c>
      <c r="G154" s="37" t="n">
        <v>12540</v>
      </c>
      <c r="H154" s="37" t="n">
        <v>174314.04</v>
      </c>
    </row>
    <row r="155" customFormat="false" ht="15" hidden="false" customHeight="false" outlineLevel="0" collapsed="false">
      <c r="A155" s="11" t="s">
        <v>1784</v>
      </c>
      <c r="B155" s="38" t="n">
        <v>45810</v>
      </c>
      <c r="C155" s="11" t="s">
        <v>1496</v>
      </c>
      <c r="D155" s="11" t="s">
        <v>1497</v>
      </c>
      <c r="E155" s="11" t="s">
        <v>287</v>
      </c>
      <c r="F155" s="11" t="s">
        <v>1785</v>
      </c>
      <c r="G155" s="37" t="n">
        <v>5364</v>
      </c>
      <c r="H155" s="37" t="n">
        <v>179678.04</v>
      </c>
    </row>
    <row r="156" customFormat="false" ht="15" hidden="false" customHeight="false" outlineLevel="0" collapsed="false">
      <c r="A156" s="11" t="s">
        <v>1786</v>
      </c>
      <c r="B156" s="38" t="n">
        <v>45810</v>
      </c>
      <c r="C156" s="11" t="s">
        <v>1496</v>
      </c>
      <c r="D156" s="11" t="s">
        <v>1497</v>
      </c>
      <c r="E156" s="11" t="s">
        <v>331</v>
      </c>
      <c r="F156" s="11" t="s">
        <v>1787</v>
      </c>
      <c r="G156" s="37" t="n">
        <v>13932</v>
      </c>
      <c r="H156" s="37" t="n">
        <v>193610.04</v>
      </c>
    </row>
    <row r="157" customFormat="false" ht="15" hidden="false" customHeight="false" outlineLevel="0" collapsed="false">
      <c r="A157" s="11" t="s">
        <v>1788</v>
      </c>
      <c r="B157" s="38" t="n">
        <v>45810</v>
      </c>
      <c r="C157" s="11" t="s">
        <v>1496</v>
      </c>
      <c r="D157" s="11" t="s">
        <v>1497</v>
      </c>
      <c r="E157" s="11" t="s">
        <v>280</v>
      </c>
      <c r="F157" s="11" t="s">
        <v>1789</v>
      </c>
      <c r="G157" s="37" t="n">
        <v>10464</v>
      </c>
      <c r="H157" s="37" t="n">
        <v>204074.04</v>
      </c>
    </row>
    <row r="158" customFormat="false" ht="15" hidden="false" customHeight="false" outlineLevel="0" collapsed="false">
      <c r="A158" s="11" t="s">
        <v>1790</v>
      </c>
      <c r="B158" s="38" t="n">
        <v>45810</v>
      </c>
      <c r="C158" s="11" t="s">
        <v>1496</v>
      </c>
      <c r="D158" s="11" t="s">
        <v>1497</v>
      </c>
      <c r="E158" s="11" t="s">
        <v>280</v>
      </c>
      <c r="F158" s="11" t="s">
        <v>1791</v>
      </c>
      <c r="G158" s="37" t="n">
        <v>11196</v>
      </c>
      <c r="H158" s="37" t="n">
        <v>215270.04</v>
      </c>
    </row>
    <row r="159" customFormat="false" ht="15" hidden="false" customHeight="false" outlineLevel="0" collapsed="false">
      <c r="A159" s="11" t="s">
        <v>1792</v>
      </c>
      <c r="B159" s="38" t="n">
        <v>45810</v>
      </c>
      <c r="C159" s="11" t="s">
        <v>1496</v>
      </c>
      <c r="D159" s="11" t="s">
        <v>1497</v>
      </c>
      <c r="E159" s="11" t="s">
        <v>335</v>
      </c>
      <c r="F159" s="11" t="s">
        <v>1793</v>
      </c>
      <c r="G159" s="37" t="n">
        <v>8892</v>
      </c>
      <c r="H159" s="37" t="n">
        <v>224162.04</v>
      </c>
    </row>
    <row r="160" customFormat="false" ht="15" hidden="false" customHeight="false" outlineLevel="0" collapsed="false">
      <c r="A160" s="11" t="s">
        <v>1794</v>
      </c>
      <c r="B160" s="38" t="n">
        <v>45810</v>
      </c>
      <c r="C160" s="11" t="s">
        <v>1496</v>
      </c>
      <c r="D160" s="11" t="s">
        <v>1497</v>
      </c>
      <c r="E160" s="11" t="s">
        <v>335</v>
      </c>
      <c r="F160" s="11" t="s">
        <v>1795</v>
      </c>
      <c r="G160" s="37" t="n">
        <v>4740</v>
      </c>
      <c r="H160" s="37" t="n">
        <v>228902.04</v>
      </c>
    </row>
    <row r="161" customFormat="false" ht="15" hidden="false" customHeight="false" outlineLevel="0" collapsed="false">
      <c r="A161" s="11" t="s">
        <v>1796</v>
      </c>
      <c r="B161" s="38" t="n">
        <v>45811</v>
      </c>
      <c r="C161" s="11" t="s">
        <v>1496</v>
      </c>
      <c r="D161" s="11" t="s">
        <v>1497</v>
      </c>
      <c r="E161" s="11" t="s">
        <v>327</v>
      </c>
      <c r="F161" s="11" t="s">
        <v>1797</v>
      </c>
      <c r="G161" s="37" t="n">
        <v>20364</v>
      </c>
      <c r="H161" s="37" t="n">
        <v>249266.04</v>
      </c>
    </row>
    <row r="162" customFormat="false" ht="15" hidden="false" customHeight="false" outlineLevel="0" collapsed="false">
      <c r="A162" s="11" t="s">
        <v>1798</v>
      </c>
      <c r="B162" s="38" t="n">
        <v>45811</v>
      </c>
      <c r="C162" s="11" t="s">
        <v>1496</v>
      </c>
      <c r="D162" s="11" t="s">
        <v>1497</v>
      </c>
      <c r="E162" s="11" t="s">
        <v>287</v>
      </c>
      <c r="F162" s="11" t="s">
        <v>1799</v>
      </c>
      <c r="G162" s="37" t="n">
        <v>3288</v>
      </c>
      <c r="H162" s="37" t="n">
        <v>252554.04</v>
      </c>
    </row>
    <row r="163" customFormat="false" ht="15" hidden="false" customHeight="false" outlineLevel="0" collapsed="false">
      <c r="A163" s="11" t="s">
        <v>1800</v>
      </c>
      <c r="B163" s="38" t="n">
        <v>45811</v>
      </c>
      <c r="C163" s="11" t="s">
        <v>1500</v>
      </c>
      <c r="D163" s="11" t="s">
        <v>448</v>
      </c>
      <c r="E163" s="11" t="s">
        <v>449</v>
      </c>
      <c r="F163" s="11"/>
      <c r="G163" s="37" t="n">
        <v>-2880</v>
      </c>
      <c r="H163" s="37" t="n">
        <v>249674.04</v>
      </c>
    </row>
    <row r="164" customFormat="false" ht="15" hidden="false" customHeight="false" outlineLevel="0" collapsed="false">
      <c r="A164" s="11" t="s">
        <v>1801</v>
      </c>
      <c r="B164" s="38" t="n">
        <v>45811</v>
      </c>
      <c r="C164" s="11" t="s">
        <v>1496</v>
      </c>
      <c r="D164" s="11" t="s">
        <v>1497</v>
      </c>
      <c r="E164" s="11" t="s">
        <v>287</v>
      </c>
      <c r="F164" s="11" t="s">
        <v>1802</v>
      </c>
      <c r="G164" s="37" t="n">
        <v>5916</v>
      </c>
      <c r="H164" s="37" t="n">
        <v>255590.04</v>
      </c>
    </row>
    <row r="165" customFormat="false" ht="15" hidden="false" customHeight="false" outlineLevel="0" collapsed="false">
      <c r="A165" s="11" t="s">
        <v>1803</v>
      </c>
      <c r="B165" s="38" t="n">
        <v>45811</v>
      </c>
      <c r="C165" s="11" t="s">
        <v>1496</v>
      </c>
      <c r="D165" s="11" t="s">
        <v>1497</v>
      </c>
      <c r="E165" s="11" t="s">
        <v>327</v>
      </c>
      <c r="F165" s="11" t="s">
        <v>1804</v>
      </c>
      <c r="G165" s="37" t="n">
        <v>24000</v>
      </c>
      <c r="H165" s="37" t="n">
        <v>279590.04</v>
      </c>
    </row>
    <row r="166" customFormat="false" ht="15" hidden="false" customHeight="false" outlineLevel="0" collapsed="false">
      <c r="A166" s="11" t="s">
        <v>1805</v>
      </c>
      <c r="B166" s="38" t="n">
        <v>45812</v>
      </c>
      <c r="C166" s="11" t="s">
        <v>1500</v>
      </c>
      <c r="D166" s="11" t="s">
        <v>291</v>
      </c>
      <c r="E166" s="11" t="s">
        <v>292</v>
      </c>
      <c r="F166" s="11"/>
      <c r="G166" s="37" t="n">
        <v>-4041.57</v>
      </c>
      <c r="H166" s="37" t="n">
        <v>275548.47</v>
      </c>
    </row>
    <row r="167" customFormat="false" ht="15" hidden="false" customHeight="false" outlineLevel="0" collapsed="false">
      <c r="A167" s="11" t="s">
        <v>1806</v>
      </c>
      <c r="B167" s="38" t="n">
        <v>45812</v>
      </c>
      <c r="C167" s="11" t="s">
        <v>1496</v>
      </c>
      <c r="D167" s="11" t="s">
        <v>1497</v>
      </c>
      <c r="E167" s="11" t="s">
        <v>298</v>
      </c>
      <c r="F167" s="11" t="s">
        <v>1807</v>
      </c>
      <c r="G167" s="37" t="n">
        <v>6050</v>
      </c>
      <c r="H167" s="37" t="n">
        <v>281598.47</v>
      </c>
    </row>
    <row r="168" customFormat="false" ht="15" hidden="false" customHeight="false" outlineLevel="0" collapsed="false">
      <c r="A168" s="11" t="s">
        <v>1808</v>
      </c>
      <c r="B168" s="38" t="n">
        <v>45813</v>
      </c>
      <c r="C168" s="11" t="s">
        <v>1496</v>
      </c>
      <c r="D168" s="11" t="s">
        <v>1497</v>
      </c>
      <c r="E168" s="11" t="s">
        <v>323</v>
      </c>
      <c r="F168" s="11" t="s">
        <v>1809</v>
      </c>
      <c r="G168" s="37" t="n">
        <v>6996</v>
      </c>
      <c r="H168" s="37" t="n">
        <v>288594.47</v>
      </c>
    </row>
    <row r="169" customFormat="false" ht="15" hidden="false" customHeight="false" outlineLevel="0" collapsed="false">
      <c r="A169" s="11" t="s">
        <v>1810</v>
      </c>
      <c r="B169" s="38" t="n">
        <v>45813</v>
      </c>
      <c r="C169" s="11" t="s">
        <v>1500</v>
      </c>
      <c r="D169" s="11" t="s">
        <v>307</v>
      </c>
      <c r="E169" s="11" t="s">
        <v>458</v>
      </c>
      <c r="F169" s="11" t="s">
        <v>1811</v>
      </c>
      <c r="G169" s="37" t="n">
        <v>-30180.22</v>
      </c>
      <c r="H169" s="37" t="n">
        <v>258414.25</v>
      </c>
    </row>
    <row r="170" customFormat="false" ht="15" hidden="false" customHeight="false" outlineLevel="0" collapsed="false">
      <c r="A170" s="11" t="s">
        <v>1812</v>
      </c>
      <c r="B170" s="38" t="n">
        <v>45813</v>
      </c>
      <c r="C170" s="11" t="s">
        <v>1500</v>
      </c>
      <c r="D170" s="11" t="s">
        <v>469</v>
      </c>
      <c r="E170" s="11" t="s">
        <v>470</v>
      </c>
      <c r="F170" s="11"/>
      <c r="G170" s="37" t="n">
        <v>-8900</v>
      </c>
      <c r="H170" s="37" t="n">
        <v>249514.25</v>
      </c>
    </row>
    <row r="171" customFormat="false" ht="15" hidden="false" customHeight="false" outlineLevel="0" collapsed="false">
      <c r="A171" s="11" t="s">
        <v>1813</v>
      </c>
      <c r="B171" s="38" t="n">
        <v>45813</v>
      </c>
      <c r="C171" s="11" t="s">
        <v>1500</v>
      </c>
      <c r="D171" s="11" t="s">
        <v>307</v>
      </c>
      <c r="E171" s="11" t="s">
        <v>313</v>
      </c>
      <c r="F171" s="11" t="s">
        <v>1814</v>
      </c>
      <c r="G171" s="37" t="n">
        <v>-5321.11</v>
      </c>
      <c r="H171" s="37" t="n">
        <v>244193.14</v>
      </c>
    </row>
    <row r="172" customFormat="false" ht="15" hidden="false" customHeight="false" outlineLevel="0" collapsed="false">
      <c r="A172" s="11" t="s">
        <v>1815</v>
      </c>
      <c r="B172" s="38" t="n">
        <v>45813</v>
      </c>
      <c r="C172" s="11" t="s">
        <v>1500</v>
      </c>
      <c r="D172" s="11" t="s">
        <v>307</v>
      </c>
      <c r="E172" s="11" t="s">
        <v>464</v>
      </c>
      <c r="F172" s="11" t="s">
        <v>1816</v>
      </c>
      <c r="G172" s="37" t="n">
        <v>-11767.68</v>
      </c>
      <c r="H172" s="37" t="n">
        <v>232425.46</v>
      </c>
    </row>
    <row r="173" customFormat="false" ht="15" hidden="false" customHeight="false" outlineLevel="0" collapsed="false">
      <c r="A173" s="11" t="s">
        <v>1817</v>
      </c>
      <c r="B173" s="38" t="n">
        <v>45814</v>
      </c>
      <c r="C173" s="11" t="s">
        <v>1496</v>
      </c>
      <c r="D173" s="11" t="s">
        <v>1497</v>
      </c>
      <c r="E173" s="11" t="s">
        <v>323</v>
      </c>
      <c r="F173" s="11" t="s">
        <v>1818</v>
      </c>
      <c r="G173" s="37" t="n">
        <v>6444</v>
      </c>
      <c r="H173" s="37" t="n">
        <v>238869.46</v>
      </c>
    </row>
    <row r="174" customFormat="false" ht="15" hidden="false" customHeight="false" outlineLevel="0" collapsed="false">
      <c r="A174" s="11" t="s">
        <v>1819</v>
      </c>
      <c r="B174" s="38" t="n">
        <v>45818</v>
      </c>
      <c r="C174" s="11" t="s">
        <v>1496</v>
      </c>
      <c r="D174" s="11" t="s">
        <v>1497</v>
      </c>
      <c r="E174" s="11" t="s">
        <v>298</v>
      </c>
      <c r="F174" s="11" t="s">
        <v>1820</v>
      </c>
      <c r="G174" s="37" t="n">
        <v>5270</v>
      </c>
      <c r="H174" s="37" t="n">
        <v>244139.46</v>
      </c>
    </row>
    <row r="175" customFormat="false" ht="15" hidden="false" customHeight="false" outlineLevel="0" collapsed="false">
      <c r="A175" s="11" t="s">
        <v>1821</v>
      </c>
      <c r="B175" s="38" t="n">
        <v>45818</v>
      </c>
      <c r="C175" s="11" t="s">
        <v>1500</v>
      </c>
      <c r="D175" s="11" t="s">
        <v>480</v>
      </c>
      <c r="E175" s="11" t="s">
        <v>481</v>
      </c>
      <c r="F175" s="11"/>
      <c r="G175" s="37" t="n">
        <v>-9840</v>
      </c>
      <c r="H175" s="37" t="n">
        <v>234299.46</v>
      </c>
    </row>
    <row r="176" customFormat="false" ht="15" hidden="false" customHeight="false" outlineLevel="0" collapsed="false">
      <c r="A176" s="11" t="s">
        <v>1822</v>
      </c>
      <c r="B176" s="38" t="n">
        <v>45818</v>
      </c>
      <c r="C176" s="11" t="s">
        <v>1496</v>
      </c>
      <c r="D176" s="11" t="s">
        <v>1497</v>
      </c>
      <c r="E176" s="11" t="s">
        <v>280</v>
      </c>
      <c r="F176" s="11" t="s">
        <v>1823</v>
      </c>
      <c r="G176" s="37" t="n">
        <v>13896</v>
      </c>
      <c r="H176" s="37" t="n">
        <v>248195.46</v>
      </c>
    </row>
    <row r="177" customFormat="false" ht="15" hidden="false" customHeight="false" outlineLevel="0" collapsed="false">
      <c r="A177" s="11" t="s">
        <v>1824</v>
      </c>
      <c r="B177" s="38" t="n">
        <v>45818</v>
      </c>
      <c r="C177" s="11" t="s">
        <v>1496</v>
      </c>
      <c r="D177" s="11" t="s">
        <v>1497</v>
      </c>
      <c r="E177" s="11" t="s">
        <v>280</v>
      </c>
      <c r="F177" s="11" t="s">
        <v>1825</v>
      </c>
      <c r="G177" s="37" t="n">
        <v>6468</v>
      </c>
      <c r="H177" s="37" t="n">
        <v>254663.46</v>
      </c>
    </row>
    <row r="178" customFormat="false" ht="15" hidden="false" customHeight="false" outlineLevel="0" collapsed="false">
      <c r="A178" s="11" t="s">
        <v>1826</v>
      </c>
      <c r="B178" s="38" t="n">
        <v>45818</v>
      </c>
      <c r="C178" s="11" t="s">
        <v>1496</v>
      </c>
      <c r="D178" s="11" t="s">
        <v>1497</v>
      </c>
      <c r="E178" s="11" t="s">
        <v>280</v>
      </c>
      <c r="F178" s="11" t="s">
        <v>1827</v>
      </c>
      <c r="G178" s="37" t="n">
        <v>8796</v>
      </c>
      <c r="H178" s="37" t="n">
        <v>263459.46</v>
      </c>
    </row>
    <row r="179" customFormat="false" ht="15" hidden="false" customHeight="false" outlineLevel="0" collapsed="false">
      <c r="A179" s="11" t="s">
        <v>1828</v>
      </c>
      <c r="B179" s="38" t="n">
        <v>45818</v>
      </c>
      <c r="C179" s="11" t="s">
        <v>1496</v>
      </c>
      <c r="D179" s="11" t="s">
        <v>1497</v>
      </c>
      <c r="E179" s="11" t="s">
        <v>287</v>
      </c>
      <c r="F179" s="11" t="s">
        <v>1829</v>
      </c>
      <c r="G179" s="37" t="n">
        <v>2700</v>
      </c>
      <c r="H179" s="37" t="n">
        <v>266159.46</v>
      </c>
    </row>
    <row r="180" customFormat="false" ht="15" hidden="false" customHeight="false" outlineLevel="0" collapsed="false">
      <c r="A180" s="11" t="s">
        <v>1830</v>
      </c>
      <c r="B180" s="38" t="n">
        <v>45818</v>
      </c>
      <c r="C180" s="11" t="s">
        <v>1500</v>
      </c>
      <c r="D180" s="11" t="s">
        <v>272</v>
      </c>
      <c r="E180" s="11" t="s">
        <v>273</v>
      </c>
      <c r="F180" s="11"/>
      <c r="G180" s="37" t="n">
        <v>-3840</v>
      </c>
      <c r="H180" s="37" t="n">
        <v>262319.46</v>
      </c>
    </row>
    <row r="181" customFormat="false" ht="15" hidden="false" customHeight="false" outlineLevel="0" collapsed="false">
      <c r="A181" s="11" t="s">
        <v>1831</v>
      </c>
      <c r="B181" s="38" t="n">
        <v>45819</v>
      </c>
      <c r="C181" s="11" t="s">
        <v>1500</v>
      </c>
      <c r="D181" s="11" t="s">
        <v>291</v>
      </c>
      <c r="E181" s="11" t="s">
        <v>292</v>
      </c>
      <c r="F181" s="11"/>
      <c r="G181" s="37" t="n">
        <v>-5066.61</v>
      </c>
      <c r="H181" s="37" t="n">
        <v>257252.85</v>
      </c>
    </row>
    <row r="182" customFormat="false" ht="15" hidden="false" customHeight="false" outlineLevel="0" collapsed="false">
      <c r="A182" s="11" t="s">
        <v>1832</v>
      </c>
      <c r="B182" s="38" t="n">
        <v>45819</v>
      </c>
      <c r="C182" s="11" t="s">
        <v>1496</v>
      </c>
      <c r="D182" s="11" t="s">
        <v>1497</v>
      </c>
      <c r="E182" s="11" t="s">
        <v>331</v>
      </c>
      <c r="F182" s="11" t="s">
        <v>1833</v>
      </c>
      <c r="G182" s="37" t="n">
        <v>8448</v>
      </c>
      <c r="H182" s="37" t="n">
        <v>265700.85</v>
      </c>
    </row>
    <row r="183" customFormat="false" ht="15" hidden="false" customHeight="false" outlineLevel="0" collapsed="false">
      <c r="A183" s="11" t="s">
        <v>1834</v>
      </c>
      <c r="B183" s="38" t="n">
        <v>45819</v>
      </c>
      <c r="C183" s="11" t="s">
        <v>1496</v>
      </c>
      <c r="D183" s="11" t="s">
        <v>1497</v>
      </c>
      <c r="E183" s="11" t="s">
        <v>327</v>
      </c>
      <c r="F183" s="11" t="s">
        <v>1835</v>
      </c>
      <c r="G183" s="37" t="n">
        <v>11568</v>
      </c>
      <c r="H183" s="37" t="n">
        <v>277268.85</v>
      </c>
    </row>
    <row r="184" customFormat="false" ht="15" hidden="false" customHeight="false" outlineLevel="0" collapsed="false">
      <c r="A184" s="11" t="s">
        <v>1836</v>
      </c>
      <c r="B184" s="38" t="n">
        <v>45820</v>
      </c>
      <c r="C184" s="11" t="s">
        <v>1500</v>
      </c>
      <c r="D184" s="11" t="s">
        <v>307</v>
      </c>
      <c r="E184" s="11" t="s">
        <v>313</v>
      </c>
      <c r="F184" s="11" t="s">
        <v>1837</v>
      </c>
      <c r="G184" s="37" t="n">
        <v>-4594.96</v>
      </c>
      <c r="H184" s="37" t="n">
        <v>272673.89</v>
      </c>
    </row>
    <row r="185" customFormat="false" ht="15" hidden="false" customHeight="false" outlineLevel="0" collapsed="false">
      <c r="A185" s="11" t="s">
        <v>1838</v>
      </c>
      <c r="B185" s="38" t="n">
        <v>45820</v>
      </c>
      <c r="C185" s="11" t="s">
        <v>1496</v>
      </c>
      <c r="D185" s="11" t="s">
        <v>1497</v>
      </c>
      <c r="E185" s="11" t="s">
        <v>280</v>
      </c>
      <c r="F185" s="11" t="s">
        <v>1839</v>
      </c>
      <c r="G185" s="37" t="n">
        <v>3684</v>
      </c>
      <c r="H185" s="37" t="n">
        <v>276357.89</v>
      </c>
    </row>
    <row r="186" customFormat="false" ht="15" hidden="false" customHeight="false" outlineLevel="0" collapsed="false">
      <c r="A186" s="11" t="s">
        <v>1840</v>
      </c>
      <c r="B186" s="38" t="n">
        <v>45820</v>
      </c>
      <c r="C186" s="11" t="s">
        <v>1496</v>
      </c>
      <c r="D186" s="11" t="s">
        <v>1497</v>
      </c>
      <c r="E186" s="11" t="s">
        <v>280</v>
      </c>
      <c r="F186" s="11" t="s">
        <v>1841</v>
      </c>
      <c r="G186" s="37" t="n">
        <v>6408</v>
      </c>
      <c r="H186" s="37" t="n">
        <v>282765.89</v>
      </c>
    </row>
    <row r="187" customFormat="false" ht="15" hidden="false" customHeight="false" outlineLevel="0" collapsed="false">
      <c r="A187" s="11" t="s">
        <v>1842</v>
      </c>
      <c r="B187" s="38" t="n">
        <v>45821</v>
      </c>
      <c r="C187" s="11" t="s">
        <v>1496</v>
      </c>
      <c r="D187" s="11" t="s">
        <v>1497</v>
      </c>
      <c r="E187" s="11" t="s">
        <v>327</v>
      </c>
      <c r="F187" s="11" t="s">
        <v>1843</v>
      </c>
      <c r="G187" s="37" t="n">
        <v>11760</v>
      </c>
      <c r="H187" s="37" t="n">
        <v>294525.89</v>
      </c>
    </row>
    <row r="188" customFormat="false" ht="15" hidden="false" customHeight="false" outlineLevel="0" collapsed="false">
      <c r="A188" s="11" t="s">
        <v>1844</v>
      </c>
      <c r="B188" s="38" t="n">
        <v>45824</v>
      </c>
      <c r="C188" s="11" t="s">
        <v>1496</v>
      </c>
      <c r="D188" s="11" t="s">
        <v>1497</v>
      </c>
      <c r="E188" s="11" t="s">
        <v>280</v>
      </c>
      <c r="F188" s="11" t="s">
        <v>1845</v>
      </c>
      <c r="G188" s="37" t="n">
        <v>3408</v>
      </c>
      <c r="H188" s="37" t="n">
        <v>297933.89</v>
      </c>
    </row>
    <row r="189" customFormat="false" ht="15" hidden="false" customHeight="false" outlineLevel="0" collapsed="false">
      <c r="A189" s="11" t="s">
        <v>1846</v>
      </c>
      <c r="B189" s="38" t="n">
        <v>45824</v>
      </c>
      <c r="C189" s="11" t="s">
        <v>1496</v>
      </c>
      <c r="D189" s="11" t="s">
        <v>1497</v>
      </c>
      <c r="E189" s="11" t="s">
        <v>349</v>
      </c>
      <c r="F189" s="11" t="s">
        <v>1847</v>
      </c>
      <c r="G189" s="37" t="n">
        <v>22128</v>
      </c>
      <c r="H189" s="37" t="n">
        <v>320061.89</v>
      </c>
    </row>
    <row r="190" customFormat="false" ht="15" hidden="false" customHeight="false" outlineLevel="0" collapsed="false">
      <c r="A190" s="11" t="s">
        <v>1848</v>
      </c>
      <c r="B190" s="38" t="n">
        <v>45824</v>
      </c>
      <c r="C190" s="11" t="s">
        <v>1496</v>
      </c>
      <c r="D190" s="11" t="s">
        <v>1497</v>
      </c>
      <c r="E190" s="11" t="s">
        <v>335</v>
      </c>
      <c r="F190" s="11" t="s">
        <v>1849</v>
      </c>
      <c r="G190" s="37" t="n">
        <v>4620</v>
      </c>
      <c r="H190" s="37" t="n">
        <v>324681.89</v>
      </c>
    </row>
    <row r="191" customFormat="false" ht="15" hidden="false" customHeight="false" outlineLevel="0" collapsed="false">
      <c r="A191" s="11" t="s">
        <v>1850</v>
      </c>
      <c r="B191" s="38" t="n">
        <v>45824</v>
      </c>
      <c r="C191" s="11" t="s">
        <v>1500</v>
      </c>
      <c r="D191" s="11" t="s">
        <v>722</v>
      </c>
      <c r="E191" s="11" t="s">
        <v>384</v>
      </c>
      <c r="F191" s="11"/>
      <c r="G191" s="37" t="n">
        <v>-21000</v>
      </c>
      <c r="H191" s="37" t="n">
        <v>303681.89</v>
      </c>
    </row>
    <row r="192" customFormat="false" ht="15" hidden="false" customHeight="false" outlineLevel="0" collapsed="false">
      <c r="A192" s="11" t="s">
        <v>1851</v>
      </c>
      <c r="B192" s="38" t="n">
        <v>45824</v>
      </c>
      <c r="C192" s="11" t="s">
        <v>1496</v>
      </c>
      <c r="D192" s="11" t="s">
        <v>1497</v>
      </c>
      <c r="E192" s="11" t="s">
        <v>280</v>
      </c>
      <c r="F192" s="11" t="s">
        <v>1852</v>
      </c>
      <c r="G192" s="37" t="n">
        <v>7812</v>
      </c>
      <c r="H192" s="37" t="n">
        <v>311493.89</v>
      </c>
    </row>
    <row r="193" customFormat="false" ht="15" hidden="false" customHeight="false" outlineLevel="0" collapsed="false">
      <c r="A193" s="11" t="s">
        <v>1853</v>
      </c>
      <c r="B193" s="38" t="n">
        <v>45824</v>
      </c>
      <c r="C193" s="11" t="s">
        <v>1496</v>
      </c>
      <c r="D193" s="11" t="s">
        <v>1497</v>
      </c>
      <c r="E193" s="11" t="s">
        <v>331</v>
      </c>
      <c r="F193" s="11" t="s">
        <v>1854</v>
      </c>
      <c r="G193" s="37" t="n">
        <v>27984</v>
      </c>
      <c r="H193" s="37" t="n">
        <v>339477.89</v>
      </c>
    </row>
    <row r="194" customFormat="false" ht="15" hidden="false" customHeight="false" outlineLevel="0" collapsed="false">
      <c r="A194" s="11" t="s">
        <v>1855</v>
      </c>
      <c r="B194" s="38" t="n">
        <v>45824</v>
      </c>
      <c r="C194" s="11" t="s">
        <v>1496</v>
      </c>
      <c r="D194" s="11" t="s">
        <v>1497</v>
      </c>
      <c r="E194" s="11" t="s">
        <v>323</v>
      </c>
      <c r="F194" s="11" t="s">
        <v>1856</v>
      </c>
      <c r="G194" s="37" t="n">
        <v>16584</v>
      </c>
      <c r="H194" s="37" t="n">
        <v>356061.89</v>
      </c>
    </row>
    <row r="195" customFormat="false" ht="15" hidden="false" customHeight="false" outlineLevel="0" collapsed="false">
      <c r="A195" s="11" t="s">
        <v>1857</v>
      </c>
      <c r="B195" s="38" t="n">
        <v>45824</v>
      </c>
      <c r="C195" s="11" t="s">
        <v>1496</v>
      </c>
      <c r="D195" s="11" t="s">
        <v>1497</v>
      </c>
      <c r="E195" s="11" t="s">
        <v>392</v>
      </c>
      <c r="F195" s="11" t="s">
        <v>1858</v>
      </c>
      <c r="G195" s="37" t="n">
        <v>16908</v>
      </c>
      <c r="H195" s="37" t="n">
        <v>372969.89</v>
      </c>
    </row>
    <row r="196" customFormat="false" ht="15" hidden="false" customHeight="false" outlineLevel="0" collapsed="false">
      <c r="A196" s="11" t="s">
        <v>1859</v>
      </c>
      <c r="B196" s="38" t="n">
        <v>45824</v>
      </c>
      <c r="C196" s="11" t="s">
        <v>1496</v>
      </c>
      <c r="D196" s="11" t="s">
        <v>1497</v>
      </c>
      <c r="E196" s="11" t="s">
        <v>280</v>
      </c>
      <c r="F196" s="11" t="s">
        <v>1860</v>
      </c>
      <c r="G196" s="37" t="n">
        <v>3804</v>
      </c>
      <c r="H196" s="37" t="n">
        <v>376773.89</v>
      </c>
    </row>
    <row r="197" customFormat="false" ht="15" hidden="false" customHeight="false" outlineLevel="0" collapsed="false">
      <c r="A197" s="11" t="s">
        <v>1861</v>
      </c>
      <c r="B197" s="38" t="n">
        <v>45824</v>
      </c>
      <c r="C197" s="11" t="s">
        <v>1496</v>
      </c>
      <c r="D197" s="11" t="s">
        <v>1497</v>
      </c>
      <c r="E197" s="11" t="s">
        <v>349</v>
      </c>
      <c r="F197" s="11" t="s">
        <v>1862</v>
      </c>
      <c r="G197" s="37" t="n">
        <v>10428</v>
      </c>
      <c r="H197" s="37" t="n">
        <v>387201.89</v>
      </c>
    </row>
    <row r="198" customFormat="false" ht="15" hidden="false" customHeight="false" outlineLevel="0" collapsed="false">
      <c r="A198" s="11" t="s">
        <v>1863</v>
      </c>
      <c r="B198" s="38" t="n">
        <v>45824</v>
      </c>
      <c r="C198" s="11" t="s">
        <v>1500</v>
      </c>
      <c r="D198" s="11" t="s">
        <v>317</v>
      </c>
      <c r="E198" s="11" t="s">
        <v>318</v>
      </c>
      <c r="F198" s="11"/>
      <c r="G198" s="37" t="n">
        <v>-82000</v>
      </c>
      <c r="H198" s="37" t="n">
        <v>305201.89</v>
      </c>
    </row>
    <row r="199" customFormat="false" ht="15" hidden="false" customHeight="false" outlineLevel="0" collapsed="false">
      <c r="A199" s="11" t="s">
        <v>1864</v>
      </c>
      <c r="B199" s="38" t="n">
        <v>45825</v>
      </c>
      <c r="C199" s="11" t="s">
        <v>1496</v>
      </c>
      <c r="D199" s="11" t="s">
        <v>1497</v>
      </c>
      <c r="E199" s="11" t="s">
        <v>392</v>
      </c>
      <c r="F199" s="11" t="s">
        <v>1865</v>
      </c>
      <c r="G199" s="37" t="n">
        <v>14304</v>
      </c>
      <c r="H199" s="37" t="n">
        <v>319505.89</v>
      </c>
    </row>
    <row r="200" customFormat="false" ht="15" hidden="false" customHeight="false" outlineLevel="0" collapsed="false">
      <c r="A200" s="11" t="s">
        <v>1866</v>
      </c>
      <c r="B200" s="38" t="n">
        <v>45826</v>
      </c>
      <c r="C200" s="11" t="s">
        <v>1496</v>
      </c>
      <c r="D200" s="11" t="s">
        <v>1497</v>
      </c>
      <c r="E200" s="11" t="s">
        <v>331</v>
      </c>
      <c r="F200" s="11" t="s">
        <v>1867</v>
      </c>
      <c r="G200" s="37" t="n">
        <v>8340</v>
      </c>
      <c r="H200" s="37" t="n">
        <v>327845.89</v>
      </c>
    </row>
    <row r="201" customFormat="false" ht="15" hidden="false" customHeight="false" outlineLevel="0" collapsed="false">
      <c r="A201" s="11" t="s">
        <v>1868</v>
      </c>
      <c r="B201" s="38" t="n">
        <v>45826</v>
      </c>
      <c r="C201" s="11" t="s">
        <v>1500</v>
      </c>
      <c r="D201" s="11" t="s">
        <v>291</v>
      </c>
      <c r="E201" s="11" t="s">
        <v>292</v>
      </c>
      <c r="F201" s="11"/>
      <c r="G201" s="37" t="n">
        <v>-4088.81</v>
      </c>
      <c r="H201" s="37" t="n">
        <v>323757.08</v>
      </c>
    </row>
    <row r="202" customFormat="false" ht="15" hidden="false" customHeight="false" outlineLevel="0" collapsed="false">
      <c r="A202" s="11" t="s">
        <v>1869</v>
      </c>
      <c r="B202" s="38" t="n">
        <v>45827</v>
      </c>
      <c r="C202" s="11" t="s">
        <v>1500</v>
      </c>
      <c r="D202" s="11" t="s">
        <v>307</v>
      </c>
      <c r="E202" s="11" t="s">
        <v>313</v>
      </c>
      <c r="F202" s="11" t="s">
        <v>1870</v>
      </c>
      <c r="G202" s="37" t="n">
        <v>-5354.69</v>
      </c>
      <c r="H202" s="37" t="n">
        <v>318402.39</v>
      </c>
    </row>
    <row r="203" customFormat="false" ht="15" hidden="false" customHeight="false" outlineLevel="0" collapsed="false">
      <c r="A203" s="11" t="s">
        <v>1871</v>
      </c>
      <c r="B203" s="38" t="n">
        <v>45827</v>
      </c>
      <c r="C203" s="11" t="s">
        <v>1496</v>
      </c>
      <c r="D203" s="11" t="s">
        <v>1497</v>
      </c>
      <c r="E203" s="11" t="s">
        <v>280</v>
      </c>
      <c r="F203" s="11" t="s">
        <v>1872</v>
      </c>
      <c r="G203" s="37" t="n">
        <v>6444</v>
      </c>
      <c r="H203" s="37" t="n">
        <v>324846.39</v>
      </c>
    </row>
    <row r="204" customFormat="false" ht="15" hidden="false" customHeight="false" outlineLevel="0" collapsed="false">
      <c r="A204" s="11" t="s">
        <v>1873</v>
      </c>
      <c r="B204" s="38" t="n">
        <v>45827</v>
      </c>
      <c r="C204" s="11" t="s">
        <v>1500</v>
      </c>
      <c r="D204" s="11" t="s">
        <v>307</v>
      </c>
      <c r="E204" s="11" t="s">
        <v>308</v>
      </c>
      <c r="F204" s="11" t="s">
        <v>1874</v>
      </c>
      <c r="G204" s="37" t="n">
        <v>-35391.46</v>
      </c>
      <c r="H204" s="37" t="n">
        <v>289454.93</v>
      </c>
    </row>
    <row r="205" customFormat="false" ht="15" hidden="false" customHeight="false" outlineLevel="0" collapsed="false">
      <c r="A205" s="11" t="s">
        <v>1875</v>
      </c>
      <c r="B205" s="38" t="n">
        <v>45831</v>
      </c>
      <c r="C205" s="11" t="s">
        <v>1496</v>
      </c>
      <c r="D205" s="11" t="s">
        <v>1497</v>
      </c>
      <c r="E205" s="11" t="s">
        <v>298</v>
      </c>
      <c r="F205" s="11" t="s">
        <v>1876</v>
      </c>
      <c r="G205" s="37" t="n">
        <v>15390</v>
      </c>
      <c r="H205" s="37" t="n">
        <v>304844.93</v>
      </c>
    </row>
    <row r="206" customFormat="false" ht="15" hidden="false" customHeight="false" outlineLevel="0" collapsed="false">
      <c r="A206" s="11" t="s">
        <v>1877</v>
      </c>
      <c r="B206" s="38" t="n">
        <v>45831</v>
      </c>
      <c r="C206" s="11" t="s">
        <v>1496</v>
      </c>
      <c r="D206" s="11" t="s">
        <v>1497</v>
      </c>
      <c r="E206" s="11" t="s">
        <v>349</v>
      </c>
      <c r="F206" s="11" t="s">
        <v>1878</v>
      </c>
      <c r="G206" s="37" t="n">
        <v>16200</v>
      </c>
      <c r="H206" s="37" t="n">
        <v>321044.93</v>
      </c>
    </row>
    <row r="207" customFormat="false" ht="15" hidden="false" customHeight="false" outlineLevel="0" collapsed="false">
      <c r="A207" s="11" t="s">
        <v>1879</v>
      </c>
      <c r="B207" s="38" t="n">
        <v>45831</v>
      </c>
      <c r="C207" s="11" t="s">
        <v>1496</v>
      </c>
      <c r="D207" s="11" t="s">
        <v>1497</v>
      </c>
      <c r="E207" s="11" t="s">
        <v>331</v>
      </c>
      <c r="F207" s="11" t="s">
        <v>1880</v>
      </c>
      <c r="G207" s="37" t="n">
        <v>12108</v>
      </c>
      <c r="H207" s="37" t="n">
        <v>333152.93</v>
      </c>
    </row>
    <row r="208" customFormat="false" ht="15" hidden="false" customHeight="false" outlineLevel="0" collapsed="false">
      <c r="A208" s="11" t="s">
        <v>1881</v>
      </c>
      <c r="B208" s="38" t="n">
        <v>45831</v>
      </c>
      <c r="C208" s="11" t="s">
        <v>1496</v>
      </c>
      <c r="D208" s="11" t="s">
        <v>1497</v>
      </c>
      <c r="E208" s="11" t="s">
        <v>287</v>
      </c>
      <c r="F208" s="11" t="s">
        <v>1882</v>
      </c>
      <c r="G208" s="37" t="n">
        <v>2568</v>
      </c>
      <c r="H208" s="37" t="n">
        <v>335720.93</v>
      </c>
    </row>
    <row r="209" customFormat="false" ht="15" hidden="false" customHeight="false" outlineLevel="0" collapsed="false">
      <c r="A209" s="11" t="s">
        <v>1883</v>
      </c>
      <c r="B209" s="38" t="n">
        <v>45831</v>
      </c>
      <c r="C209" s="11" t="s">
        <v>1496</v>
      </c>
      <c r="D209" s="11" t="s">
        <v>1497</v>
      </c>
      <c r="E209" s="11" t="s">
        <v>399</v>
      </c>
      <c r="F209" s="11" t="s">
        <v>1884</v>
      </c>
      <c r="G209" s="37" t="n">
        <v>15828</v>
      </c>
      <c r="H209" s="37" t="n">
        <v>351548.93</v>
      </c>
    </row>
    <row r="210" customFormat="false" ht="15" hidden="false" customHeight="false" outlineLevel="0" collapsed="false">
      <c r="A210" s="11" t="s">
        <v>1885</v>
      </c>
      <c r="B210" s="38" t="n">
        <v>45831</v>
      </c>
      <c r="C210" s="11" t="s">
        <v>1496</v>
      </c>
      <c r="D210" s="11" t="s">
        <v>1497</v>
      </c>
      <c r="E210" s="11" t="s">
        <v>392</v>
      </c>
      <c r="F210" s="11" t="s">
        <v>1886</v>
      </c>
      <c r="G210" s="37" t="n">
        <v>14016</v>
      </c>
      <c r="H210" s="37" t="n">
        <v>365564.93</v>
      </c>
    </row>
    <row r="211" customFormat="false" ht="15" hidden="false" customHeight="false" outlineLevel="0" collapsed="false">
      <c r="A211" s="11" t="s">
        <v>1887</v>
      </c>
      <c r="B211" s="38" t="n">
        <v>45831</v>
      </c>
      <c r="C211" s="11" t="s">
        <v>1496</v>
      </c>
      <c r="D211" s="11" t="s">
        <v>1497</v>
      </c>
      <c r="E211" s="11" t="s">
        <v>335</v>
      </c>
      <c r="F211" s="11" t="s">
        <v>1888</v>
      </c>
      <c r="G211" s="37" t="n">
        <v>3396</v>
      </c>
      <c r="H211" s="37" t="n">
        <v>368960.93</v>
      </c>
    </row>
    <row r="212" customFormat="false" ht="15" hidden="false" customHeight="false" outlineLevel="0" collapsed="false">
      <c r="A212" s="11" t="s">
        <v>1889</v>
      </c>
      <c r="B212" s="38" t="n">
        <v>45831</v>
      </c>
      <c r="C212" s="11" t="s">
        <v>1496</v>
      </c>
      <c r="D212" s="11" t="s">
        <v>1497</v>
      </c>
      <c r="E212" s="11" t="s">
        <v>280</v>
      </c>
      <c r="F212" s="11" t="s">
        <v>1890</v>
      </c>
      <c r="G212" s="37" t="n">
        <v>8856</v>
      </c>
      <c r="H212" s="37" t="n">
        <v>377816.93</v>
      </c>
    </row>
    <row r="213" customFormat="false" ht="15" hidden="false" customHeight="false" outlineLevel="0" collapsed="false">
      <c r="A213" s="11" t="s">
        <v>1891</v>
      </c>
      <c r="B213" s="38" t="n">
        <v>45831</v>
      </c>
      <c r="C213" s="11" t="s">
        <v>1496</v>
      </c>
      <c r="D213" s="11" t="s">
        <v>1497</v>
      </c>
      <c r="E213" s="11" t="s">
        <v>280</v>
      </c>
      <c r="F213" s="11" t="s">
        <v>1892</v>
      </c>
      <c r="G213" s="37" t="n">
        <v>7776</v>
      </c>
      <c r="H213" s="37" t="n">
        <v>385592.93</v>
      </c>
    </row>
    <row r="214" customFormat="false" ht="15" hidden="false" customHeight="false" outlineLevel="0" collapsed="false">
      <c r="A214" s="11" t="s">
        <v>1893</v>
      </c>
      <c r="B214" s="38" t="n">
        <v>45832</v>
      </c>
      <c r="C214" s="11" t="s">
        <v>1496</v>
      </c>
      <c r="D214" s="11" t="s">
        <v>1497</v>
      </c>
      <c r="E214" s="11" t="s">
        <v>287</v>
      </c>
      <c r="F214" s="11" t="s">
        <v>1894</v>
      </c>
      <c r="G214" s="37" t="n">
        <v>5112</v>
      </c>
      <c r="H214" s="37" t="n">
        <v>390704.93</v>
      </c>
    </row>
    <row r="215" customFormat="false" ht="15" hidden="false" customHeight="false" outlineLevel="0" collapsed="false">
      <c r="A215" s="11" t="s">
        <v>1895</v>
      </c>
      <c r="B215" s="38" t="n">
        <v>45832</v>
      </c>
      <c r="C215" s="11" t="s">
        <v>1500</v>
      </c>
      <c r="D215" s="11" t="s">
        <v>383</v>
      </c>
      <c r="E215" s="11" t="s">
        <v>384</v>
      </c>
      <c r="F215" s="11" t="s">
        <v>1896</v>
      </c>
      <c r="G215" s="37" t="n">
        <v>-80223.4</v>
      </c>
      <c r="H215" s="37" t="n">
        <v>310481.53</v>
      </c>
    </row>
    <row r="216" customFormat="false" ht="15" hidden="false" customHeight="false" outlineLevel="0" collapsed="false">
      <c r="A216" s="11" t="s">
        <v>1897</v>
      </c>
      <c r="B216" s="38" t="n">
        <v>45833</v>
      </c>
      <c r="C216" s="11" t="s">
        <v>1500</v>
      </c>
      <c r="D216" s="11" t="s">
        <v>291</v>
      </c>
      <c r="E216" s="11" t="s">
        <v>292</v>
      </c>
      <c r="F216" s="11"/>
      <c r="G216" s="37" t="n">
        <v>-4884.58</v>
      </c>
      <c r="H216" s="37" t="n">
        <v>305596.95</v>
      </c>
    </row>
    <row r="217" customFormat="false" ht="15" hidden="false" customHeight="false" outlineLevel="0" collapsed="false">
      <c r="A217" s="11" t="s">
        <v>1898</v>
      </c>
      <c r="B217" s="38" t="n">
        <v>45834</v>
      </c>
      <c r="C217" s="11" t="s">
        <v>1500</v>
      </c>
      <c r="D217" s="11" t="s">
        <v>307</v>
      </c>
      <c r="E217" s="11" t="s">
        <v>414</v>
      </c>
      <c r="F217" s="11" t="s">
        <v>1899</v>
      </c>
      <c r="G217" s="37" t="n">
        <v>-16361.93</v>
      </c>
      <c r="H217" s="37" t="n">
        <v>289235.02</v>
      </c>
    </row>
    <row r="218" customFormat="false" ht="15" hidden="false" customHeight="false" outlineLevel="0" collapsed="false">
      <c r="A218" s="11" t="s">
        <v>1900</v>
      </c>
      <c r="B218" s="38" t="n">
        <v>45834</v>
      </c>
      <c r="C218" s="11" t="s">
        <v>1496</v>
      </c>
      <c r="D218" s="11" t="s">
        <v>1497</v>
      </c>
      <c r="E218" s="11" t="s">
        <v>349</v>
      </c>
      <c r="F218" s="11" t="s">
        <v>1901</v>
      </c>
      <c r="G218" s="37" t="n">
        <v>10044</v>
      </c>
      <c r="H218" s="37" t="n">
        <v>299279.02</v>
      </c>
    </row>
    <row r="219" customFormat="false" ht="15" hidden="false" customHeight="false" outlineLevel="0" collapsed="false">
      <c r="A219" s="11" t="s">
        <v>1902</v>
      </c>
      <c r="B219" s="38" t="n">
        <v>45834</v>
      </c>
      <c r="C219" s="11" t="s">
        <v>1496</v>
      </c>
      <c r="D219" s="11" t="s">
        <v>1497</v>
      </c>
      <c r="E219" s="11" t="s">
        <v>349</v>
      </c>
      <c r="F219" s="11" t="s">
        <v>1903</v>
      </c>
      <c r="G219" s="37" t="n">
        <v>17916</v>
      </c>
      <c r="H219" s="37" t="n">
        <v>317195.02</v>
      </c>
    </row>
    <row r="220" customFormat="false" ht="15" hidden="false" customHeight="false" outlineLevel="0" collapsed="false">
      <c r="A220" s="11" t="s">
        <v>1904</v>
      </c>
      <c r="B220" s="38" t="n">
        <v>45834</v>
      </c>
      <c r="C220" s="11" t="s">
        <v>1500</v>
      </c>
      <c r="D220" s="11" t="s">
        <v>307</v>
      </c>
      <c r="E220" s="11" t="s">
        <v>313</v>
      </c>
      <c r="F220" s="11" t="s">
        <v>1905</v>
      </c>
      <c r="G220" s="37" t="n">
        <v>-4056.12</v>
      </c>
      <c r="H220" s="37" t="n">
        <v>313138.9</v>
      </c>
    </row>
    <row r="221" customFormat="false" ht="15" hidden="false" customHeight="false" outlineLevel="0" collapsed="false">
      <c r="A221" s="11" t="s">
        <v>1906</v>
      </c>
      <c r="B221" s="38" t="n">
        <v>45835</v>
      </c>
      <c r="C221" s="11" t="s">
        <v>1496</v>
      </c>
      <c r="D221" s="11" t="s">
        <v>1497</v>
      </c>
      <c r="E221" s="11" t="s">
        <v>331</v>
      </c>
      <c r="F221" s="11" t="s">
        <v>1907</v>
      </c>
      <c r="G221" s="37" t="n">
        <v>17460</v>
      </c>
      <c r="H221" s="37" t="n">
        <v>330598.9</v>
      </c>
    </row>
    <row r="222" customFormat="false" ht="15" hidden="false" customHeight="false" outlineLevel="0" collapsed="false">
      <c r="A222" s="11" t="s">
        <v>1908</v>
      </c>
      <c r="B222" s="38" t="n">
        <v>45835</v>
      </c>
      <c r="C222" s="11" t="s">
        <v>1500</v>
      </c>
      <c r="D222" s="11" t="s">
        <v>1909</v>
      </c>
      <c r="E222" s="11" t="s">
        <v>1910</v>
      </c>
      <c r="F222" s="11"/>
      <c r="G222" s="37" t="n">
        <v>-90000</v>
      </c>
      <c r="H222" s="37" t="n">
        <v>240598.9</v>
      </c>
    </row>
    <row r="223" customFormat="false" ht="15" hidden="false" customHeight="false" outlineLevel="0" collapsed="false">
      <c r="A223" s="11" t="s">
        <v>1911</v>
      </c>
      <c r="B223" s="38" t="n">
        <v>45838</v>
      </c>
      <c r="C223" s="11" t="s">
        <v>1500</v>
      </c>
      <c r="D223" s="11" t="s">
        <v>1634</v>
      </c>
      <c r="E223" s="11" t="s">
        <v>425</v>
      </c>
      <c r="F223" s="11"/>
      <c r="G223" s="37" t="n">
        <v>-101500</v>
      </c>
      <c r="H223" s="37" t="n">
        <v>139098.9</v>
      </c>
    </row>
    <row r="224" customFormat="false" ht="15" hidden="false" customHeight="false" outlineLevel="0" collapsed="false">
      <c r="A224" s="11" t="s">
        <v>1912</v>
      </c>
      <c r="B224" s="38" t="n">
        <v>45838</v>
      </c>
      <c r="C224" s="11" t="s">
        <v>1496</v>
      </c>
      <c r="D224" s="11" t="s">
        <v>1497</v>
      </c>
      <c r="E224" s="11" t="s">
        <v>335</v>
      </c>
      <c r="F224" s="11" t="s">
        <v>1913</v>
      </c>
      <c r="G224" s="37" t="n">
        <v>5376</v>
      </c>
      <c r="H224" s="37" t="n">
        <v>144474.9</v>
      </c>
    </row>
    <row r="225" customFormat="false" ht="15" hidden="false" customHeight="false" outlineLevel="0" collapsed="false">
      <c r="A225" s="11" t="s">
        <v>1914</v>
      </c>
      <c r="B225" s="38" t="n">
        <v>45838</v>
      </c>
      <c r="C225" s="11" t="s">
        <v>1496</v>
      </c>
      <c r="D225" s="11" t="s">
        <v>1497</v>
      </c>
      <c r="E225" s="11" t="s">
        <v>399</v>
      </c>
      <c r="F225" s="11" t="s">
        <v>1915</v>
      </c>
      <c r="G225" s="37" t="n">
        <v>19572</v>
      </c>
      <c r="H225" s="37" t="n">
        <v>164046.9</v>
      </c>
    </row>
    <row r="226" customFormat="false" ht="15" hidden="false" customHeight="false" outlineLevel="0" collapsed="false">
      <c r="A226" s="11" t="s">
        <v>1916</v>
      </c>
      <c r="B226" s="38" t="n">
        <v>45839</v>
      </c>
      <c r="C226" s="11" t="s">
        <v>1500</v>
      </c>
      <c r="D226" s="11" t="s">
        <v>1501</v>
      </c>
      <c r="E226" s="11" t="s">
        <v>853</v>
      </c>
      <c r="F226" s="11"/>
      <c r="G226" s="37" t="n">
        <v>-7800</v>
      </c>
      <c r="H226" s="37" t="n">
        <v>156246.9</v>
      </c>
    </row>
    <row r="227" customFormat="false" ht="15" hidden="false" customHeight="false" outlineLevel="0" collapsed="false">
      <c r="A227" s="11" t="s">
        <v>1917</v>
      </c>
      <c r="B227" s="38" t="n">
        <v>45839</v>
      </c>
      <c r="C227" s="11" t="s">
        <v>1500</v>
      </c>
      <c r="D227" s="11" t="s">
        <v>1503</v>
      </c>
      <c r="E227" s="11" t="s">
        <v>847</v>
      </c>
      <c r="F227" s="11"/>
      <c r="G227" s="37" t="n">
        <v>-23400</v>
      </c>
      <c r="H227" s="37" t="n">
        <v>132846.9</v>
      </c>
    </row>
    <row r="228" customFormat="false" ht="15" hidden="false" customHeight="false" outlineLevel="0" collapsed="false">
      <c r="A228" s="11" t="s">
        <v>1918</v>
      </c>
      <c r="B228" s="38" t="n">
        <v>45839</v>
      </c>
      <c r="C228" s="11" t="s">
        <v>1496</v>
      </c>
      <c r="D228" s="11" t="s">
        <v>1497</v>
      </c>
      <c r="E228" s="11" t="s">
        <v>349</v>
      </c>
      <c r="F228" s="11" t="s">
        <v>1919</v>
      </c>
      <c r="G228" s="37" t="n">
        <v>10548</v>
      </c>
      <c r="H228" s="37" t="n">
        <v>143394.9</v>
      </c>
    </row>
    <row r="229" customFormat="false" ht="15" hidden="false" customHeight="false" outlineLevel="0" collapsed="false">
      <c r="A229" s="11" t="s">
        <v>1920</v>
      </c>
      <c r="B229" s="38" t="n">
        <v>45840</v>
      </c>
      <c r="C229" s="11" t="s">
        <v>1500</v>
      </c>
      <c r="D229" s="11" t="s">
        <v>291</v>
      </c>
      <c r="E229" s="11" t="s">
        <v>292</v>
      </c>
      <c r="F229" s="11"/>
      <c r="G229" s="37" t="n">
        <v>-5081.77</v>
      </c>
      <c r="H229" s="37" t="n">
        <v>138313.13</v>
      </c>
    </row>
    <row r="230" customFormat="false" ht="15" hidden="false" customHeight="false" outlineLevel="0" collapsed="false">
      <c r="A230" s="11" t="s">
        <v>1921</v>
      </c>
      <c r="B230" s="38" t="n">
        <v>45840</v>
      </c>
      <c r="C230" s="11" t="s">
        <v>1496</v>
      </c>
      <c r="D230" s="11" t="s">
        <v>1497</v>
      </c>
      <c r="E230" s="11" t="s">
        <v>349</v>
      </c>
      <c r="F230" s="11" t="s">
        <v>1922</v>
      </c>
      <c r="G230" s="37" t="n">
        <v>16212</v>
      </c>
      <c r="H230" s="37" t="n">
        <v>154525.13</v>
      </c>
    </row>
    <row r="231" customFormat="false" ht="15" hidden="false" customHeight="false" outlineLevel="0" collapsed="false">
      <c r="A231" s="11" t="s">
        <v>1923</v>
      </c>
      <c r="B231" s="38" t="n">
        <v>45840</v>
      </c>
      <c r="C231" s="11" t="s">
        <v>1496</v>
      </c>
      <c r="D231" s="11" t="s">
        <v>1497</v>
      </c>
      <c r="E231" s="11" t="s">
        <v>331</v>
      </c>
      <c r="F231" s="11" t="s">
        <v>1924</v>
      </c>
      <c r="G231" s="37" t="n">
        <v>5388</v>
      </c>
      <c r="H231" s="37" t="n">
        <v>159913.13</v>
      </c>
    </row>
    <row r="232" customFormat="false" ht="15" hidden="false" customHeight="false" outlineLevel="0" collapsed="false">
      <c r="A232" s="11" t="s">
        <v>1925</v>
      </c>
      <c r="B232" s="38" t="n">
        <v>45841</v>
      </c>
      <c r="C232" s="11" t="s">
        <v>1500</v>
      </c>
      <c r="D232" s="11" t="s">
        <v>448</v>
      </c>
      <c r="E232" s="11" t="s">
        <v>449</v>
      </c>
      <c r="F232" s="11"/>
      <c r="G232" s="37" t="n">
        <v>-2880</v>
      </c>
      <c r="H232" s="37" t="n">
        <v>157033.13</v>
      </c>
    </row>
    <row r="233" customFormat="false" ht="15" hidden="false" customHeight="false" outlineLevel="0" collapsed="false">
      <c r="A233" s="11" t="s">
        <v>1926</v>
      </c>
      <c r="B233" s="38" t="n">
        <v>45841</v>
      </c>
      <c r="C233" s="11" t="s">
        <v>1500</v>
      </c>
      <c r="D233" s="11" t="s">
        <v>307</v>
      </c>
      <c r="E233" s="11" t="s">
        <v>308</v>
      </c>
      <c r="F233" s="11" t="s">
        <v>1927</v>
      </c>
      <c r="G233" s="37" t="n">
        <v>-32328.66</v>
      </c>
      <c r="H233" s="37" t="n">
        <v>124704.47</v>
      </c>
    </row>
    <row r="234" customFormat="false" ht="15" hidden="false" customHeight="false" outlineLevel="0" collapsed="false">
      <c r="A234" s="11" t="s">
        <v>1928</v>
      </c>
      <c r="B234" s="38" t="n">
        <v>45841</v>
      </c>
      <c r="C234" s="11" t="s">
        <v>1496</v>
      </c>
      <c r="D234" s="11" t="s">
        <v>1497</v>
      </c>
      <c r="E234" s="11" t="s">
        <v>298</v>
      </c>
      <c r="F234" s="11" t="s">
        <v>1929</v>
      </c>
      <c r="G234" s="37" t="n">
        <v>6340</v>
      </c>
      <c r="H234" s="37" t="n">
        <v>131044.47</v>
      </c>
    </row>
    <row r="235" customFormat="false" ht="15" hidden="false" customHeight="false" outlineLevel="0" collapsed="false">
      <c r="A235" s="11" t="s">
        <v>1930</v>
      </c>
      <c r="B235" s="38" t="n">
        <v>45841</v>
      </c>
      <c r="C235" s="11" t="s">
        <v>1500</v>
      </c>
      <c r="D235" s="11" t="s">
        <v>307</v>
      </c>
      <c r="E235" s="11" t="s">
        <v>420</v>
      </c>
      <c r="F235" s="11" t="s">
        <v>1931</v>
      </c>
      <c r="G235" s="37" t="n">
        <v>-96286.4</v>
      </c>
      <c r="H235" s="37" t="n">
        <v>34758.07</v>
      </c>
    </row>
    <row r="236" customFormat="false" ht="15" hidden="false" customHeight="false" outlineLevel="0" collapsed="false">
      <c r="A236" s="11" t="s">
        <v>1932</v>
      </c>
      <c r="B236" s="38" t="n">
        <v>45841</v>
      </c>
      <c r="C236" s="11" t="s">
        <v>1496</v>
      </c>
      <c r="D236" s="11" t="s">
        <v>1497</v>
      </c>
      <c r="E236" s="11" t="s">
        <v>335</v>
      </c>
      <c r="F236" s="11" t="s">
        <v>1933</v>
      </c>
      <c r="G236" s="37" t="n">
        <v>7188</v>
      </c>
      <c r="H236" s="37" t="n">
        <v>41946.07</v>
      </c>
    </row>
    <row r="237" customFormat="false" ht="15" hidden="false" customHeight="false" outlineLevel="0" collapsed="false">
      <c r="A237" s="11" t="s">
        <v>1934</v>
      </c>
      <c r="B237" s="38" t="n">
        <v>45842</v>
      </c>
      <c r="C237" s="11" t="s">
        <v>1496</v>
      </c>
      <c r="D237" s="11" t="s">
        <v>1497</v>
      </c>
      <c r="E237" s="11" t="s">
        <v>298</v>
      </c>
      <c r="F237" s="11" t="s">
        <v>1935</v>
      </c>
      <c r="G237" s="37" t="n">
        <v>12330</v>
      </c>
      <c r="H237" s="37" t="n">
        <v>54276.07</v>
      </c>
    </row>
    <row r="238" customFormat="false" ht="15" hidden="false" customHeight="false" outlineLevel="0" collapsed="false">
      <c r="A238" s="11" t="s">
        <v>1936</v>
      </c>
      <c r="B238" s="38" t="n">
        <v>45842</v>
      </c>
      <c r="C238" s="11" t="s">
        <v>1496</v>
      </c>
      <c r="D238" s="11" t="s">
        <v>1497</v>
      </c>
      <c r="E238" s="11" t="s">
        <v>287</v>
      </c>
      <c r="F238" s="11" t="s">
        <v>1937</v>
      </c>
      <c r="G238" s="37" t="n">
        <v>6660</v>
      </c>
      <c r="H238" s="37" t="n">
        <v>60936.07</v>
      </c>
    </row>
    <row r="239" customFormat="false" ht="15" hidden="false" customHeight="false" outlineLevel="0" collapsed="false">
      <c r="A239" s="11" t="s">
        <v>1938</v>
      </c>
      <c r="B239" s="38" t="n">
        <v>45842</v>
      </c>
      <c r="C239" s="11" t="s">
        <v>1496</v>
      </c>
      <c r="D239" s="11" t="s">
        <v>1497</v>
      </c>
      <c r="E239" s="11" t="s">
        <v>280</v>
      </c>
      <c r="F239" s="11" t="s">
        <v>1939</v>
      </c>
      <c r="G239" s="37" t="n">
        <v>4116</v>
      </c>
      <c r="H239" s="37" t="n">
        <v>65052.07</v>
      </c>
    </row>
    <row r="240" customFormat="false" ht="15" hidden="false" customHeight="false" outlineLevel="0" collapsed="false">
      <c r="A240" s="11" t="s">
        <v>1940</v>
      </c>
      <c r="B240" s="38" t="n">
        <v>45845</v>
      </c>
      <c r="C240" s="11" t="s">
        <v>1496</v>
      </c>
      <c r="D240" s="11" t="s">
        <v>1497</v>
      </c>
      <c r="E240" s="11" t="s">
        <v>280</v>
      </c>
      <c r="F240" s="11" t="s">
        <v>1941</v>
      </c>
      <c r="G240" s="37" t="n">
        <v>5460</v>
      </c>
      <c r="H240" s="37" t="n">
        <v>70512.07</v>
      </c>
    </row>
    <row r="241" customFormat="false" ht="15" hidden="false" customHeight="false" outlineLevel="0" collapsed="false">
      <c r="A241" s="11" t="s">
        <v>1942</v>
      </c>
      <c r="B241" s="38" t="n">
        <v>45845</v>
      </c>
      <c r="C241" s="11" t="s">
        <v>1496</v>
      </c>
      <c r="D241" s="11" t="s">
        <v>1497</v>
      </c>
      <c r="E241" s="11" t="s">
        <v>280</v>
      </c>
      <c r="F241" s="11" t="s">
        <v>1943</v>
      </c>
      <c r="G241" s="37" t="n">
        <v>9888</v>
      </c>
      <c r="H241" s="37" t="n">
        <v>80400.07</v>
      </c>
    </row>
    <row r="242" customFormat="false" ht="15" hidden="false" customHeight="false" outlineLevel="0" collapsed="false">
      <c r="A242" s="11" t="s">
        <v>1944</v>
      </c>
      <c r="B242" s="38" t="n">
        <v>45845</v>
      </c>
      <c r="C242" s="11" t="s">
        <v>1496</v>
      </c>
      <c r="D242" s="11" t="s">
        <v>1497</v>
      </c>
      <c r="E242" s="11" t="s">
        <v>287</v>
      </c>
      <c r="F242" s="11" t="s">
        <v>1945</v>
      </c>
      <c r="G242" s="37" t="n">
        <v>4668</v>
      </c>
      <c r="H242" s="37" t="n">
        <v>85068.07</v>
      </c>
    </row>
    <row r="243" customFormat="false" ht="15" hidden="false" customHeight="false" outlineLevel="0" collapsed="false">
      <c r="A243" s="11" t="s">
        <v>1946</v>
      </c>
      <c r="B243" s="38" t="n">
        <v>45845</v>
      </c>
      <c r="C243" s="11" t="s">
        <v>1496</v>
      </c>
      <c r="D243" s="11" t="s">
        <v>1497</v>
      </c>
      <c r="E243" s="11" t="s">
        <v>280</v>
      </c>
      <c r="F243" s="11" t="s">
        <v>1947</v>
      </c>
      <c r="G243" s="37" t="n">
        <v>9648</v>
      </c>
      <c r="H243" s="37" t="n">
        <v>94716.07</v>
      </c>
    </row>
    <row r="244" customFormat="false" ht="15" hidden="false" customHeight="false" outlineLevel="0" collapsed="false">
      <c r="A244" s="11" t="s">
        <v>1948</v>
      </c>
      <c r="B244" s="38" t="n">
        <v>45845</v>
      </c>
      <c r="C244" s="11" t="s">
        <v>1496</v>
      </c>
      <c r="D244" s="11" t="s">
        <v>1497</v>
      </c>
      <c r="E244" s="11" t="s">
        <v>323</v>
      </c>
      <c r="F244" s="11" t="s">
        <v>1949</v>
      </c>
      <c r="G244" s="37" t="n">
        <v>4740</v>
      </c>
      <c r="H244" s="37" t="n">
        <v>99456.07</v>
      </c>
    </row>
    <row r="245" customFormat="false" ht="15" hidden="false" customHeight="false" outlineLevel="0" collapsed="false">
      <c r="A245" s="11" t="s">
        <v>1950</v>
      </c>
      <c r="B245" s="38" t="n">
        <v>45845</v>
      </c>
      <c r="C245" s="11" t="s">
        <v>1500</v>
      </c>
      <c r="D245" s="11" t="s">
        <v>469</v>
      </c>
      <c r="E245" s="11" t="s">
        <v>470</v>
      </c>
      <c r="F245" s="11"/>
      <c r="G245" s="37" t="n">
        <v>-8900</v>
      </c>
      <c r="H245" s="37" t="n">
        <v>90556.07</v>
      </c>
    </row>
    <row r="246" customFormat="false" ht="15" hidden="false" customHeight="false" outlineLevel="0" collapsed="false">
      <c r="A246" s="11" t="s">
        <v>1951</v>
      </c>
      <c r="B246" s="38" t="n">
        <v>45845</v>
      </c>
      <c r="C246" s="11" t="s">
        <v>1496</v>
      </c>
      <c r="D246" s="11" t="s">
        <v>1497</v>
      </c>
      <c r="E246" s="11" t="s">
        <v>349</v>
      </c>
      <c r="F246" s="11" t="s">
        <v>1952</v>
      </c>
      <c r="G246" s="37" t="n">
        <v>12744</v>
      </c>
      <c r="H246" s="37" t="n">
        <v>103300.07</v>
      </c>
    </row>
    <row r="247" customFormat="false" ht="15" hidden="false" customHeight="false" outlineLevel="0" collapsed="false">
      <c r="A247" s="11" t="s">
        <v>1953</v>
      </c>
      <c r="B247" s="38" t="n">
        <v>45845</v>
      </c>
      <c r="C247" s="11" t="s">
        <v>1496</v>
      </c>
      <c r="D247" s="11" t="s">
        <v>1497</v>
      </c>
      <c r="E247" s="11" t="s">
        <v>335</v>
      </c>
      <c r="F247" s="11" t="s">
        <v>1954</v>
      </c>
      <c r="G247" s="37" t="n">
        <v>7068</v>
      </c>
      <c r="H247" s="37" t="n">
        <v>110368.07</v>
      </c>
    </row>
    <row r="248" customFormat="false" ht="15" hidden="false" customHeight="false" outlineLevel="0" collapsed="false">
      <c r="A248" s="11" t="s">
        <v>1955</v>
      </c>
      <c r="B248" s="38" t="n">
        <v>45845</v>
      </c>
      <c r="C248" s="11" t="s">
        <v>1496</v>
      </c>
      <c r="D248" s="11" t="s">
        <v>1497</v>
      </c>
      <c r="E248" s="11" t="s">
        <v>298</v>
      </c>
      <c r="F248" s="11" t="s">
        <v>1956</v>
      </c>
      <c r="G248" s="37" t="n">
        <v>8400</v>
      </c>
      <c r="H248" s="37" t="n">
        <v>118768.07</v>
      </c>
    </row>
    <row r="249" customFormat="false" ht="15" hidden="false" customHeight="false" outlineLevel="0" collapsed="false">
      <c r="A249" s="11" t="s">
        <v>1957</v>
      </c>
      <c r="B249" s="38" t="n">
        <v>45846</v>
      </c>
      <c r="C249" s="11" t="s">
        <v>1500</v>
      </c>
      <c r="D249" s="11" t="s">
        <v>480</v>
      </c>
      <c r="E249" s="11" t="s">
        <v>481</v>
      </c>
      <c r="F249" s="11"/>
      <c r="G249" s="37" t="n">
        <v>-9840</v>
      </c>
      <c r="H249" s="37" t="n">
        <v>108928.07</v>
      </c>
    </row>
    <row r="250" customFormat="false" ht="15" hidden="false" customHeight="false" outlineLevel="0" collapsed="false">
      <c r="A250" s="11" t="s">
        <v>1958</v>
      </c>
      <c r="B250" s="38" t="n">
        <v>45846</v>
      </c>
      <c r="C250" s="11" t="s">
        <v>1496</v>
      </c>
      <c r="D250" s="11" t="s">
        <v>1497</v>
      </c>
      <c r="E250" s="11" t="s">
        <v>335</v>
      </c>
      <c r="F250" s="11" t="s">
        <v>1959</v>
      </c>
      <c r="G250" s="37" t="n">
        <v>7440</v>
      </c>
      <c r="H250" s="37" t="n">
        <v>116368.07</v>
      </c>
    </row>
    <row r="251" customFormat="false" ht="15" hidden="false" customHeight="false" outlineLevel="0" collapsed="false">
      <c r="A251" s="11" t="s">
        <v>1960</v>
      </c>
      <c r="B251" s="38" t="n">
        <v>45846</v>
      </c>
      <c r="C251" s="11" t="s">
        <v>1496</v>
      </c>
      <c r="D251" s="11" t="s">
        <v>1497</v>
      </c>
      <c r="E251" s="11" t="s">
        <v>335</v>
      </c>
      <c r="F251" s="11" t="s">
        <v>1961</v>
      </c>
      <c r="G251" s="37" t="n">
        <v>10200</v>
      </c>
      <c r="H251" s="37" t="n">
        <v>126568.07</v>
      </c>
    </row>
    <row r="252" customFormat="false" ht="15" hidden="false" customHeight="false" outlineLevel="0" collapsed="false">
      <c r="A252" s="11" t="s">
        <v>1962</v>
      </c>
      <c r="B252" s="38" t="n">
        <v>45847</v>
      </c>
      <c r="C252" s="11" t="s">
        <v>1500</v>
      </c>
      <c r="D252" s="11" t="s">
        <v>291</v>
      </c>
      <c r="E252" s="11" t="s">
        <v>292</v>
      </c>
      <c r="F252" s="11"/>
      <c r="G252" s="37" t="n">
        <v>-4750.87</v>
      </c>
      <c r="H252" s="37" t="n">
        <v>121817.2</v>
      </c>
    </row>
    <row r="253" customFormat="false" ht="15" hidden="false" customHeight="false" outlineLevel="0" collapsed="false">
      <c r="A253" s="11" t="s">
        <v>1963</v>
      </c>
      <c r="B253" s="38" t="n">
        <v>45848</v>
      </c>
      <c r="C253" s="11" t="s">
        <v>1500</v>
      </c>
      <c r="D253" s="11" t="s">
        <v>272</v>
      </c>
      <c r="E253" s="11" t="s">
        <v>273</v>
      </c>
      <c r="F253" s="11"/>
      <c r="G253" s="37" t="n">
        <v>-3840</v>
      </c>
      <c r="H253" s="37" t="n">
        <v>117977.2</v>
      </c>
    </row>
    <row r="254" customFormat="false" ht="15" hidden="false" customHeight="false" outlineLevel="0" collapsed="false">
      <c r="A254" s="11" t="s">
        <v>1964</v>
      </c>
      <c r="B254" s="38" t="n">
        <v>45848</v>
      </c>
      <c r="C254" s="11" t="s">
        <v>1496</v>
      </c>
      <c r="D254" s="11" t="s">
        <v>1497</v>
      </c>
      <c r="E254" s="11" t="s">
        <v>327</v>
      </c>
      <c r="F254" s="11" t="s">
        <v>1965</v>
      </c>
      <c r="G254" s="37" t="n">
        <v>25788</v>
      </c>
      <c r="H254" s="37" t="n">
        <v>143765.2</v>
      </c>
    </row>
    <row r="255" customFormat="false" ht="15" hidden="false" customHeight="false" outlineLevel="0" collapsed="false">
      <c r="A255" s="11" t="s">
        <v>1966</v>
      </c>
      <c r="B255" s="38" t="n">
        <v>45848</v>
      </c>
      <c r="C255" s="11" t="s">
        <v>1500</v>
      </c>
      <c r="D255" s="11" t="s">
        <v>307</v>
      </c>
      <c r="E255" s="11" t="s">
        <v>420</v>
      </c>
      <c r="F255" s="11" t="s">
        <v>1967</v>
      </c>
      <c r="G255" s="37" t="n">
        <v>-58000</v>
      </c>
      <c r="H255" s="37" t="n">
        <v>85765.2</v>
      </c>
    </row>
    <row r="256" customFormat="false" ht="15" hidden="false" customHeight="false" outlineLevel="0" collapsed="false">
      <c r="A256" s="11" t="s">
        <v>1968</v>
      </c>
      <c r="B256" s="38" t="n">
        <v>45848</v>
      </c>
      <c r="C256" s="11" t="s">
        <v>1500</v>
      </c>
      <c r="D256" s="11" t="s">
        <v>307</v>
      </c>
      <c r="E256" s="11" t="s">
        <v>464</v>
      </c>
      <c r="F256" s="11" t="s">
        <v>1969</v>
      </c>
      <c r="G256" s="37" t="n">
        <v>-9432.98</v>
      </c>
      <c r="H256" s="37" t="n">
        <v>76332.22</v>
      </c>
    </row>
    <row r="257" customFormat="false" ht="15" hidden="false" customHeight="false" outlineLevel="0" collapsed="false">
      <c r="A257" s="11" t="s">
        <v>1970</v>
      </c>
      <c r="B257" s="38" t="n">
        <v>45848</v>
      </c>
      <c r="C257" s="11" t="s">
        <v>1500</v>
      </c>
      <c r="D257" s="11" t="s">
        <v>307</v>
      </c>
      <c r="E257" s="11" t="s">
        <v>458</v>
      </c>
      <c r="F257" s="11" t="s">
        <v>1971</v>
      </c>
      <c r="G257" s="37" t="n">
        <v>-30365</v>
      </c>
      <c r="H257" s="37" t="n">
        <v>45967.22</v>
      </c>
    </row>
    <row r="258" customFormat="false" ht="15" hidden="false" customHeight="false" outlineLevel="0" collapsed="false">
      <c r="A258" s="11" t="s">
        <v>1972</v>
      </c>
      <c r="B258" s="38" t="n">
        <v>45848</v>
      </c>
      <c r="C258" s="11" t="s">
        <v>1500</v>
      </c>
      <c r="D258" s="11" t="s">
        <v>307</v>
      </c>
      <c r="E258" s="11" t="s">
        <v>313</v>
      </c>
      <c r="F258" s="11" t="s">
        <v>1973</v>
      </c>
      <c r="G258" s="37" t="n">
        <v>-4129.73</v>
      </c>
      <c r="H258" s="37" t="n">
        <v>41837.49</v>
      </c>
    </row>
    <row r="259" customFormat="false" ht="15" hidden="false" customHeight="false" outlineLevel="0" collapsed="false">
      <c r="A259" s="11" t="s">
        <v>1974</v>
      </c>
      <c r="B259" s="38" t="n">
        <v>45848</v>
      </c>
      <c r="C259" s="11" t="s">
        <v>1500</v>
      </c>
      <c r="D259" s="11" t="s">
        <v>307</v>
      </c>
      <c r="E259" s="11" t="s">
        <v>313</v>
      </c>
      <c r="F259" s="11" t="s">
        <v>1975</v>
      </c>
      <c r="G259" s="37" t="n">
        <v>-4545.6</v>
      </c>
      <c r="H259" s="37" t="n">
        <v>37291.89</v>
      </c>
    </row>
    <row r="260" customFormat="false" ht="15" hidden="false" customHeight="false" outlineLevel="0" collapsed="false">
      <c r="A260" s="11" t="s">
        <v>1976</v>
      </c>
      <c r="B260" s="38" t="n">
        <v>45849</v>
      </c>
      <c r="C260" s="11" t="s">
        <v>1496</v>
      </c>
      <c r="D260" s="11" t="s">
        <v>1497</v>
      </c>
      <c r="E260" s="11" t="s">
        <v>335</v>
      </c>
      <c r="F260" s="11" t="s">
        <v>1977</v>
      </c>
      <c r="G260" s="37" t="n">
        <v>5196</v>
      </c>
      <c r="H260" s="37" t="n">
        <v>42487.89</v>
      </c>
    </row>
    <row r="261" customFormat="false" ht="15" hidden="false" customHeight="false" outlineLevel="0" collapsed="false">
      <c r="A261" s="11" t="s">
        <v>1978</v>
      </c>
      <c r="B261" s="38" t="n">
        <v>45853</v>
      </c>
      <c r="C261" s="11" t="s">
        <v>1496</v>
      </c>
      <c r="D261" s="11" t="s">
        <v>1497</v>
      </c>
      <c r="E261" s="11" t="s">
        <v>331</v>
      </c>
      <c r="F261" s="11" t="s">
        <v>1979</v>
      </c>
      <c r="G261" s="37" t="n">
        <v>11868</v>
      </c>
      <c r="H261" s="37" t="n">
        <v>54355.89</v>
      </c>
    </row>
    <row r="262" customFormat="false" ht="15" hidden="false" customHeight="false" outlineLevel="0" collapsed="false">
      <c r="A262" s="11" t="s">
        <v>1980</v>
      </c>
      <c r="B262" s="38" t="n">
        <v>45853</v>
      </c>
      <c r="C262" s="11" t="s">
        <v>1496</v>
      </c>
      <c r="D262" s="11" t="s">
        <v>1497</v>
      </c>
      <c r="E262" s="11" t="s">
        <v>280</v>
      </c>
      <c r="F262" s="11" t="s">
        <v>1981</v>
      </c>
      <c r="G262" s="37" t="n">
        <v>8424</v>
      </c>
      <c r="H262" s="37" t="n">
        <v>62779.89</v>
      </c>
    </row>
    <row r="263" customFormat="false" ht="15" hidden="false" customHeight="false" outlineLevel="0" collapsed="false">
      <c r="A263" s="11" t="s">
        <v>1982</v>
      </c>
      <c r="B263" s="38" t="n">
        <v>45853</v>
      </c>
      <c r="C263" s="11" t="s">
        <v>1496</v>
      </c>
      <c r="D263" s="11" t="s">
        <v>1497</v>
      </c>
      <c r="E263" s="11" t="s">
        <v>327</v>
      </c>
      <c r="F263" s="11" t="s">
        <v>1983</v>
      </c>
      <c r="G263" s="37" t="n">
        <v>14796</v>
      </c>
      <c r="H263" s="37" t="n">
        <v>77575.89</v>
      </c>
    </row>
    <row r="264" customFormat="false" ht="15" hidden="false" customHeight="false" outlineLevel="0" collapsed="false">
      <c r="A264" s="11" t="s">
        <v>1984</v>
      </c>
      <c r="B264" s="38" t="n">
        <v>45853</v>
      </c>
      <c r="C264" s="11" t="s">
        <v>1496</v>
      </c>
      <c r="D264" s="11" t="s">
        <v>1497</v>
      </c>
      <c r="E264" s="11" t="s">
        <v>280</v>
      </c>
      <c r="F264" s="11" t="s">
        <v>1985</v>
      </c>
      <c r="G264" s="37" t="n">
        <v>5136</v>
      </c>
      <c r="H264" s="37" t="n">
        <v>82711.89</v>
      </c>
    </row>
    <row r="265" customFormat="false" ht="15" hidden="false" customHeight="false" outlineLevel="0" collapsed="false">
      <c r="A265" s="11" t="s">
        <v>1986</v>
      </c>
      <c r="B265" s="38" t="n">
        <v>45853</v>
      </c>
      <c r="C265" s="11" t="s">
        <v>1496</v>
      </c>
      <c r="D265" s="11" t="s">
        <v>1497</v>
      </c>
      <c r="E265" s="11" t="s">
        <v>335</v>
      </c>
      <c r="F265" s="11" t="s">
        <v>1987</v>
      </c>
      <c r="G265" s="37" t="n">
        <v>5196</v>
      </c>
      <c r="H265" s="37" t="n">
        <v>87907.89</v>
      </c>
    </row>
    <row r="266" customFormat="false" ht="15" hidden="false" customHeight="false" outlineLevel="0" collapsed="false">
      <c r="A266" s="11" t="s">
        <v>1988</v>
      </c>
      <c r="B266" s="38" t="n">
        <v>45853</v>
      </c>
      <c r="C266" s="11" t="s">
        <v>1496</v>
      </c>
      <c r="D266" s="11" t="s">
        <v>1497</v>
      </c>
      <c r="E266" s="11" t="s">
        <v>335</v>
      </c>
      <c r="F266" s="11" t="s">
        <v>1989</v>
      </c>
      <c r="G266" s="37" t="n">
        <v>10800</v>
      </c>
      <c r="H266" s="37" t="n">
        <v>98707.89</v>
      </c>
    </row>
    <row r="267" customFormat="false" ht="15" hidden="false" customHeight="false" outlineLevel="0" collapsed="false">
      <c r="A267" s="11" t="s">
        <v>1990</v>
      </c>
      <c r="B267" s="38" t="n">
        <v>45853</v>
      </c>
      <c r="C267" s="11" t="s">
        <v>1496</v>
      </c>
      <c r="D267" s="11" t="s">
        <v>1497</v>
      </c>
      <c r="E267" s="11" t="s">
        <v>327</v>
      </c>
      <c r="F267" s="11" t="s">
        <v>1991</v>
      </c>
      <c r="G267" s="37" t="n">
        <v>36012</v>
      </c>
      <c r="H267" s="37" t="n">
        <v>134719.89</v>
      </c>
    </row>
    <row r="268" customFormat="false" ht="15" hidden="false" customHeight="false" outlineLevel="0" collapsed="false">
      <c r="A268" s="11" t="s">
        <v>1992</v>
      </c>
      <c r="B268" s="38" t="n">
        <v>45853</v>
      </c>
      <c r="C268" s="11" t="s">
        <v>1496</v>
      </c>
      <c r="D268" s="11" t="s">
        <v>1497</v>
      </c>
      <c r="E268" s="11" t="s">
        <v>287</v>
      </c>
      <c r="F268" s="11" t="s">
        <v>1993</v>
      </c>
      <c r="G268" s="37" t="n">
        <v>4176</v>
      </c>
      <c r="H268" s="37" t="n">
        <v>138895.89</v>
      </c>
    </row>
    <row r="269" customFormat="false" ht="15" hidden="false" customHeight="false" outlineLevel="0" collapsed="false">
      <c r="A269" s="11" t="s">
        <v>1994</v>
      </c>
      <c r="B269" s="38" t="n">
        <v>45853</v>
      </c>
      <c r="C269" s="11" t="s">
        <v>1500</v>
      </c>
      <c r="D269" s="11" t="s">
        <v>317</v>
      </c>
      <c r="E269" s="11" t="s">
        <v>318</v>
      </c>
      <c r="F269" s="11"/>
      <c r="G269" s="37" t="n">
        <v>-82000</v>
      </c>
      <c r="H269" s="37" t="n">
        <v>56895.89</v>
      </c>
    </row>
    <row r="270" customFormat="false" ht="15" hidden="false" customHeight="false" outlineLevel="0" collapsed="false">
      <c r="A270" s="11" t="s">
        <v>1995</v>
      </c>
      <c r="B270" s="38" t="n">
        <v>45853</v>
      </c>
      <c r="C270" s="11" t="s">
        <v>1496</v>
      </c>
      <c r="D270" s="11" t="s">
        <v>1497</v>
      </c>
      <c r="E270" s="11" t="s">
        <v>399</v>
      </c>
      <c r="F270" s="11" t="s">
        <v>1996</v>
      </c>
      <c r="G270" s="37" t="n">
        <v>12492</v>
      </c>
      <c r="H270" s="37" t="n">
        <v>69387.89</v>
      </c>
    </row>
    <row r="271" customFormat="false" ht="15" hidden="false" customHeight="false" outlineLevel="0" collapsed="false">
      <c r="A271" s="11" t="s">
        <v>1997</v>
      </c>
      <c r="B271" s="38" t="n">
        <v>45853</v>
      </c>
      <c r="C271" s="11" t="s">
        <v>1496</v>
      </c>
      <c r="D271" s="11" t="s">
        <v>1497</v>
      </c>
      <c r="E271" s="11" t="s">
        <v>335</v>
      </c>
      <c r="F271" s="11" t="s">
        <v>1998</v>
      </c>
      <c r="G271" s="37" t="n">
        <v>10452</v>
      </c>
      <c r="H271" s="37" t="n">
        <v>79839.89</v>
      </c>
    </row>
    <row r="272" customFormat="false" ht="15" hidden="false" customHeight="false" outlineLevel="0" collapsed="false">
      <c r="A272" s="11" t="s">
        <v>1999</v>
      </c>
      <c r="B272" s="38" t="n">
        <v>45853</v>
      </c>
      <c r="C272" s="11" t="s">
        <v>1496</v>
      </c>
      <c r="D272" s="11" t="s">
        <v>1497</v>
      </c>
      <c r="E272" s="11" t="s">
        <v>280</v>
      </c>
      <c r="F272" s="11" t="s">
        <v>2000</v>
      </c>
      <c r="G272" s="37" t="n">
        <v>7980</v>
      </c>
      <c r="H272" s="37" t="n">
        <v>87819.89</v>
      </c>
    </row>
    <row r="273" customFormat="false" ht="15" hidden="false" customHeight="false" outlineLevel="0" collapsed="false">
      <c r="A273" s="11" t="s">
        <v>2001</v>
      </c>
      <c r="B273" s="38" t="n">
        <v>45854</v>
      </c>
      <c r="C273" s="11" t="s">
        <v>1500</v>
      </c>
      <c r="D273" s="11" t="s">
        <v>291</v>
      </c>
      <c r="E273" s="11" t="s">
        <v>292</v>
      </c>
      <c r="F273" s="11"/>
      <c r="G273" s="37" t="n">
        <v>-4547.96</v>
      </c>
      <c r="H273" s="37" t="n">
        <v>83271.93</v>
      </c>
    </row>
    <row r="274" customFormat="false" ht="15" hidden="false" customHeight="false" outlineLevel="0" collapsed="false">
      <c r="A274" s="11" t="s">
        <v>2002</v>
      </c>
      <c r="B274" s="38" t="n">
        <v>45855</v>
      </c>
      <c r="C274" s="11" t="s">
        <v>1500</v>
      </c>
      <c r="D274" s="11" t="s">
        <v>307</v>
      </c>
      <c r="E274" s="11" t="s">
        <v>313</v>
      </c>
      <c r="F274" s="11" t="s">
        <v>2003</v>
      </c>
      <c r="G274" s="37" t="n">
        <v>-4530.98</v>
      </c>
      <c r="H274" s="37" t="n">
        <v>78740.95</v>
      </c>
    </row>
    <row r="275" customFormat="false" ht="15" hidden="false" customHeight="false" outlineLevel="0" collapsed="false">
      <c r="A275" s="11" t="s">
        <v>2004</v>
      </c>
      <c r="B275" s="38" t="n">
        <v>45855</v>
      </c>
      <c r="C275" s="11" t="s">
        <v>1500</v>
      </c>
      <c r="D275" s="11" t="s">
        <v>307</v>
      </c>
      <c r="E275" s="11" t="s">
        <v>308</v>
      </c>
      <c r="F275" s="11" t="s">
        <v>2005</v>
      </c>
      <c r="G275" s="37" t="n">
        <v>-28047.12</v>
      </c>
      <c r="H275" s="37" t="n">
        <v>50693.83</v>
      </c>
    </row>
    <row r="276" customFormat="false" ht="15" hidden="false" customHeight="false" outlineLevel="0" collapsed="false">
      <c r="A276" s="11" t="s">
        <v>2006</v>
      </c>
      <c r="B276" s="38" t="n">
        <v>45856</v>
      </c>
      <c r="C276" s="11" t="s">
        <v>1496</v>
      </c>
      <c r="D276" s="11" t="s">
        <v>1497</v>
      </c>
      <c r="E276" s="11" t="s">
        <v>331</v>
      </c>
      <c r="F276" s="11" t="s">
        <v>2007</v>
      </c>
      <c r="G276" s="37" t="n">
        <v>9312</v>
      </c>
      <c r="H276" s="37" t="n">
        <v>60005.83</v>
      </c>
    </row>
    <row r="277" customFormat="false" ht="15" hidden="false" customHeight="false" outlineLevel="0" collapsed="false">
      <c r="A277" s="11" t="s">
        <v>2008</v>
      </c>
      <c r="B277" s="38" t="n">
        <v>45856</v>
      </c>
      <c r="C277" s="11" t="s">
        <v>1496</v>
      </c>
      <c r="D277" s="11" t="s">
        <v>1497</v>
      </c>
      <c r="E277" s="11" t="s">
        <v>399</v>
      </c>
      <c r="F277" s="11" t="s">
        <v>2009</v>
      </c>
      <c r="G277" s="37" t="n">
        <v>15288</v>
      </c>
      <c r="H277" s="37" t="n">
        <v>75293.83</v>
      </c>
    </row>
    <row r="278" customFormat="false" ht="15" hidden="false" customHeight="false" outlineLevel="0" collapsed="false">
      <c r="A278" s="11" t="s">
        <v>2010</v>
      </c>
      <c r="B278" s="38" t="n">
        <v>45859</v>
      </c>
      <c r="C278" s="11" t="s">
        <v>1496</v>
      </c>
      <c r="D278" s="11" t="s">
        <v>1497</v>
      </c>
      <c r="E278" s="11" t="s">
        <v>392</v>
      </c>
      <c r="F278" s="11" t="s">
        <v>2011</v>
      </c>
      <c r="G278" s="37" t="n">
        <v>14232</v>
      </c>
      <c r="H278" s="37" t="n">
        <v>89525.83</v>
      </c>
    </row>
    <row r="279" customFormat="false" ht="15" hidden="false" customHeight="false" outlineLevel="0" collapsed="false">
      <c r="A279" s="11" t="s">
        <v>2012</v>
      </c>
      <c r="B279" s="38" t="n">
        <v>45859</v>
      </c>
      <c r="C279" s="11" t="s">
        <v>1496</v>
      </c>
      <c r="D279" s="11" t="s">
        <v>1497</v>
      </c>
      <c r="E279" s="11" t="s">
        <v>287</v>
      </c>
      <c r="F279" s="11" t="s">
        <v>2013</v>
      </c>
      <c r="G279" s="37" t="n">
        <v>3588</v>
      </c>
      <c r="H279" s="37" t="n">
        <v>93113.83</v>
      </c>
    </row>
    <row r="280" customFormat="false" ht="15" hidden="false" customHeight="false" outlineLevel="0" collapsed="false">
      <c r="A280" s="11" t="s">
        <v>2014</v>
      </c>
      <c r="B280" s="38" t="n">
        <v>45859</v>
      </c>
      <c r="C280" s="11" t="s">
        <v>1496</v>
      </c>
      <c r="D280" s="11" t="s">
        <v>1497</v>
      </c>
      <c r="E280" s="11" t="s">
        <v>287</v>
      </c>
      <c r="F280" s="11" t="s">
        <v>2015</v>
      </c>
      <c r="G280" s="37" t="n">
        <v>3528</v>
      </c>
      <c r="H280" s="37" t="n">
        <v>96641.83</v>
      </c>
    </row>
    <row r="281" customFormat="false" ht="15" hidden="false" customHeight="false" outlineLevel="0" collapsed="false">
      <c r="A281" s="11" t="s">
        <v>2016</v>
      </c>
      <c r="B281" s="38" t="n">
        <v>45859</v>
      </c>
      <c r="C281" s="11" t="s">
        <v>1496</v>
      </c>
      <c r="D281" s="11" t="s">
        <v>1497</v>
      </c>
      <c r="E281" s="11" t="s">
        <v>349</v>
      </c>
      <c r="F281" s="11" t="s">
        <v>2017</v>
      </c>
      <c r="G281" s="37" t="n">
        <v>18180</v>
      </c>
      <c r="H281" s="37" t="n">
        <v>114821.83</v>
      </c>
    </row>
    <row r="282" customFormat="false" ht="15" hidden="false" customHeight="false" outlineLevel="0" collapsed="false">
      <c r="A282" s="11" t="s">
        <v>2018</v>
      </c>
      <c r="B282" s="38" t="n">
        <v>45859</v>
      </c>
      <c r="C282" s="11" t="s">
        <v>1496</v>
      </c>
      <c r="D282" s="11" t="s">
        <v>1497</v>
      </c>
      <c r="E282" s="11" t="s">
        <v>335</v>
      </c>
      <c r="F282" s="11" t="s">
        <v>2019</v>
      </c>
      <c r="G282" s="37" t="n">
        <v>5544</v>
      </c>
      <c r="H282" s="37" t="n">
        <v>120365.83</v>
      </c>
    </row>
    <row r="283" customFormat="false" ht="15" hidden="false" customHeight="false" outlineLevel="0" collapsed="false">
      <c r="A283" s="11" t="s">
        <v>2020</v>
      </c>
      <c r="B283" s="38" t="n">
        <v>45859</v>
      </c>
      <c r="C283" s="11" t="s">
        <v>1496</v>
      </c>
      <c r="D283" s="11" t="s">
        <v>1497</v>
      </c>
      <c r="E283" s="11" t="s">
        <v>280</v>
      </c>
      <c r="F283" s="11" t="s">
        <v>2021</v>
      </c>
      <c r="G283" s="37" t="n">
        <v>4680</v>
      </c>
      <c r="H283" s="37" t="n">
        <v>125045.83</v>
      </c>
    </row>
    <row r="284" customFormat="false" ht="15" hidden="false" customHeight="false" outlineLevel="0" collapsed="false">
      <c r="A284" s="11" t="s">
        <v>2022</v>
      </c>
      <c r="B284" s="38" t="n">
        <v>45859</v>
      </c>
      <c r="C284" s="11" t="s">
        <v>1496</v>
      </c>
      <c r="D284" s="11" t="s">
        <v>1497</v>
      </c>
      <c r="E284" s="11" t="s">
        <v>335</v>
      </c>
      <c r="F284" s="11" t="s">
        <v>2023</v>
      </c>
      <c r="G284" s="37" t="n">
        <v>8040</v>
      </c>
      <c r="H284" s="37" t="n">
        <v>133085.83</v>
      </c>
    </row>
    <row r="285" customFormat="false" ht="15" hidden="false" customHeight="false" outlineLevel="0" collapsed="false">
      <c r="A285" s="11" t="s">
        <v>2024</v>
      </c>
      <c r="B285" s="38" t="n">
        <v>45859</v>
      </c>
      <c r="C285" s="11" t="s">
        <v>1496</v>
      </c>
      <c r="D285" s="11" t="s">
        <v>1497</v>
      </c>
      <c r="E285" s="11" t="s">
        <v>323</v>
      </c>
      <c r="F285" s="11" t="s">
        <v>2025</v>
      </c>
      <c r="G285" s="37" t="n">
        <v>5328</v>
      </c>
      <c r="H285" s="37" t="n">
        <v>138413.83</v>
      </c>
    </row>
    <row r="286" customFormat="false" ht="15" hidden="false" customHeight="false" outlineLevel="0" collapsed="false">
      <c r="A286" s="11" t="s">
        <v>2026</v>
      </c>
      <c r="B286" s="38" t="n">
        <v>45861</v>
      </c>
      <c r="C286" s="11" t="s">
        <v>1496</v>
      </c>
      <c r="D286" s="11" t="s">
        <v>1497</v>
      </c>
      <c r="E286" s="11" t="s">
        <v>335</v>
      </c>
      <c r="F286" s="11" t="s">
        <v>2027</v>
      </c>
      <c r="G286" s="37" t="n">
        <v>9324</v>
      </c>
      <c r="H286" s="37" t="n">
        <v>147737.83</v>
      </c>
    </row>
    <row r="287" customFormat="false" ht="15" hidden="false" customHeight="false" outlineLevel="0" collapsed="false">
      <c r="A287" s="11" t="s">
        <v>2028</v>
      </c>
      <c r="B287" s="38" t="n">
        <v>45861</v>
      </c>
      <c r="C287" s="11" t="s">
        <v>1496</v>
      </c>
      <c r="D287" s="11" t="s">
        <v>1497</v>
      </c>
      <c r="E287" s="11" t="s">
        <v>349</v>
      </c>
      <c r="F287" s="11" t="s">
        <v>2029</v>
      </c>
      <c r="G287" s="37" t="n">
        <v>8064</v>
      </c>
      <c r="H287" s="37" t="n">
        <v>155801.83</v>
      </c>
    </row>
    <row r="288" customFormat="false" ht="15" hidden="false" customHeight="false" outlineLevel="0" collapsed="false">
      <c r="A288" s="11" t="s">
        <v>2030</v>
      </c>
      <c r="B288" s="38" t="n">
        <v>45861</v>
      </c>
      <c r="C288" s="11" t="s">
        <v>1500</v>
      </c>
      <c r="D288" s="11" t="s">
        <v>291</v>
      </c>
      <c r="E288" s="11" t="s">
        <v>292</v>
      </c>
      <c r="F288" s="11"/>
      <c r="G288" s="37" t="n">
        <v>-4219.72</v>
      </c>
      <c r="H288" s="37" t="n">
        <v>151582.11</v>
      </c>
    </row>
    <row r="289" customFormat="false" ht="15" hidden="false" customHeight="false" outlineLevel="0" collapsed="false">
      <c r="A289" s="11" t="s">
        <v>2031</v>
      </c>
      <c r="B289" s="38" t="n">
        <v>45862</v>
      </c>
      <c r="C289" s="11" t="s">
        <v>1500</v>
      </c>
      <c r="D289" s="11" t="s">
        <v>383</v>
      </c>
      <c r="E289" s="11" t="s">
        <v>384</v>
      </c>
      <c r="F289" s="11" t="s">
        <v>2032</v>
      </c>
      <c r="G289" s="37" t="n">
        <v>-63946.56</v>
      </c>
      <c r="H289" s="37" t="n">
        <v>87635.55</v>
      </c>
    </row>
    <row r="290" customFormat="false" ht="15" hidden="false" customHeight="false" outlineLevel="0" collapsed="false">
      <c r="A290" s="11" t="s">
        <v>2033</v>
      </c>
      <c r="B290" s="38" t="n">
        <v>45862</v>
      </c>
      <c r="C290" s="11" t="s">
        <v>1496</v>
      </c>
      <c r="D290" s="11" t="s">
        <v>1497</v>
      </c>
      <c r="E290" s="11" t="s">
        <v>399</v>
      </c>
      <c r="F290" s="11" t="s">
        <v>2034</v>
      </c>
      <c r="G290" s="37" t="n">
        <v>9384</v>
      </c>
      <c r="H290" s="37" t="n">
        <v>97019.55</v>
      </c>
    </row>
    <row r="291" customFormat="false" ht="15" hidden="false" customHeight="false" outlineLevel="0" collapsed="false">
      <c r="A291" s="11" t="s">
        <v>2035</v>
      </c>
      <c r="B291" s="38" t="n">
        <v>45862</v>
      </c>
      <c r="C291" s="11" t="s">
        <v>1500</v>
      </c>
      <c r="D291" s="11" t="s">
        <v>307</v>
      </c>
      <c r="E291" s="11" t="s">
        <v>414</v>
      </c>
      <c r="F291" s="11" t="s">
        <v>2036</v>
      </c>
      <c r="G291" s="37" t="n">
        <v>-17171.53</v>
      </c>
      <c r="H291" s="37" t="n">
        <v>79848.02</v>
      </c>
    </row>
    <row r="292" customFormat="false" ht="15" hidden="false" customHeight="false" outlineLevel="0" collapsed="false">
      <c r="A292" s="11" t="s">
        <v>2037</v>
      </c>
      <c r="B292" s="38" t="n">
        <v>45863</v>
      </c>
      <c r="C292" s="11" t="s">
        <v>1496</v>
      </c>
      <c r="D292" s="11" t="s">
        <v>1497</v>
      </c>
      <c r="E292" s="11" t="s">
        <v>287</v>
      </c>
      <c r="F292" s="11" t="s">
        <v>2038</v>
      </c>
      <c r="G292" s="37" t="n">
        <v>2856</v>
      </c>
      <c r="H292" s="37" t="n">
        <v>82704.02</v>
      </c>
    </row>
    <row r="293" customFormat="false" ht="15" hidden="false" customHeight="false" outlineLevel="0" collapsed="false">
      <c r="A293" s="11" t="s">
        <v>2039</v>
      </c>
      <c r="B293" s="38" t="n">
        <v>45866</v>
      </c>
      <c r="C293" s="11" t="s">
        <v>1496</v>
      </c>
      <c r="D293" s="11" t="s">
        <v>1497</v>
      </c>
      <c r="E293" s="11" t="s">
        <v>298</v>
      </c>
      <c r="F293" s="11" t="s">
        <v>2040</v>
      </c>
      <c r="G293" s="37" t="n">
        <v>4490</v>
      </c>
      <c r="H293" s="37" t="n">
        <v>87194.02</v>
      </c>
    </row>
    <row r="294" customFormat="false" ht="15" hidden="false" customHeight="false" outlineLevel="0" collapsed="false">
      <c r="A294" s="11" t="s">
        <v>2041</v>
      </c>
      <c r="B294" s="38" t="n">
        <v>45866</v>
      </c>
      <c r="C294" s="11" t="s">
        <v>1496</v>
      </c>
      <c r="D294" s="11" t="s">
        <v>1497</v>
      </c>
      <c r="E294" s="11" t="s">
        <v>335</v>
      </c>
      <c r="F294" s="11" t="s">
        <v>2042</v>
      </c>
      <c r="G294" s="37" t="n">
        <v>8160</v>
      </c>
      <c r="H294" s="37" t="n">
        <v>95354.02</v>
      </c>
    </row>
    <row r="295" customFormat="false" ht="15" hidden="false" customHeight="false" outlineLevel="0" collapsed="false">
      <c r="A295" s="11" t="s">
        <v>2043</v>
      </c>
      <c r="B295" s="38" t="n">
        <v>45866</v>
      </c>
      <c r="C295" s="11" t="s">
        <v>1496</v>
      </c>
      <c r="D295" s="11" t="s">
        <v>1497</v>
      </c>
      <c r="E295" s="11" t="s">
        <v>323</v>
      </c>
      <c r="F295" s="11" t="s">
        <v>2044</v>
      </c>
      <c r="G295" s="37" t="n">
        <v>4680</v>
      </c>
      <c r="H295" s="37" t="n">
        <v>100034.02</v>
      </c>
    </row>
    <row r="296" customFormat="false" ht="15" hidden="false" customHeight="false" outlineLevel="0" collapsed="false">
      <c r="A296" s="11" t="s">
        <v>2045</v>
      </c>
      <c r="B296" s="38" t="n">
        <v>45866</v>
      </c>
      <c r="C296" s="11" t="s">
        <v>1496</v>
      </c>
      <c r="D296" s="11" t="s">
        <v>1497</v>
      </c>
      <c r="E296" s="11" t="s">
        <v>280</v>
      </c>
      <c r="F296" s="11" t="s">
        <v>2046</v>
      </c>
      <c r="G296" s="37" t="n">
        <v>4380</v>
      </c>
      <c r="H296" s="37" t="n">
        <v>104414.02</v>
      </c>
    </row>
    <row r="297" customFormat="false" ht="15" hidden="false" customHeight="false" outlineLevel="0" collapsed="false">
      <c r="A297" s="11" t="s">
        <v>2047</v>
      </c>
      <c r="B297" s="38" t="n">
        <v>45866</v>
      </c>
      <c r="C297" s="11" t="s">
        <v>1496</v>
      </c>
      <c r="D297" s="11" t="s">
        <v>1497</v>
      </c>
      <c r="E297" s="11" t="s">
        <v>287</v>
      </c>
      <c r="F297" s="11" t="s">
        <v>2048</v>
      </c>
      <c r="G297" s="37" t="n">
        <v>5232</v>
      </c>
      <c r="H297" s="37" t="n">
        <v>109646.02</v>
      </c>
    </row>
    <row r="298" customFormat="false" ht="15" hidden="false" customHeight="false" outlineLevel="0" collapsed="false">
      <c r="A298" s="11" t="s">
        <v>2049</v>
      </c>
      <c r="B298" s="38" t="n">
        <v>45866</v>
      </c>
      <c r="C298" s="11" t="s">
        <v>1496</v>
      </c>
      <c r="D298" s="11" t="s">
        <v>1497</v>
      </c>
      <c r="E298" s="11" t="s">
        <v>298</v>
      </c>
      <c r="F298" s="11" t="s">
        <v>2050</v>
      </c>
      <c r="G298" s="37" t="n">
        <v>11770</v>
      </c>
      <c r="H298" s="37" t="n">
        <v>121416.02</v>
      </c>
    </row>
    <row r="299" customFormat="false" ht="15" hidden="false" customHeight="false" outlineLevel="0" collapsed="false">
      <c r="A299" s="11" t="s">
        <v>2051</v>
      </c>
      <c r="B299" s="38" t="n">
        <v>45867</v>
      </c>
      <c r="C299" s="11" t="s">
        <v>1496</v>
      </c>
      <c r="D299" s="11" t="s">
        <v>1497</v>
      </c>
      <c r="E299" s="11" t="s">
        <v>349</v>
      </c>
      <c r="F299" s="11" t="s">
        <v>2052</v>
      </c>
      <c r="G299" s="37" t="n">
        <v>15780</v>
      </c>
      <c r="H299" s="37" t="n">
        <v>137196.02</v>
      </c>
    </row>
    <row r="300" customFormat="false" ht="15" hidden="false" customHeight="false" outlineLevel="0" collapsed="false">
      <c r="A300" s="11" t="s">
        <v>2053</v>
      </c>
      <c r="B300" s="38" t="n">
        <v>45868</v>
      </c>
      <c r="C300" s="11" t="s">
        <v>1496</v>
      </c>
      <c r="D300" s="11" t="s">
        <v>1497</v>
      </c>
      <c r="E300" s="11" t="s">
        <v>335</v>
      </c>
      <c r="F300" s="11" t="s">
        <v>2054</v>
      </c>
      <c r="G300" s="37" t="n">
        <v>8616</v>
      </c>
      <c r="H300" s="37" t="n">
        <v>145812.02</v>
      </c>
    </row>
    <row r="301" customFormat="false" ht="15" hidden="false" customHeight="false" outlineLevel="0" collapsed="false">
      <c r="A301" s="11" t="s">
        <v>2055</v>
      </c>
      <c r="B301" s="38" t="n">
        <v>45868</v>
      </c>
      <c r="C301" s="11" t="s">
        <v>1496</v>
      </c>
      <c r="D301" s="11" t="s">
        <v>1497</v>
      </c>
      <c r="E301" s="11" t="s">
        <v>287</v>
      </c>
      <c r="F301" s="11" t="s">
        <v>2056</v>
      </c>
      <c r="G301" s="37" t="n">
        <v>3636</v>
      </c>
      <c r="H301" s="37" t="n">
        <v>149448.02</v>
      </c>
    </row>
    <row r="302" customFormat="false" ht="15" hidden="false" customHeight="false" outlineLevel="0" collapsed="false">
      <c r="A302" s="11" t="s">
        <v>2057</v>
      </c>
      <c r="B302" s="38" t="n">
        <v>45868</v>
      </c>
      <c r="C302" s="11" t="s">
        <v>1500</v>
      </c>
      <c r="D302" s="11" t="s">
        <v>291</v>
      </c>
      <c r="E302" s="11" t="s">
        <v>292</v>
      </c>
      <c r="F302" s="11"/>
      <c r="G302" s="37" t="n">
        <v>-5283.8</v>
      </c>
      <c r="H302" s="37" t="n">
        <v>144164.22</v>
      </c>
    </row>
    <row r="303" customFormat="false" ht="15" hidden="false" customHeight="false" outlineLevel="0" collapsed="false">
      <c r="A303" s="11" t="s">
        <v>2058</v>
      </c>
      <c r="B303" s="38" t="n">
        <v>45869</v>
      </c>
      <c r="C303" s="11" t="s">
        <v>1500</v>
      </c>
      <c r="D303" s="11" t="s">
        <v>1634</v>
      </c>
      <c r="E303" s="11" t="s">
        <v>425</v>
      </c>
      <c r="F303" s="11"/>
      <c r="G303" s="37" t="n">
        <v>-101500</v>
      </c>
      <c r="H303" s="37" t="n">
        <v>42664.22</v>
      </c>
    </row>
    <row r="304" customFormat="false" ht="15" hidden="false" customHeight="false" outlineLevel="0" collapsed="false">
      <c r="A304" s="11" t="s">
        <v>2059</v>
      </c>
      <c r="B304" s="38" t="n">
        <v>45869</v>
      </c>
      <c r="C304" s="11" t="s">
        <v>1500</v>
      </c>
      <c r="D304" s="11" t="s">
        <v>307</v>
      </c>
      <c r="E304" s="11" t="s">
        <v>420</v>
      </c>
      <c r="F304" s="11" t="s">
        <v>2060</v>
      </c>
      <c r="G304" s="37" t="n">
        <v>-58064.63</v>
      </c>
      <c r="H304" s="37" t="n">
        <v>-15400.41</v>
      </c>
    </row>
    <row r="305" customFormat="false" ht="15" hidden="false" customHeight="false" outlineLevel="0" collapsed="false">
      <c r="A305" s="11" t="s">
        <v>2061</v>
      </c>
      <c r="B305" s="38" t="n">
        <v>45869</v>
      </c>
      <c r="C305" s="11" t="s">
        <v>1500</v>
      </c>
      <c r="D305" s="11" t="s">
        <v>307</v>
      </c>
      <c r="E305" s="11" t="s">
        <v>308</v>
      </c>
      <c r="F305" s="11" t="s">
        <v>2062</v>
      </c>
      <c r="G305" s="37" t="n">
        <v>-29161.04</v>
      </c>
      <c r="H305" s="37" t="n">
        <v>-44561.45</v>
      </c>
    </row>
    <row r="306" customFormat="false" ht="15" hidden="false" customHeight="false" outlineLevel="0" collapsed="false">
      <c r="A306" s="11" t="s">
        <v>2063</v>
      </c>
      <c r="B306" s="38" t="n">
        <v>45869</v>
      </c>
      <c r="C306" s="11" t="s">
        <v>1500</v>
      </c>
      <c r="D306" s="11" t="s">
        <v>307</v>
      </c>
      <c r="E306" s="11" t="s">
        <v>313</v>
      </c>
      <c r="F306" s="11" t="s">
        <v>2064</v>
      </c>
      <c r="G306" s="37" t="n">
        <v>-2625.55</v>
      </c>
      <c r="H306" s="37" t="n">
        <v>-47187</v>
      </c>
    </row>
    <row r="307" customFormat="false" ht="15" hidden="false" customHeight="false" outlineLevel="0" collapsed="false">
      <c r="A307" s="11" t="s">
        <v>2065</v>
      </c>
      <c r="B307" s="38" t="n">
        <v>45870</v>
      </c>
      <c r="C307" s="11" t="s">
        <v>1496</v>
      </c>
      <c r="D307" s="11" t="s">
        <v>1497</v>
      </c>
      <c r="E307" s="11" t="s">
        <v>287</v>
      </c>
      <c r="F307" s="11" t="s">
        <v>2066</v>
      </c>
      <c r="G307" s="37" t="n">
        <v>2232</v>
      </c>
      <c r="H307" s="37" t="n">
        <v>-44955</v>
      </c>
    </row>
    <row r="308" customFormat="false" ht="15" hidden="false" customHeight="false" outlineLevel="0" collapsed="false">
      <c r="A308" s="11" t="s">
        <v>2067</v>
      </c>
      <c r="B308" s="38" t="n">
        <v>45870</v>
      </c>
      <c r="C308" s="11" t="s">
        <v>1496</v>
      </c>
      <c r="D308" s="11" t="s">
        <v>1497</v>
      </c>
      <c r="E308" s="11" t="s">
        <v>335</v>
      </c>
      <c r="F308" s="11" t="s">
        <v>2068</v>
      </c>
      <c r="G308" s="37" t="n">
        <v>6744</v>
      </c>
      <c r="H308" s="37" t="n">
        <v>-38211</v>
      </c>
    </row>
    <row r="309" customFormat="false" ht="15" hidden="false" customHeight="false" outlineLevel="0" collapsed="false">
      <c r="A309" s="11" t="s">
        <v>2069</v>
      </c>
      <c r="B309" s="38" t="n">
        <v>45873</v>
      </c>
      <c r="C309" s="11" t="s">
        <v>1496</v>
      </c>
      <c r="D309" s="11" t="s">
        <v>1497</v>
      </c>
      <c r="E309" s="11" t="s">
        <v>280</v>
      </c>
      <c r="F309" s="11" t="s">
        <v>2070</v>
      </c>
      <c r="G309" s="37" t="n">
        <v>5700</v>
      </c>
      <c r="H309" s="37" t="n">
        <v>-32511</v>
      </c>
    </row>
    <row r="310" customFormat="false" ht="15" hidden="false" customHeight="false" outlineLevel="0" collapsed="false">
      <c r="A310" s="11" t="s">
        <v>2071</v>
      </c>
      <c r="B310" s="38" t="n">
        <v>45873</v>
      </c>
      <c r="C310" s="11" t="s">
        <v>1496</v>
      </c>
      <c r="D310" s="11" t="s">
        <v>1497</v>
      </c>
      <c r="E310" s="11" t="s">
        <v>331</v>
      </c>
      <c r="F310" s="11" t="s">
        <v>2072</v>
      </c>
      <c r="G310" s="37" t="n">
        <v>13884</v>
      </c>
      <c r="H310" s="37" t="n">
        <v>-18627</v>
      </c>
    </row>
    <row r="311" customFormat="false" ht="15" hidden="false" customHeight="false" outlineLevel="0" collapsed="false">
      <c r="A311" s="11" t="s">
        <v>2073</v>
      </c>
      <c r="B311" s="38" t="n">
        <v>45873</v>
      </c>
      <c r="C311" s="11" t="s">
        <v>1496</v>
      </c>
      <c r="D311" s="11" t="s">
        <v>1497</v>
      </c>
      <c r="E311" s="11" t="s">
        <v>280</v>
      </c>
      <c r="F311" s="11" t="s">
        <v>2074</v>
      </c>
      <c r="G311" s="37" t="n">
        <v>8580</v>
      </c>
      <c r="H311" s="37" t="n">
        <v>-10047</v>
      </c>
    </row>
    <row r="312" customFormat="false" ht="15" hidden="false" customHeight="false" outlineLevel="0" collapsed="false">
      <c r="A312" s="11" t="s">
        <v>2075</v>
      </c>
      <c r="B312" s="38" t="n">
        <v>45873</v>
      </c>
      <c r="C312" s="11" t="s">
        <v>1496</v>
      </c>
      <c r="D312" s="11" t="s">
        <v>1497</v>
      </c>
      <c r="E312" s="11" t="s">
        <v>298</v>
      </c>
      <c r="F312" s="11" t="s">
        <v>2076</v>
      </c>
      <c r="G312" s="37" t="n">
        <v>10260</v>
      </c>
      <c r="H312" s="37" t="n">
        <v>213</v>
      </c>
    </row>
    <row r="313" customFormat="false" ht="15" hidden="false" customHeight="false" outlineLevel="0" collapsed="false">
      <c r="A313" s="11" t="s">
        <v>2077</v>
      </c>
      <c r="B313" s="38" t="n">
        <v>45873</v>
      </c>
      <c r="C313" s="11" t="s">
        <v>1496</v>
      </c>
      <c r="D313" s="11" t="s">
        <v>1497</v>
      </c>
      <c r="E313" s="11" t="s">
        <v>349</v>
      </c>
      <c r="F313" s="11" t="s">
        <v>2078</v>
      </c>
      <c r="G313" s="37" t="n">
        <v>7320</v>
      </c>
      <c r="H313" s="37" t="n">
        <v>7533</v>
      </c>
    </row>
    <row r="314" customFormat="false" ht="15" hidden="false" customHeight="false" outlineLevel="0" collapsed="false">
      <c r="A314" s="11" t="s">
        <v>2079</v>
      </c>
      <c r="B314" s="38" t="n">
        <v>45873</v>
      </c>
      <c r="C314" s="11" t="s">
        <v>1496</v>
      </c>
      <c r="D314" s="11" t="s">
        <v>1497</v>
      </c>
      <c r="E314" s="11" t="s">
        <v>280</v>
      </c>
      <c r="F314" s="11" t="s">
        <v>2080</v>
      </c>
      <c r="G314" s="37" t="n">
        <v>12768</v>
      </c>
      <c r="H314" s="37" t="n">
        <v>20301</v>
      </c>
    </row>
    <row r="315" customFormat="false" ht="15" hidden="false" customHeight="false" outlineLevel="0" collapsed="false">
      <c r="A315" s="11" t="s">
        <v>2081</v>
      </c>
      <c r="B315" s="38" t="n">
        <v>45873</v>
      </c>
      <c r="C315" s="11" t="s">
        <v>1500</v>
      </c>
      <c r="D315" s="11" t="s">
        <v>448</v>
      </c>
      <c r="E315" s="11" t="s">
        <v>449</v>
      </c>
      <c r="F315" s="11"/>
      <c r="G315" s="37" t="n">
        <v>-2880</v>
      </c>
      <c r="H315" s="37" t="n">
        <v>17421</v>
      </c>
    </row>
    <row r="316" customFormat="false" ht="15" hidden="false" customHeight="false" outlineLevel="0" collapsed="false">
      <c r="A316" s="11" t="s">
        <v>2082</v>
      </c>
      <c r="B316" s="38" t="n">
        <v>45873</v>
      </c>
      <c r="C316" s="11" t="s">
        <v>1496</v>
      </c>
      <c r="D316" s="11" t="s">
        <v>1497</v>
      </c>
      <c r="E316" s="11" t="s">
        <v>280</v>
      </c>
      <c r="F316" s="11" t="s">
        <v>2083</v>
      </c>
      <c r="G316" s="37" t="n">
        <v>17760</v>
      </c>
      <c r="H316" s="37" t="n">
        <v>35181</v>
      </c>
    </row>
    <row r="317" customFormat="false" ht="15" hidden="false" customHeight="false" outlineLevel="0" collapsed="false">
      <c r="A317" s="11" t="s">
        <v>2084</v>
      </c>
      <c r="B317" s="38" t="n">
        <v>45873</v>
      </c>
      <c r="C317" s="11" t="s">
        <v>1496</v>
      </c>
      <c r="D317" s="11" t="s">
        <v>1497</v>
      </c>
      <c r="E317" s="11" t="s">
        <v>280</v>
      </c>
      <c r="F317" s="11" t="s">
        <v>2085</v>
      </c>
      <c r="G317" s="37" t="n">
        <v>8460</v>
      </c>
      <c r="H317" s="37" t="n">
        <v>43641</v>
      </c>
    </row>
    <row r="318" customFormat="false" ht="15" hidden="false" customHeight="false" outlineLevel="0" collapsed="false">
      <c r="A318" s="11" t="s">
        <v>2086</v>
      </c>
      <c r="B318" s="38" t="n">
        <v>45873</v>
      </c>
      <c r="C318" s="11" t="s">
        <v>1496</v>
      </c>
      <c r="D318" s="11" t="s">
        <v>1497</v>
      </c>
      <c r="E318" s="11" t="s">
        <v>392</v>
      </c>
      <c r="F318" s="11" t="s">
        <v>2087</v>
      </c>
      <c r="G318" s="37" t="n">
        <v>14088</v>
      </c>
      <c r="H318" s="37" t="n">
        <v>57729</v>
      </c>
    </row>
    <row r="319" customFormat="false" ht="15" hidden="false" customHeight="false" outlineLevel="0" collapsed="false">
      <c r="A319" s="11" t="s">
        <v>2088</v>
      </c>
      <c r="B319" s="38" t="n">
        <v>45873</v>
      </c>
      <c r="C319" s="11" t="s">
        <v>1496</v>
      </c>
      <c r="D319" s="11" t="s">
        <v>1497</v>
      </c>
      <c r="E319" s="11" t="s">
        <v>287</v>
      </c>
      <c r="F319" s="11" t="s">
        <v>2089</v>
      </c>
      <c r="G319" s="37" t="n">
        <v>4056</v>
      </c>
      <c r="H319" s="37" t="n">
        <v>61785</v>
      </c>
    </row>
    <row r="320" customFormat="false" ht="15" hidden="false" customHeight="false" outlineLevel="0" collapsed="false">
      <c r="A320" s="11" t="s">
        <v>2090</v>
      </c>
      <c r="B320" s="38" t="n">
        <v>45873</v>
      </c>
      <c r="C320" s="11" t="s">
        <v>1496</v>
      </c>
      <c r="D320" s="11" t="s">
        <v>1497</v>
      </c>
      <c r="E320" s="11" t="s">
        <v>323</v>
      </c>
      <c r="F320" s="11" t="s">
        <v>2091</v>
      </c>
      <c r="G320" s="37" t="n">
        <v>12156</v>
      </c>
      <c r="H320" s="37" t="n">
        <v>73941</v>
      </c>
    </row>
    <row r="321" customFormat="false" ht="15" hidden="false" customHeight="false" outlineLevel="0" collapsed="false">
      <c r="A321" s="11" t="s">
        <v>2092</v>
      </c>
      <c r="B321" s="38" t="n">
        <v>45874</v>
      </c>
      <c r="C321" s="11" t="s">
        <v>1500</v>
      </c>
      <c r="D321" s="11" t="s">
        <v>469</v>
      </c>
      <c r="E321" s="11" t="s">
        <v>470</v>
      </c>
      <c r="F321" s="11"/>
      <c r="G321" s="37" t="n">
        <v>-8900</v>
      </c>
      <c r="H321" s="37" t="n">
        <v>65041</v>
      </c>
    </row>
    <row r="322" customFormat="false" ht="15" hidden="false" customHeight="false" outlineLevel="0" collapsed="false">
      <c r="A322" s="11" t="s">
        <v>2093</v>
      </c>
      <c r="B322" s="38" t="n">
        <v>45875</v>
      </c>
      <c r="C322" s="11" t="s">
        <v>1496</v>
      </c>
      <c r="D322" s="11" t="s">
        <v>1497</v>
      </c>
      <c r="E322" s="11" t="s">
        <v>327</v>
      </c>
      <c r="F322" s="11" t="s">
        <v>2094</v>
      </c>
      <c r="G322" s="37" t="n">
        <v>27492</v>
      </c>
      <c r="H322" s="37" t="n">
        <v>92533</v>
      </c>
    </row>
    <row r="323" customFormat="false" ht="15" hidden="false" customHeight="false" outlineLevel="0" collapsed="false">
      <c r="A323" s="11" t="s">
        <v>2095</v>
      </c>
      <c r="B323" s="38" t="n">
        <v>45875</v>
      </c>
      <c r="C323" s="11" t="s">
        <v>1496</v>
      </c>
      <c r="D323" s="11" t="s">
        <v>1497</v>
      </c>
      <c r="E323" s="11" t="s">
        <v>331</v>
      </c>
      <c r="F323" s="11" t="s">
        <v>2096</v>
      </c>
      <c r="G323" s="37" t="n">
        <v>10596</v>
      </c>
      <c r="H323" s="37" t="n">
        <v>103129</v>
      </c>
    </row>
    <row r="324" customFormat="false" ht="15" hidden="false" customHeight="false" outlineLevel="0" collapsed="false">
      <c r="A324" s="11" t="s">
        <v>2097</v>
      </c>
      <c r="B324" s="38" t="n">
        <v>45875</v>
      </c>
      <c r="C324" s="11" t="s">
        <v>1500</v>
      </c>
      <c r="D324" s="11" t="s">
        <v>291</v>
      </c>
      <c r="E324" s="11" t="s">
        <v>292</v>
      </c>
      <c r="F324" s="11"/>
      <c r="G324" s="37" t="n">
        <v>-1933.97</v>
      </c>
      <c r="H324" s="37" t="n">
        <v>101195.03</v>
      </c>
    </row>
    <row r="325" customFormat="false" ht="15" hidden="false" customHeight="false" outlineLevel="0" collapsed="false">
      <c r="A325" s="11" t="s">
        <v>2098</v>
      </c>
      <c r="B325" s="38" t="n">
        <v>45876</v>
      </c>
      <c r="C325" s="11" t="s">
        <v>1500</v>
      </c>
      <c r="D325" s="11" t="s">
        <v>307</v>
      </c>
      <c r="E325" s="11" t="s">
        <v>313</v>
      </c>
      <c r="F325" s="11" t="s">
        <v>2099</v>
      </c>
      <c r="G325" s="37" t="n">
        <v>-2806.96</v>
      </c>
      <c r="H325" s="37" t="n">
        <v>98388.07</v>
      </c>
    </row>
    <row r="326" customFormat="false" ht="15" hidden="false" customHeight="false" outlineLevel="0" collapsed="false">
      <c r="A326" s="11" t="s">
        <v>2100</v>
      </c>
      <c r="B326" s="38" t="n">
        <v>45876</v>
      </c>
      <c r="C326" s="11" t="s">
        <v>1500</v>
      </c>
      <c r="D326" s="11" t="s">
        <v>307</v>
      </c>
      <c r="E326" s="11" t="s">
        <v>458</v>
      </c>
      <c r="F326" s="11" t="s">
        <v>2101</v>
      </c>
      <c r="G326" s="37" t="n">
        <v>-30659.92</v>
      </c>
      <c r="H326" s="37" t="n">
        <v>67728.15</v>
      </c>
    </row>
    <row r="327" customFormat="false" ht="15" hidden="false" customHeight="false" outlineLevel="0" collapsed="false">
      <c r="A327" s="11" t="s">
        <v>2102</v>
      </c>
      <c r="B327" s="38" t="n">
        <v>45876</v>
      </c>
      <c r="C327" s="11" t="s">
        <v>1496</v>
      </c>
      <c r="D327" s="11" t="s">
        <v>1497</v>
      </c>
      <c r="E327" s="11" t="s">
        <v>327</v>
      </c>
      <c r="F327" s="11" t="s">
        <v>2103</v>
      </c>
      <c r="G327" s="37" t="n">
        <v>23400</v>
      </c>
      <c r="H327" s="37" t="n">
        <v>91128.15</v>
      </c>
    </row>
    <row r="328" customFormat="false" ht="15" hidden="false" customHeight="false" outlineLevel="0" collapsed="false">
      <c r="A328" s="11" t="s">
        <v>2104</v>
      </c>
      <c r="B328" s="38" t="n">
        <v>45877</v>
      </c>
      <c r="C328" s="11" t="s">
        <v>1496</v>
      </c>
      <c r="D328" s="11" t="s">
        <v>1497</v>
      </c>
      <c r="E328" s="11" t="s">
        <v>323</v>
      </c>
      <c r="F328" s="11" t="s">
        <v>2105</v>
      </c>
      <c r="G328" s="37" t="n">
        <v>12456</v>
      </c>
      <c r="H328" s="37" t="n">
        <v>103584.15</v>
      </c>
    </row>
    <row r="329" customFormat="false" ht="15" hidden="false" customHeight="false" outlineLevel="0" collapsed="false">
      <c r="A329" s="11" t="s">
        <v>2106</v>
      </c>
      <c r="B329" s="38" t="n">
        <v>45877</v>
      </c>
      <c r="C329" s="11" t="s">
        <v>1500</v>
      </c>
      <c r="D329" s="11" t="s">
        <v>480</v>
      </c>
      <c r="E329" s="11" t="s">
        <v>481</v>
      </c>
      <c r="F329" s="11"/>
      <c r="G329" s="37" t="n">
        <v>-9840</v>
      </c>
      <c r="H329" s="37" t="n">
        <v>93744.15</v>
      </c>
    </row>
    <row r="330" customFormat="false" ht="15" hidden="false" customHeight="false" outlineLevel="0" collapsed="false">
      <c r="A330" s="11" t="s">
        <v>2107</v>
      </c>
      <c r="B330" s="38" t="n">
        <v>45877</v>
      </c>
      <c r="C330" s="11" t="s">
        <v>1496</v>
      </c>
      <c r="D330" s="11" t="s">
        <v>1497</v>
      </c>
      <c r="E330" s="11" t="s">
        <v>280</v>
      </c>
      <c r="F330" s="11" t="s">
        <v>2108</v>
      </c>
      <c r="G330" s="37" t="n">
        <v>7848</v>
      </c>
      <c r="H330" s="37" t="n">
        <v>101592.15</v>
      </c>
    </row>
    <row r="331" customFormat="false" ht="15" hidden="false" customHeight="false" outlineLevel="0" collapsed="false">
      <c r="A331" s="11" t="s">
        <v>2109</v>
      </c>
      <c r="B331" s="38" t="n">
        <v>45880</v>
      </c>
      <c r="C331" s="11" t="s">
        <v>1500</v>
      </c>
      <c r="D331" s="11" t="s">
        <v>272</v>
      </c>
      <c r="E331" s="11" t="s">
        <v>273</v>
      </c>
      <c r="F331" s="11"/>
      <c r="G331" s="37" t="n">
        <v>-3840</v>
      </c>
      <c r="H331" s="37" t="n">
        <v>97752.15</v>
      </c>
    </row>
    <row r="332" customFormat="false" ht="15" hidden="false" customHeight="false" outlineLevel="0" collapsed="false">
      <c r="A332" s="11" t="s">
        <v>2110</v>
      </c>
      <c r="B332" s="38" t="n">
        <v>45880</v>
      </c>
      <c r="C332" s="11" t="s">
        <v>1496</v>
      </c>
      <c r="D332" s="11" t="s">
        <v>1497</v>
      </c>
      <c r="E332" s="11" t="s">
        <v>327</v>
      </c>
      <c r="F332" s="11" t="s">
        <v>2111</v>
      </c>
      <c r="G332" s="37" t="n">
        <v>33480</v>
      </c>
      <c r="H332" s="37" t="n">
        <v>131232.15</v>
      </c>
    </row>
    <row r="333" customFormat="false" ht="15" hidden="false" customHeight="false" outlineLevel="0" collapsed="false">
      <c r="A333" s="11" t="s">
        <v>2112</v>
      </c>
      <c r="B333" s="38" t="n">
        <v>45880</v>
      </c>
      <c r="C333" s="11" t="s">
        <v>1496</v>
      </c>
      <c r="D333" s="11" t="s">
        <v>1497</v>
      </c>
      <c r="E333" s="11" t="s">
        <v>287</v>
      </c>
      <c r="F333" s="11" t="s">
        <v>2113</v>
      </c>
      <c r="G333" s="37" t="n">
        <v>2688</v>
      </c>
      <c r="H333" s="37" t="n">
        <v>133920.15</v>
      </c>
    </row>
    <row r="334" customFormat="false" ht="15" hidden="false" customHeight="false" outlineLevel="0" collapsed="false">
      <c r="A334" s="11" t="s">
        <v>2114</v>
      </c>
      <c r="B334" s="38" t="n">
        <v>45880</v>
      </c>
      <c r="C334" s="11" t="s">
        <v>1496</v>
      </c>
      <c r="D334" s="11" t="s">
        <v>1497</v>
      </c>
      <c r="E334" s="11" t="s">
        <v>335</v>
      </c>
      <c r="F334" s="11" t="s">
        <v>2115</v>
      </c>
      <c r="G334" s="37" t="n">
        <v>8088</v>
      </c>
      <c r="H334" s="37" t="n">
        <v>142008.15</v>
      </c>
    </row>
    <row r="335" customFormat="false" ht="15" hidden="false" customHeight="false" outlineLevel="0" collapsed="false">
      <c r="A335" s="11" t="s">
        <v>2116</v>
      </c>
      <c r="B335" s="38" t="n">
        <v>45880</v>
      </c>
      <c r="C335" s="11" t="s">
        <v>1496</v>
      </c>
      <c r="D335" s="11" t="s">
        <v>1497</v>
      </c>
      <c r="E335" s="11" t="s">
        <v>280</v>
      </c>
      <c r="F335" s="11" t="s">
        <v>2117</v>
      </c>
      <c r="G335" s="37" t="n">
        <v>11568</v>
      </c>
      <c r="H335" s="37" t="n">
        <v>153576.15</v>
      </c>
    </row>
    <row r="336" customFormat="false" ht="15" hidden="false" customHeight="false" outlineLevel="0" collapsed="false">
      <c r="A336" s="11" t="s">
        <v>2118</v>
      </c>
      <c r="B336" s="38" t="n">
        <v>45880</v>
      </c>
      <c r="C336" s="11" t="s">
        <v>1496</v>
      </c>
      <c r="D336" s="11" t="s">
        <v>1497</v>
      </c>
      <c r="E336" s="11" t="s">
        <v>349</v>
      </c>
      <c r="F336" s="11" t="s">
        <v>2119</v>
      </c>
      <c r="G336" s="37" t="n">
        <v>12372</v>
      </c>
      <c r="H336" s="37" t="n">
        <v>165948.15</v>
      </c>
    </row>
    <row r="337" customFormat="false" ht="15" hidden="false" customHeight="false" outlineLevel="0" collapsed="false">
      <c r="A337" s="11" t="s">
        <v>2120</v>
      </c>
      <c r="B337" s="38" t="n">
        <v>45881</v>
      </c>
      <c r="C337" s="11" t="s">
        <v>1496</v>
      </c>
      <c r="D337" s="11" t="s">
        <v>1497</v>
      </c>
      <c r="E337" s="11" t="s">
        <v>327</v>
      </c>
      <c r="F337" s="11" t="s">
        <v>2121</v>
      </c>
      <c r="G337" s="37" t="n">
        <v>10860</v>
      </c>
      <c r="H337" s="37" t="n">
        <v>176808.15</v>
      </c>
    </row>
    <row r="338" customFormat="false" ht="15" hidden="false" customHeight="false" outlineLevel="0" collapsed="false">
      <c r="A338" s="11" t="s">
        <v>2122</v>
      </c>
      <c r="B338" s="38" t="n">
        <v>45881</v>
      </c>
      <c r="C338" s="11" t="s">
        <v>1496</v>
      </c>
      <c r="D338" s="11" t="s">
        <v>1497</v>
      </c>
      <c r="E338" s="11" t="s">
        <v>327</v>
      </c>
      <c r="F338" s="11" t="s">
        <v>2123</v>
      </c>
      <c r="G338" s="37" t="n">
        <v>9312</v>
      </c>
      <c r="H338" s="37" t="n">
        <v>186120.15</v>
      </c>
    </row>
    <row r="339" customFormat="false" ht="15" hidden="false" customHeight="false" outlineLevel="0" collapsed="false">
      <c r="A339" s="11" t="s">
        <v>2124</v>
      </c>
      <c r="B339" s="38" t="n">
        <v>45882</v>
      </c>
      <c r="C339" s="11" t="s">
        <v>1496</v>
      </c>
      <c r="D339" s="11" t="s">
        <v>1497</v>
      </c>
      <c r="E339" s="11" t="s">
        <v>335</v>
      </c>
      <c r="F339" s="11" t="s">
        <v>2125</v>
      </c>
      <c r="G339" s="37" t="n">
        <v>4644</v>
      </c>
      <c r="H339" s="37" t="n">
        <v>190764.15</v>
      </c>
    </row>
    <row r="340" customFormat="false" ht="15" hidden="false" customHeight="false" outlineLevel="0" collapsed="false">
      <c r="A340" s="11" t="s">
        <v>2126</v>
      </c>
      <c r="B340" s="38" t="n">
        <v>45882</v>
      </c>
      <c r="C340" s="11" t="s">
        <v>1500</v>
      </c>
      <c r="D340" s="11" t="s">
        <v>291</v>
      </c>
      <c r="E340" s="11" t="s">
        <v>292</v>
      </c>
      <c r="F340" s="11"/>
      <c r="G340" s="37" t="n">
        <v>-1638.96</v>
      </c>
      <c r="H340" s="37" t="n">
        <v>189125.19</v>
      </c>
    </row>
    <row r="341" customFormat="false" ht="15" hidden="false" customHeight="false" outlineLevel="0" collapsed="false">
      <c r="A341" s="11" t="s">
        <v>2127</v>
      </c>
      <c r="B341" s="38" t="n">
        <v>45882</v>
      </c>
      <c r="C341" s="11" t="s">
        <v>1496</v>
      </c>
      <c r="D341" s="11" t="s">
        <v>1497</v>
      </c>
      <c r="E341" s="11" t="s">
        <v>335</v>
      </c>
      <c r="F341" s="11" t="s">
        <v>2128</v>
      </c>
      <c r="G341" s="37" t="n">
        <v>7728</v>
      </c>
      <c r="H341" s="37" t="n">
        <v>196853.19</v>
      </c>
    </row>
    <row r="342" customFormat="false" ht="15" hidden="false" customHeight="false" outlineLevel="0" collapsed="false">
      <c r="A342" s="11" t="s">
        <v>2129</v>
      </c>
      <c r="B342" s="38" t="n">
        <v>45883</v>
      </c>
      <c r="C342" s="11" t="s">
        <v>1500</v>
      </c>
      <c r="D342" s="11" t="s">
        <v>307</v>
      </c>
      <c r="E342" s="11" t="s">
        <v>464</v>
      </c>
      <c r="F342" s="11" t="s">
        <v>2130</v>
      </c>
      <c r="G342" s="37" t="n">
        <v>-6762.19</v>
      </c>
      <c r="H342" s="37" t="n">
        <v>190091</v>
      </c>
    </row>
    <row r="343" customFormat="false" ht="15" hidden="false" customHeight="false" outlineLevel="0" collapsed="false">
      <c r="A343" s="11" t="s">
        <v>2131</v>
      </c>
      <c r="B343" s="38" t="n">
        <v>45883</v>
      </c>
      <c r="C343" s="11" t="s">
        <v>1500</v>
      </c>
      <c r="D343" s="11" t="s">
        <v>307</v>
      </c>
      <c r="E343" s="11" t="s">
        <v>313</v>
      </c>
      <c r="F343" s="11" t="s">
        <v>2132</v>
      </c>
      <c r="G343" s="37" t="n">
        <v>-2861.94</v>
      </c>
      <c r="H343" s="37" t="n">
        <v>187229.06</v>
      </c>
    </row>
    <row r="344" customFormat="false" ht="15" hidden="false" customHeight="false" outlineLevel="0" collapsed="false">
      <c r="A344" s="11" t="s">
        <v>2133</v>
      </c>
      <c r="B344" s="38" t="n">
        <v>45883</v>
      </c>
      <c r="C344" s="11" t="s">
        <v>1500</v>
      </c>
      <c r="D344" s="11" t="s">
        <v>307</v>
      </c>
      <c r="E344" s="11" t="s">
        <v>308</v>
      </c>
      <c r="F344" s="11" t="s">
        <v>2134</v>
      </c>
      <c r="G344" s="37" t="n">
        <v>-18537.95</v>
      </c>
      <c r="H344" s="37" t="n">
        <v>168691.11</v>
      </c>
    </row>
    <row r="345" customFormat="false" ht="15" hidden="false" customHeight="false" outlineLevel="0" collapsed="false">
      <c r="A345" s="11" t="s">
        <v>2135</v>
      </c>
      <c r="B345" s="38" t="n">
        <v>45883</v>
      </c>
      <c r="C345" s="11" t="s">
        <v>1500</v>
      </c>
      <c r="D345" s="11" t="s">
        <v>307</v>
      </c>
      <c r="E345" s="11" t="s">
        <v>308</v>
      </c>
      <c r="F345" s="11" t="s">
        <v>2136</v>
      </c>
      <c r="G345" s="37" t="n">
        <v>-28800</v>
      </c>
      <c r="H345" s="37" t="n">
        <v>139891.11</v>
      </c>
    </row>
    <row r="346" customFormat="false" ht="15" hidden="false" customHeight="false" outlineLevel="0" collapsed="false">
      <c r="A346" s="11" t="s">
        <v>2137</v>
      </c>
      <c r="B346" s="38" t="n">
        <v>45883</v>
      </c>
      <c r="C346" s="11" t="s">
        <v>1496</v>
      </c>
      <c r="D346" s="11" t="s">
        <v>1497</v>
      </c>
      <c r="E346" s="11" t="s">
        <v>323</v>
      </c>
      <c r="F346" s="11" t="s">
        <v>2138</v>
      </c>
      <c r="G346" s="37" t="n">
        <v>5436</v>
      </c>
      <c r="H346" s="37" t="n">
        <v>145327.11</v>
      </c>
    </row>
    <row r="347" customFormat="false" ht="15" hidden="false" customHeight="false" outlineLevel="0" collapsed="false">
      <c r="A347" s="11" t="s">
        <v>2139</v>
      </c>
      <c r="B347" s="38" t="n">
        <v>45883</v>
      </c>
      <c r="C347" s="11" t="s">
        <v>1496</v>
      </c>
      <c r="D347" s="11" t="s">
        <v>1497</v>
      </c>
      <c r="E347" s="11" t="s">
        <v>280</v>
      </c>
      <c r="F347" s="11" t="s">
        <v>2140</v>
      </c>
      <c r="G347" s="37" t="n">
        <v>7464</v>
      </c>
      <c r="H347" s="37" t="n">
        <v>152791.11</v>
      </c>
    </row>
    <row r="348" customFormat="false" ht="15" hidden="false" customHeight="false" outlineLevel="0" collapsed="false">
      <c r="A348" s="11" t="s">
        <v>2141</v>
      </c>
      <c r="B348" s="38" t="n">
        <v>45887</v>
      </c>
      <c r="C348" s="11" t="s">
        <v>1496</v>
      </c>
      <c r="D348" s="11" t="s">
        <v>1497</v>
      </c>
      <c r="E348" s="11" t="s">
        <v>280</v>
      </c>
      <c r="F348" s="11" t="s">
        <v>2142</v>
      </c>
      <c r="G348" s="37" t="n">
        <v>2796</v>
      </c>
      <c r="H348" s="37" t="n">
        <v>155587.11</v>
      </c>
    </row>
    <row r="349" customFormat="false" ht="15" hidden="false" customHeight="false" outlineLevel="0" collapsed="false">
      <c r="A349" s="11" t="s">
        <v>2143</v>
      </c>
      <c r="B349" s="38" t="n">
        <v>45887</v>
      </c>
      <c r="C349" s="11" t="s">
        <v>1496</v>
      </c>
      <c r="D349" s="11" t="s">
        <v>1497</v>
      </c>
      <c r="E349" s="11" t="s">
        <v>597</v>
      </c>
      <c r="F349" s="11" t="s">
        <v>2144</v>
      </c>
      <c r="G349" s="37" t="n">
        <v>140400</v>
      </c>
      <c r="H349" s="37" t="n">
        <v>295987.11</v>
      </c>
    </row>
    <row r="350" customFormat="false" ht="15" hidden="false" customHeight="false" outlineLevel="0" collapsed="false">
      <c r="A350" s="11" t="s">
        <v>2145</v>
      </c>
      <c r="B350" s="38" t="n">
        <v>45887</v>
      </c>
      <c r="C350" s="11" t="s">
        <v>1500</v>
      </c>
      <c r="D350" s="11" t="s">
        <v>317</v>
      </c>
      <c r="E350" s="11" t="s">
        <v>318</v>
      </c>
      <c r="F350" s="11"/>
      <c r="G350" s="37" t="n">
        <v>-82000</v>
      </c>
      <c r="H350" s="37" t="n">
        <v>213987.11</v>
      </c>
    </row>
    <row r="351" customFormat="false" ht="15" hidden="false" customHeight="false" outlineLevel="0" collapsed="false">
      <c r="A351" s="11" t="s">
        <v>2146</v>
      </c>
      <c r="B351" s="38" t="n">
        <v>45887</v>
      </c>
      <c r="C351" s="11" t="s">
        <v>1496</v>
      </c>
      <c r="D351" s="11" t="s">
        <v>1497</v>
      </c>
      <c r="E351" s="11" t="s">
        <v>349</v>
      </c>
      <c r="F351" s="11" t="s">
        <v>2147</v>
      </c>
      <c r="G351" s="37" t="n">
        <v>19332</v>
      </c>
      <c r="H351" s="37" t="n">
        <v>233319.11</v>
      </c>
    </row>
    <row r="352" customFormat="false" ht="15" hidden="false" customHeight="false" outlineLevel="0" collapsed="false">
      <c r="A352" s="11" t="s">
        <v>2148</v>
      </c>
      <c r="B352" s="38" t="n">
        <v>45887</v>
      </c>
      <c r="C352" s="11" t="s">
        <v>1496</v>
      </c>
      <c r="D352" s="11" t="s">
        <v>1497</v>
      </c>
      <c r="E352" s="11" t="s">
        <v>298</v>
      </c>
      <c r="F352" s="11" t="s">
        <v>2149</v>
      </c>
      <c r="G352" s="37" t="n">
        <v>8610</v>
      </c>
      <c r="H352" s="37" t="n">
        <v>241929.11</v>
      </c>
    </row>
    <row r="353" customFormat="false" ht="15" hidden="false" customHeight="false" outlineLevel="0" collapsed="false">
      <c r="A353" s="11" t="s">
        <v>2150</v>
      </c>
      <c r="B353" s="38" t="n">
        <v>45887</v>
      </c>
      <c r="C353" s="11" t="s">
        <v>1496</v>
      </c>
      <c r="D353" s="11" t="s">
        <v>1497</v>
      </c>
      <c r="E353" s="11" t="s">
        <v>392</v>
      </c>
      <c r="F353" s="11" t="s">
        <v>2151</v>
      </c>
      <c r="G353" s="37" t="n">
        <v>5484</v>
      </c>
      <c r="H353" s="37" t="n">
        <v>247413.11</v>
      </c>
    </row>
    <row r="354" customFormat="false" ht="15" hidden="false" customHeight="false" outlineLevel="0" collapsed="false">
      <c r="A354" s="11" t="s">
        <v>2152</v>
      </c>
      <c r="B354" s="38" t="n">
        <v>45887</v>
      </c>
      <c r="C354" s="11" t="s">
        <v>1496</v>
      </c>
      <c r="D354" s="11" t="s">
        <v>1497</v>
      </c>
      <c r="E354" s="11" t="s">
        <v>399</v>
      </c>
      <c r="F354" s="11" t="s">
        <v>2153</v>
      </c>
      <c r="G354" s="37" t="n">
        <v>21600</v>
      </c>
      <c r="H354" s="37" t="n">
        <v>269013.11</v>
      </c>
    </row>
    <row r="355" customFormat="false" ht="15" hidden="false" customHeight="false" outlineLevel="0" collapsed="false">
      <c r="A355" s="11" t="s">
        <v>2154</v>
      </c>
      <c r="B355" s="38" t="n">
        <v>45887</v>
      </c>
      <c r="C355" s="11" t="s">
        <v>1496</v>
      </c>
      <c r="D355" s="11" t="s">
        <v>1497</v>
      </c>
      <c r="E355" s="11" t="s">
        <v>298</v>
      </c>
      <c r="F355" s="11" t="s">
        <v>2155</v>
      </c>
      <c r="G355" s="37" t="n">
        <v>11820</v>
      </c>
      <c r="H355" s="37" t="n">
        <v>280833.11</v>
      </c>
    </row>
    <row r="356" customFormat="false" ht="15" hidden="false" customHeight="false" outlineLevel="0" collapsed="false">
      <c r="A356" s="11" t="s">
        <v>2156</v>
      </c>
      <c r="B356" s="38" t="n">
        <v>45887</v>
      </c>
      <c r="C356" s="11" t="s">
        <v>1496</v>
      </c>
      <c r="D356" s="11" t="s">
        <v>1497</v>
      </c>
      <c r="E356" s="11" t="s">
        <v>323</v>
      </c>
      <c r="F356" s="11" t="s">
        <v>2157</v>
      </c>
      <c r="G356" s="37" t="n">
        <v>7260</v>
      </c>
      <c r="H356" s="37" t="n">
        <v>288093.11</v>
      </c>
    </row>
    <row r="357" customFormat="false" ht="15" hidden="false" customHeight="false" outlineLevel="0" collapsed="false">
      <c r="A357" s="11" t="s">
        <v>2158</v>
      </c>
      <c r="B357" s="38" t="n">
        <v>45888</v>
      </c>
      <c r="C357" s="11" t="s">
        <v>1496</v>
      </c>
      <c r="D357" s="11" t="s">
        <v>1497</v>
      </c>
      <c r="E357" s="11" t="s">
        <v>298</v>
      </c>
      <c r="F357" s="11" t="s">
        <v>2159</v>
      </c>
      <c r="G357" s="37" t="n">
        <v>9030</v>
      </c>
      <c r="H357" s="37" t="n">
        <v>297123.11</v>
      </c>
    </row>
    <row r="358" customFormat="false" ht="15" hidden="false" customHeight="false" outlineLevel="0" collapsed="false">
      <c r="A358" s="11" t="s">
        <v>2160</v>
      </c>
      <c r="B358" s="38" t="n">
        <v>45889</v>
      </c>
      <c r="C358" s="11" t="s">
        <v>1500</v>
      </c>
      <c r="D358" s="11" t="s">
        <v>291</v>
      </c>
      <c r="E358" s="11" t="s">
        <v>292</v>
      </c>
      <c r="F358" s="11"/>
      <c r="G358" s="37" t="n">
        <v>-1679.42</v>
      </c>
      <c r="H358" s="37" t="n">
        <v>295443.69</v>
      </c>
    </row>
    <row r="359" customFormat="false" ht="15" hidden="false" customHeight="false" outlineLevel="0" collapsed="false">
      <c r="A359" s="11" t="s">
        <v>2161</v>
      </c>
      <c r="B359" s="38" t="n">
        <v>45889</v>
      </c>
      <c r="C359" s="11" t="s">
        <v>1496</v>
      </c>
      <c r="D359" s="11" t="s">
        <v>1497</v>
      </c>
      <c r="E359" s="11" t="s">
        <v>287</v>
      </c>
      <c r="F359" s="11" t="s">
        <v>2162</v>
      </c>
      <c r="G359" s="37" t="n">
        <v>7296</v>
      </c>
      <c r="H359" s="37" t="n">
        <v>302739.69</v>
      </c>
    </row>
    <row r="360" customFormat="false" ht="15" hidden="false" customHeight="false" outlineLevel="0" collapsed="false">
      <c r="A360" s="11" t="s">
        <v>2163</v>
      </c>
      <c r="B360" s="38" t="n">
        <v>45890</v>
      </c>
      <c r="C360" s="11" t="s">
        <v>1496</v>
      </c>
      <c r="D360" s="11" t="s">
        <v>1497</v>
      </c>
      <c r="E360" s="11" t="s">
        <v>335</v>
      </c>
      <c r="F360" s="11" t="s">
        <v>2164</v>
      </c>
      <c r="G360" s="37" t="n">
        <v>6324</v>
      </c>
      <c r="H360" s="37" t="n">
        <v>309063.69</v>
      </c>
    </row>
    <row r="361" customFormat="false" ht="15" hidden="false" customHeight="false" outlineLevel="0" collapsed="false">
      <c r="A361" s="11" t="s">
        <v>2165</v>
      </c>
      <c r="B361" s="38" t="n">
        <v>45890</v>
      </c>
      <c r="C361" s="11" t="s">
        <v>1496</v>
      </c>
      <c r="D361" s="11" t="s">
        <v>1497</v>
      </c>
      <c r="E361" s="11" t="s">
        <v>327</v>
      </c>
      <c r="F361" s="11" t="s">
        <v>2166</v>
      </c>
      <c r="G361" s="37" t="n">
        <v>13248</v>
      </c>
      <c r="H361" s="37" t="n">
        <v>322311.69</v>
      </c>
    </row>
    <row r="362" customFormat="false" ht="15" hidden="false" customHeight="false" outlineLevel="0" collapsed="false">
      <c r="A362" s="11" t="s">
        <v>2167</v>
      </c>
      <c r="B362" s="38" t="n">
        <v>45890</v>
      </c>
      <c r="C362" s="11" t="s">
        <v>1500</v>
      </c>
      <c r="D362" s="11" t="s">
        <v>307</v>
      </c>
      <c r="E362" s="11" t="s">
        <v>313</v>
      </c>
      <c r="F362" s="11" t="s">
        <v>2168</v>
      </c>
      <c r="G362" s="37" t="n">
        <v>-2613.3</v>
      </c>
      <c r="H362" s="37" t="n">
        <v>319698.39</v>
      </c>
    </row>
    <row r="363" customFormat="false" ht="15" hidden="false" customHeight="false" outlineLevel="0" collapsed="false">
      <c r="A363" s="11" t="s">
        <v>2169</v>
      </c>
      <c r="B363" s="38" t="n">
        <v>45890</v>
      </c>
      <c r="C363" s="11" t="s">
        <v>1496</v>
      </c>
      <c r="D363" s="11" t="s">
        <v>1497</v>
      </c>
      <c r="E363" s="11" t="s">
        <v>331</v>
      </c>
      <c r="F363" s="11" t="s">
        <v>2170</v>
      </c>
      <c r="G363" s="37" t="n">
        <v>6972</v>
      </c>
      <c r="H363" s="37" t="n">
        <v>326670.39</v>
      </c>
    </row>
    <row r="364" customFormat="false" ht="15" hidden="false" customHeight="false" outlineLevel="0" collapsed="false">
      <c r="A364" s="11" t="s">
        <v>2171</v>
      </c>
      <c r="B364" s="38" t="n">
        <v>45890</v>
      </c>
      <c r="C364" s="11" t="s">
        <v>1496</v>
      </c>
      <c r="D364" s="11" t="s">
        <v>1497</v>
      </c>
      <c r="E364" s="11" t="s">
        <v>287</v>
      </c>
      <c r="F364" s="11" t="s">
        <v>2172</v>
      </c>
      <c r="G364" s="37" t="n">
        <v>2376</v>
      </c>
      <c r="H364" s="37" t="n">
        <v>329046.39</v>
      </c>
    </row>
    <row r="365" customFormat="false" ht="15" hidden="false" customHeight="false" outlineLevel="0" collapsed="false">
      <c r="A365" s="11" t="s">
        <v>2173</v>
      </c>
      <c r="B365" s="38" t="n">
        <v>45891</v>
      </c>
      <c r="C365" s="11" t="s">
        <v>1496</v>
      </c>
      <c r="D365" s="11" t="s">
        <v>1497</v>
      </c>
      <c r="E365" s="11" t="s">
        <v>331</v>
      </c>
      <c r="F365" s="11" t="s">
        <v>2174</v>
      </c>
      <c r="G365" s="37" t="n">
        <v>9528</v>
      </c>
      <c r="H365" s="37" t="n">
        <v>338574.39</v>
      </c>
    </row>
    <row r="366" customFormat="false" ht="15" hidden="false" customHeight="false" outlineLevel="0" collapsed="false">
      <c r="A366" s="11" t="s">
        <v>2175</v>
      </c>
      <c r="B366" s="38" t="n">
        <v>45891</v>
      </c>
      <c r="C366" s="11" t="s">
        <v>1496</v>
      </c>
      <c r="D366" s="11" t="s">
        <v>1497</v>
      </c>
      <c r="E366" s="11" t="s">
        <v>392</v>
      </c>
      <c r="F366" s="11" t="s">
        <v>2176</v>
      </c>
      <c r="G366" s="37" t="n">
        <v>24252</v>
      </c>
      <c r="H366" s="37" t="n">
        <v>362826.39</v>
      </c>
    </row>
    <row r="367" customFormat="false" ht="15" hidden="false" customHeight="false" outlineLevel="0" collapsed="false">
      <c r="A367" s="11" t="s">
        <v>2177</v>
      </c>
      <c r="B367" s="38" t="n">
        <v>45894</v>
      </c>
      <c r="C367" s="11" t="s">
        <v>1496</v>
      </c>
      <c r="D367" s="11" t="s">
        <v>1497</v>
      </c>
      <c r="E367" s="11" t="s">
        <v>331</v>
      </c>
      <c r="F367" s="11" t="s">
        <v>2178</v>
      </c>
      <c r="G367" s="37" t="n">
        <v>14796</v>
      </c>
      <c r="H367" s="37" t="n">
        <v>377622.39</v>
      </c>
    </row>
    <row r="368" customFormat="false" ht="15" hidden="false" customHeight="false" outlineLevel="0" collapsed="false">
      <c r="A368" s="11" t="s">
        <v>2179</v>
      </c>
      <c r="B368" s="38" t="n">
        <v>45894</v>
      </c>
      <c r="C368" s="11" t="s">
        <v>1496</v>
      </c>
      <c r="D368" s="11" t="s">
        <v>1497</v>
      </c>
      <c r="E368" s="11" t="s">
        <v>323</v>
      </c>
      <c r="F368" s="11" t="s">
        <v>2180</v>
      </c>
      <c r="G368" s="37" t="n">
        <v>7896</v>
      </c>
      <c r="H368" s="37" t="n">
        <v>385518.39</v>
      </c>
    </row>
    <row r="369" customFormat="false" ht="15" hidden="false" customHeight="false" outlineLevel="0" collapsed="false">
      <c r="A369" s="11" t="s">
        <v>2181</v>
      </c>
      <c r="B369" s="38" t="n">
        <v>45894</v>
      </c>
      <c r="C369" s="11" t="s">
        <v>1496</v>
      </c>
      <c r="D369" s="11" t="s">
        <v>1497</v>
      </c>
      <c r="E369" s="11" t="s">
        <v>298</v>
      </c>
      <c r="F369" s="11" t="s">
        <v>2182</v>
      </c>
      <c r="G369" s="37" t="n">
        <v>8880</v>
      </c>
      <c r="H369" s="37" t="n">
        <v>394398.39</v>
      </c>
    </row>
    <row r="370" customFormat="false" ht="15" hidden="false" customHeight="false" outlineLevel="0" collapsed="false">
      <c r="A370" s="11" t="s">
        <v>2183</v>
      </c>
      <c r="B370" s="38" t="n">
        <v>45894</v>
      </c>
      <c r="C370" s="11" t="s">
        <v>1496</v>
      </c>
      <c r="D370" s="11" t="s">
        <v>1497</v>
      </c>
      <c r="E370" s="11" t="s">
        <v>392</v>
      </c>
      <c r="F370" s="11" t="s">
        <v>2184</v>
      </c>
      <c r="G370" s="37" t="n">
        <v>13404</v>
      </c>
      <c r="H370" s="37" t="n">
        <v>407802.39</v>
      </c>
    </row>
    <row r="371" customFormat="false" ht="15" hidden="false" customHeight="false" outlineLevel="0" collapsed="false">
      <c r="A371" s="11" t="s">
        <v>2185</v>
      </c>
      <c r="B371" s="38" t="n">
        <v>45894</v>
      </c>
      <c r="C371" s="11" t="s">
        <v>1496</v>
      </c>
      <c r="D371" s="11" t="s">
        <v>1497</v>
      </c>
      <c r="E371" s="11" t="s">
        <v>280</v>
      </c>
      <c r="F371" s="11" t="s">
        <v>2186</v>
      </c>
      <c r="G371" s="37" t="n">
        <v>8184</v>
      </c>
      <c r="H371" s="37" t="n">
        <v>415986.39</v>
      </c>
    </row>
    <row r="372" customFormat="false" ht="15" hidden="false" customHeight="false" outlineLevel="0" collapsed="false">
      <c r="A372" s="11" t="s">
        <v>2187</v>
      </c>
      <c r="B372" s="38" t="n">
        <v>45894</v>
      </c>
      <c r="C372" s="11" t="s">
        <v>1496</v>
      </c>
      <c r="D372" s="11" t="s">
        <v>1497</v>
      </c>
      <c r="E372" s="11" t="s">
        <v>331</v>
      </c>
      <c r="F372" s="11" t="s">
        <v>2188</v>
      </c>
      <c r="G372" s="37" t="n">
        <v>14400</v>
      </c>
      <c r="H372" s="37" t="n">
        <v>430386.39</v>
      </c>
    </row>
    <row r="373" customFormat="false" ht="15" hidden="false" customHeight="false" outlineLevel="0" collapsed="false">
      <c r="A373" s="11" t="s">
        <v>2189</v>
      </c>
      <c r="B373" s="38" t="n">
        <v>45894</v>
      </c>
      <c r="C373" s="11" t="s">
        <v>1500</v>
      </c>
      <c r="D373" s="11" t="s">
        <v>383</v>
      </c>
      <c r="E373" s="11" t="s">
        <v>384</v>
      </c>
      <c r="F373" s="11" t="s">
        <v>2190</v>
      </c>
      <c r="G373" s="37" t="n">
        <v>-48477.47</v>
      </c>
      <c r="H373" s="37" t="n">
        <v>381908.92</v>
      </c>
    </row>
    <row r="374" customFormat="false" ht="15" hidden="false" customHeight="false" outlineLevel="0" collapsed="false">
      <c r="A374" s="11" t="s">
        <v>2191</v>
      </c>
      <c r="B374" s="38" t="n">
        <v>45894</v>
      </c>
      <c r="C374" s="11" t="s">
        <v>1496</v>
      </c>
      <c r="D374" s="11" t="s">
        <v>1497</v>
      </c>
      <c r="E374" s="11" t="s">
        <v>287</v>
      </c>
      <c r="F374" s="11" t="s">
        <v>2192</v>
      </c>
      <c r="G374" s="37" t="n">
        <v>2112</v>
      </c>
      <c r="H374" s="37" t="n">
        <v>384020.92</v>
      </c>
    </row>
    <row r="375" customFormat="false" ht="15" hidden="false" customHeight="false" outlineLevel="0" collapsed="false">
      <c r="A375" s="11" t="s">
        <v>2193</v>
      </c>
      <c r="B375" s="38" t="n">
        <v>45894</v>
      </c>
      <c r="C375" s="11" t="s">
        <v>1496</v>
      </c>
      <c r="D375" s="11" t="s">
        <v>1497</v>
      </c>
      <c r="E375" s="11" t="s">
        <v>298</v>
      </c>
      <c r="F375" s="11" t="s">
        <v>2194</v>
      </c>
      <c r="G375" s="37" t="n">
        <v>7710</v>
      </c>
      <c r="H375" s="37" t="n">
        <v>391730.92</v>
      </c>
    </row>
    <row r="376" customFormat="false" ht="15" hidden="false" customHeight="false" outlineLevel="0" collapsed="false">
      <c r="A376" s="11" t="s">
        <v>2195</v>
      </c>
      <c r="B376" s="38" t="n">
        <v>45896</v>
      </c>
      <c r="C376" s="11" t="s">
        <v>1496</v>
      </c>
      <c r="D376" s="11" t="s">
        <v>1497</v>
      </c>
      <c r="E376" s="11" t="s">
        <v>335</v>
      </c>
      <c r="F376" s="11" t="s">
        <v>2196</v>
      </c>
      <c r="G376" s="37" t="n">
        <v>12264</v>
      </c>
      <c r="H376" s="37" t="n">
        <v>403994.92</v>
      </c>
    </row>
    <row r="377" customFormat="false" ht="15" hidden="false" customHeight="false" outlineLevel="0" collapsed="false">
      <c r="A377" s="11" t="s">
        <v>2197</v>
      </c>
      <c r="B377" s="38" t="n">
        <v>45896</v>
      </c>
      <c r="C377" s="11" t="s">
        <v>1496</v>
      </c>
      <c r="D377" s="11" t="s">
        <v>1497</v>
      </c>
      <c r="E377" s="11" t="s">
        <v>331</v>
      </c>
      <c r="F377" s="11" t="s">
        <v>2198</v>
      </c>
      <c r="G377" s="37" t="n">
        <v>5316</v>
      </c>
      <c r="H377" s="37" t="n">
        <v>409310.92</v>
      </c>
    </row>
    <row r="378" customFormat="false" ht="15" hidden="false" customHeight="false" outlineLevel="0" collapsed="false">
      <c r="A378" s="11" t="s">
        <v>2199</v>
      </c>
      <c r="B378" s="38" t="n">
        <v>45896</v>
      </c>
      <c r="C378" s="11" t="s">
        <v>1500</v>
      </c>
      <c r="D378" s="11" t="s">
        <v>291</v>
      </c>
      <c r="E378" s="11" t="s">
        <v>292</v>
      </c>
      <c r="F378" s="11"/>
      <c r="G378" s="37" t="n">
        <v>-1869.26</v>
      </c>
      <c r="H378" s="37" t="n">
        <v>407441.66</v>
      </c>
    </row>
    <row r="379" customFormat="false" ht="15" hidden="false" customHeight="false" outlineLevel="0" collapsed="false">
      <c r="A379" s="11" t="s">
        <v>2200</v>
      </c>
      <c r="B379" s="38" t="n">
        <v>45896</v>
      </c>
      <c r="C379" s="11" t="s">
        <v>1496</v>
      </c>
      <c r="D379" s="11" t="s">
        <v>1497</v>
      </c>
      <c r="E379" s="11" t="s">
        <v>287</v>
      </c>
      <c r="F379" s="11" t="s">
        <v>2201</v>
      </c>
      <c r="G379" s="37" t="n">
        <v>4092</v>
      </c>
      <c r="H379" s="37" t="n">
        <v>411533.66</v>
      </c>
    </row>
    <row r="380" customFormat="false" ht="15" hidden="false" customHeight="false" outlineLevel="0" collapsed="false">
      <c r="A380" s="11" t="s">
        <v>2202</v>
      </c>
      <c r="B380" s="38" t="n">
        <v>45896</v>
      </c>
      <c r="C380" s="11" t="s">
        <v>1496</v>
      </c>
      <c r="D380" s="11" t="s">
        <v>1497</v>
      </c>
      <c r="E380" s="11" t="s">
        <v>327</v>
      </c>
      <c r="F380" s="11" t="s">
        <v>2203</v>
      </c>
      <c r="G380" s="37" t="n">
        <v>18408</v>
      </c>
      <c r="H380" s="37" t="n">
        <v>429941.66</v>
      </c>
    </row>
    <row r="381" customFormat="false" ht="15" hidden="false" customHeight="false" outlineLevel="0" collapsed="false">
      <c r="A381" s="11" t="s">
        <v>2204</v>
      </c>
      <c r="B381" s="38" t="n">
        <v>45897</v>
      </c>
      <c r="C381" s="11" t="s">
        <v>1500</v>
      </c>
      <c r="D381" s="11" t="s">
        <v>307</v>
      </c>
      <c r="E381" s="11" t="s">
        <v>308</v>
      </c>
      <c r="F381" s="11" t="s">
        <v>2205</v>
      </c>
      <c r="G381" s="37" t="n">
        <v>-18119.8</v>
      </c>
      <c r="H381" s="37" t="n">
        <v>411821.86</v>
      </c>
    </row>
    <row r="382" customFormat="false" ht="15" hidden="false" customHeight="false" outlineLevel="0" collapsed="false">
      <c r="A382" s="11" t="s">
        <v>2206</v>
      </c>
      <c r="B382" s="38" t="n">
        <v>45897</v>
      </c>
      <c r="C382" s="11" t="s">
        <v>1496</v>
      </c>
      <c r="D382" s="11" t="s">
        <v>1497</v>
      </c>
      <c r="E382" s="11" t="s">
        <v>331</v>
      </c>
      <c r="F382" s="11" t="s">
        <v>2207</v>
      </c>
      <c r="G382" s="37" t="n">
        <v>6420</v>
      </c>
      <c r="H382" s="37" t="n">
        <v>418241.86</v>
      </c>
    </row>
    <row r="383" customFormat="false" ht="15" hidden="false" customHeight="false" outlineLevel="0" collapsed="false">
      <c r="A383" s="11" t="s">
        <v>2208</v>
      </c>
      <c r="B383" s="38" t="n">
        <v>45897</v>
      </c>
      <c r="C383" s="11" t="s">
        <v>1500</v>
      </c>
      <c r="D383" s="11" t="s">
        <v>307</v>
      </c>
      <c r="E383" s="11" t="s">
        <v>414</v>
      </c>
      <c r="F383" s="11" t="s">
        <v>2209</v>
      </c>
      <c r="G383" s="37" t="n">
        <v>-14923.07</v>
      </c>
      <c r="H383" s="37" t="n">
        <v>403318.79</v>
      </c>
    </row>
    <row r="384" customFormat="false" ht="15" hidden="false" customHeight="false" outlineLevel="0" collapsed="false">
      <c r="A384" s="11" t="s">
        <v>2210</v>
      </c>
      <c r="B384" s="38" t="n">
        <v>45897</v>
      </c>
      <c r="C384" s="11" t="s">
        <v>1500</v>
      </c>
      <c r="D384" s="11" t="s">
        <v>307</v>
      </c>
      <c r="E384" s="11" t="s">
        <v>313</v>
      </c>
      <c r="F384" s="11" t="s">
        <v>2211</v>
      </c>
      <c r="G384" s="37" t="n">
        <v>-5887.22</v>
      </c>
      <c r="H384" s="37" t="n">
        <v>397431.57</v>
      </c>
    </row>
    <row r="385" customFormat="false" ht="15" hidden="false" customHeight="false" outlineLevel="0" collapsed="false">
      <c r="A385" s="11" t="s">
        <v>2212</v>
      </c>
      <c r="B385" s="38" t="n">
        <v>45898</v>
      </c>
      <c r="C385" s="11" t="s">
        <v>1496</v>
      </c>
      <c r="D385" s="11" t="s">
        <v>1497</v>
      </c>
      <c r="E385" s="11" t="s">
        <v>280</v>
      </c>
      <c r="F385" s="11" t="s">
        <v>2213</v>
      </c>
      <c r="G385" s="37" t="n">
        <v>15756</v>
      </c>
      <c r="H385" s="37" t="n">
        <v>413187.57</v>
      </c>
    </row>
    <row r="386" customFormat="false" ht="15" hidden="false" customHeight="false" outlineLevel="0" collapsed="false">
      <c r="A386" s="11" t="s">
        <v>2214</v>
      </c>
      <c r="B386" s="38" t="n">
        <v>45898</v>
      </c>
      <c r="C386" s="11" t="s">
        <v>1500</v>
      </c>
      <c r="D386" s="11" t="s">
        <v>1634</v>
      </c>
      <c r="E386" s="11" t="s">
        <v>425</v>
      </c>
      <c r="F386" s="11"/>
      <c r="G386" s="37" t="n">
        <v>-101500</v>
      </c>
      <c r="H386" s="37" t="n">
        <v>311687.57</v>
      </c>
    </row>
    <row r="387" customFormat="false" ht="15" hidden="false" customHeight="false" outlineLevel="0" collapsed="false">
      <c r="A387" s="11" t="s">
        <v>2215</v>
      </c>
      <c r="B387" s="38" t="n">
        <v>45901</v>
      </c>
      <c r="C387" s="11" t="s">
        <v>1496</v>
      </c>
      <c r="D387" s="11" t="s">
        <v>1497</v>
      </c>
      <c r="E387" s="11" t="s">
        <v>335</v>
      </c>
      <c r="F387" s="11" t="s">
        <v>2216</v>
      </c>
      <c r="G387" s="37" t="n">
        <v>6660</v>
      </c>
      <c r="H387" s="37" t="n">
        <v>318347.57</v>
      </c>
    </row>
    <row r="388" customFormat="false" ht="15" hidden="false" customHeight="false" outlineLevel="0" collapsed="false">
      <c r="A388" s="11" t="s">
        <v>2217</v>
      </c>
      <c r="B388" s="38" t="n">
        <v>45901</v>
      </c>
      <c r="C388" s="11" t="s">
        <v>1496</v>
      </c>
      <c r="D388" s="11" t="s">
        <v>1497</v>
      </c>
      <c r="E388" s="11" t="s">
        <v>280</v>
      </c>
      <c r="F388" s="11" t="s">
        <v>2218</v>
      </c>
      <c r="G388" s="37" t="n">
        <v>12816</v>
      </c>
      <c r="H388" s="37" t="n">
        <v>331163.57</v>
      </c>
    </row>
    <row r="389" customFormat="false" ht="15" hidden="false" customHeight="false" outlineLevel="0" collapsed="false">
      <c r="A389" s="11" t="s">
        <v>2219</v>
      </c>
      <c r="B389" s="38" t="n">
        <v>45901</v>
      </c>
      <c r="C389" s="11" t="s">
        <v>1496</v>
      </c>
      <c r="D389" s="11" t="s">
        <v>1497</v>
      </c>
      <c r="E389" s="11" t="s">
        <v>327</v>
      </c>
      <c r="F389" s="11" t="s">
        <v>2220</v>
      </c>
      <c r="G389" s="37" t="n">
        <v>28068</v>
      </c>
      <c r="H389" s="37" t="n">
        <v>359231.57</v>
      </c>
    </row>
    <row r="390" customFormat="false" ht="15" hidden="false" customHeight="false" outlineLevel="0" collapsed="false">
      <c r="A390" s="11" t="s">
        <v>2221</v>
      </c>
      <c r="B390" s="38" t="n">
        <v>45901</v>
      </c>
      <c r="C390" s="11" t="s">
        <v>1496</v>
      </c>
      <c r="D390" s="11" t="s">
        <v>1497</v>
      </c>
      <c r="E390" s="11" t="s">
        <v>280</v>
      </c>
      <c r="F390" s="11" t="s">
        <v>2222</v>
      </c>
      <c r="G390" s="37" t="n">
        <v>6600</v>
      </c>
      <c r="H390" s="37" t="n">
        <v>365831.57</v>
      </c>
    </row>
    <row r="391" customFormat="false" ht="15" hidden="false" customHeight="false" outlineLevel="0" collapsed="false">
      <c r="A391" s="11" t="s">
        <v>2223</v>
      </c>
      <c r="B391" s="38" t="n">
        <v>45901</v>
      </c>
      <c r="C391" s="11" t="s">
        <v>1496</v>
      </c>
      <c r="D391" s="11" t="s">
        <v>1497</v>
      </c>
      <c r="E391" s="11" t="s">
        <v>280</v>
      </c>
      <c r="F391" s="11" t="s">
        <v>2224</v>
      </c>
      <c r="G391" s="37" t="n">
        <v>11532</v>
      </c>
      <c r="H391" s="37" t="n">
        <v>377363.57</v>
      </c>
    </row>
    <row r="392" customFormat="false" ht="15" hidden="false" customHeight="false" outlineLevel="0" collapsed="false">
      <c r="A392" s="11" t="s">
        <v>2225</v>
      </c>
      <c r="B392" s="38" t="n">
        <v>45901</v>
      </c>
      <c r="C392" s="11" t="s">
        <v>1496</v>
      </c>
      <c r="D392" s="11" t="s">
        <v>1497</v>
      </c>
      <c r="E392" s="11" t="s">
        <v>280</v>
      </c>
      <c r="F392" s="11" t="s">
        <v>2226</v>
      </c>
      <c r="G392" s="37" t="n">
        <v>7308</v>
      </c>
      <c r="H392" s="37" t="n">
        <v>384671.57</v>
      </c>
    </row>
    <row r="393" customFormat="false" ht="15" hidden="false" customHeight="false" outlineLevel="0" collapsed="false">
      <c r="A393" s="11" t="s">
        <v>2227</v>
      </c>
      <c r="B393" s="38" t="n">
        <v>45901</v>
      </c>
      <c r="C393" s="11" t="s">
        <v>1496</v>
      </c>
      <c r="D393" s="11" t="s">
        <v>1497</v>
      </c>
      <c r="E393" s="11" t="s">
        <v>349</v>
      </c>
      <c r="F393" s="11" t="s">
        <v>2228</v>
      </c>
      <c r="G393" s="37" t="n">
        <v>7776</v>
      </c>
      <c r="H393" s="37" t="n">
        <v>392447.57</v>
      </c>
    </row>
    <row r="394" customFormat="false" ht="15" hidden="false" customHeight="false" outlineLevel="0" collapsed="false">
      <c r="A394" s="11" t="s">
        <v>2229</v>
      </c>
      <c r="B394" s="38" t="n">
        <v>45901</v>
      </c>
      <c r="C394" s="11" t="s">
        <v>1496</v>
      </c>
      <c r="D394" s="11" t="s">
        <v>1497</v>
      </c>
      <c r="E394" s="11" t="s">
        <v>392</v>
      </c>
      <c r="F394" s="11" t="s">
        <v>2230</v>
      </c>
      <c r="G394" s="37" t="n">
        <v>12084</v>
      </c>
      <c r="H394" s="37" t="n">
        <v>404531.57</v>
      </c>
    </row>
    <row r="395" customFormat="false" ht="15" hidden="false" customHeight="false" outlineLevel="0" collapsed="false">
      <c r="A395" s="11" t="s">
        <v>2231</v>
      </c>
      <c r="B395" s="38" t="n">
        <v>45901</v>
      </c>
      <c r="C395" s="11" t="s">
        <v>1496</v>
      </c>
      <c r="D395" s="11" t="s">
        <v>1497</v>
      </c>
      <c r="E395" s="11" t="s">
        <v>335</v>
      </c>
      <c r="F395" s="11" t="s">
        <v>2232</v>
      </c>
      <c r="G395" s="37" t="n">
        <v>4524</v>
      </c>
      <c r="H395" s="37" t="n">
        <v>409055.57</v>
      </c>
    </row>
    <row r="396" customFormat="false" ht="15" hidden="false" customHeight="false" outlineLevel="0" collapsed="false">
      <c r="A396" s="11" t="s">
        <v>2233</v>
      </c>
      <c r="B396" s="38" t="n">
        <v>45903</v>
      </c>
      <c r="C396" s="11" t="s">
        <v>1496</v>
      </c>
      <c r="D396" s="11" t="s">
        <v>1497</v>
      </c>
      <c r="E396" s="11" t="s">
        <v>298</v>
      </c>
      <c r="F396" s="11" t="s">
        <v>2234</v>
      </c>
      <c r="G396" s="37" t="n">
        <v>8780</v>
      </c>
      <c r="H396" s="37" t="n">
        <v>417835.57</v>
      </c>
    </row>
    <row r="397" customFormat="false" ht="15" hidden="false" customHeight="false" outlineLevel="0" collapsed="false">
      <c r="A397" s="11" t="s">
        <v>2235</v>
      </c>
      <c r="B397" s="38" t="n">
        <v>45903</v>
      </c>
      <c r="C397" s="11" t="s">
        <v>1500</v>
      </c>
      <c r="D397" s="11" t="s">
        <v>448</v>
      </c>
      <c r="E397" s="11" t="s">
        <v>449</v>
      </c>
      <c r="F397" s="11"/>
      <c r="G397" s="37" t="n">
        <v>-2880</v>
      </c>
      <c r="H397" s="37" t="n">
        <v>414955.57</v>
      </c>
    </row>
    <row r="398" customFormat="false" ht="15" hidden="false" customHeight="false" outlineLevel="0" collapsed="false">
      <c r="A398" s="11" t="s">
        <v>2236</v>
      </c>
      <c r="B398" s="38" t="n">
        <v>45903</v>
      </c>
      <c r="C398" s="11" t="s">
        <v>1496</v>
      </c>
      <c r="D398" s="11" t="s">
        <v>1497</v>
      </c>
      <c r="E398" s="11" t="s">
        <v>287</v>
      </c>
      <c r="F398" s="11" t="s">
        <v>2237</v>
      </c>
      <c r="G398" s="37" t="n">
        <v>2664</v>
      </c>
      <c r="H398" s="37" t="n">
        <v>417619.57</v>
      </c>
    </row>
    <row r="399" customFormat="false" ht="15" hidden="false" customHeight="false" outlineLevel="0" collapsed="false">
      <c r="A399" s="11" t="s">
        <v>2238</v>
      </c>
      <c r="B399" s="38" t="n">
        <v>45903</v>
      </c>
      <c r="C399" s="11" t="s">
        <v>1500</v>
      </c>
      <c r="D399" s="11" t="s">
        <v>291</v>
      </c>
      <c r="E399" s="11" t="s">
        <v>292</v>
      </c>
      <c r="F399" s="11"/>
      <c r="G399" s="37" t="n">
        <v>-4224.53</v>
      </c>
      <c r="H399" s="37" t="n">
        <v>413395.04</v>
      </c>
    </row>
    <row r="400" customFormat="false" ht="15" hidden="false" customHeight="false" outlineLevel="0" collapsed="false">
      <c r="A400" s="11" t="s">
        <v>2239</v>
      </c>
      <c r="B400" s="38" t="n">
        <v>45903</v>
      </c>
      <c r="C400" s="11" t="s">
        <v>1496</v>
      </c>
      <c r="D400" s="11" t="s">
        <v>1497</v>
      </c>
      <c r="E400" s="11" t="s">
        <v>331</v>
      </c>
      <c r="F400" s="11" t="s">
        <v>2240</v>
      </c>
      <c r="G400" s="37" t="n">
        <v>8460</v>
      </c>
      <c r="H400" s="37" t="n">
        <v>421855.04</v>
      </c>
    </row>
    <row r="401" customFormat="false" ht="15" hidden="false" customHeight="false" outlineLevel="0" collapsed="false">
      <c r="A401" s="11" t="s">
        <v>2241</v>
      </c>
      <c r="B401" s="38" t="n">
        <v>45904</v>
      </c>
      <c r="C401" s="11" t="s">
        <v>1500</v>
      </c>
      <c r="D401" s="11" t="s">
        <v>307</v>
      </c>
      <c r="E401" s="11" t="s">
        <v>420</v>
      </c>
      <c r="F401" s="11" t="s">
        <v>2242</v>
      </c>
      <c r="G401" s="37" t="n">
        <v>-118164.37</v>
      </c>
      <c r="H401" s="37" t="n">
        <v>303690.67</v>
      </c>
    </row>
    <row r="402" customFormat="false" ht="15" hidden="false" customHeight="false" outlineLevel="0" collapsed="false">
      <c r="A402" s="11" t="s">
        <v>2243</v>
      </c>
      <c r="B402" s="38" t="n">
        <v>45904</v>
      </c>
      <c r="C402" s="11" t="s">
        <v>1500</v>
      </c>
      <c r="D402" s="11" t="s">
        <v>307</v>
      </c>
      <c r="E402" s="11" t="s">
        <v>313</v>
      </c>
      <c r="F402" s="11" t="s">
        <v>2244</v>
      </c>
      <c r="G402" s="37" t="n">
        <v>-5921.29</v>
      </c>
      <c r="H402" s="37" t="n">
        <v>297769.38</v>
      </c>
    </row>
    <row r="403" customFormat="false" ht="15" hidden="false" customHeight="false" outlineLevel="0" collapsed="false">
      <c r="A403" s="11" t="s">
        <v>2245</v>
      </c>
      <c r="B403" s="38" t="n">
        <v>45904</v>
      </c>
      <c r="C403" s="11" t="s">
        <v>1500</v>
      </c>
      <c r="D403" s="11" t="s">
        <v>307</v>
      </c>
      <c r="E403" s="11" t="s">
        <v>458</v>
      </c>
      <c r="F403" s="11" t="s">
        <v>2246</v>
      </c>
      <c r="G403" s="37" t="n">
        <v>-18744.28</v>
      </c>
      <c r="H403" s="37" t="n">
        <v>279025.1</v>
      </c>
    </row>
    <row r="404" customFormat="false" ht="15" hidden="false" customHeight="false" outlineLevel="0" collapsed="false">
      <c r="A404" s="11" t="s">
        <v>2247</v>
      </c>
      <c r="B404" s="38" t="n">
        <v>45905</v>
      </c>
      <c r="C404" s="11" t="s">
        <v>1500</v>
      </c>
      <c r="D404" s="11" t="s">
        <v>469</v>
      </c>
      <c r="E404" s="11" t="s">
        <v>470</v>
      </c>
      <c r="F404" s="11"/>
      <c r="G404" s="37" t="n">
        <v>-8900</v>
      </c>
      <c r="H404" s="37" t="n">
        <v>270125.1</v>
      </c>
    </row>
    <row r="405" customFormat="false" ht="15" hidden="false" customHeight="false" outlineLevel="0" collapsed="false">
      <c r="A405" s="11" t="s">
        <v>2248</v>
      </c>
      <c r="B405" s="38" t="n">
        <v>45908</v>
      </c>
      <c r="C405" s="11" t="s">
        <v>1496</v>
      </c>
      <c r="D405" s="11" t="s">
        <v>1497</v>
      </c>
      <c r="E405" s="11" t="s">
        <v>280</v>
      </c>
      <c r="F405" s="11" t="s">
        <v>2249</v>
      </c>
      <c r="G405" s="37" t="n">
        <v>11472</v>
      </c>
      <c r="H405" s="37" t="n">
        <v>281597.1</v>
      </c>
    </row>
    <row r="406" customFormat="false" ht="15" hidden="false" customHeight="false" outlineLevel="0" collapsed="false">
      <c r="A406" s="11" t="s">
        <v>2250</v>
      </c>
      <c r="B406" s="38" t="n">
        <v>45908</v>
      </c>
      <c r="C406" s="11" t="s">
        <v>1496</v>
      </c>
      <c r="D406" s="11" t="s">
        <v>1497</v>
      </c>
      <c r="E406" s="11" t="s">
        <v>323</v>
      </c>
      <c r="F406" s="11" t="s">
        <v>2251</v>
      </c>
      <c r="G406" s="37" t="n">
        <v>8844</v>
      </c>
      <c r="H406" s="37" t="n">
        <v>290441.1</v>
      </c>
    </row>
    <row r="407" customFormat="false" ht="15" hidden="false" customHeight="false" outlineLevel="0" collapsed="false">
      <c r="A407" s="11" t="s">
        <v>2252</v>
      </c>
      <c r="B407" s="38" t="n">
        <v>45908</v>
      </c>
      <c r="C407" s="11" t="s">
        <v>1500</v>
      </c>
      <c r="D407" s="11" t="s">
        <v>480</v>
      </c>
      <c r="E407" s="11" t="s">
        <v>481</v>
      </c>
      <c r="F407" s="11"/>
      <c r="G407" s="37" t="n">
        <v>-9840</v>
      </c>
      <c r="H407" s="37" t="n">
        <v>280601.1</v>
      </c>
    </row>
    <row r="408" customFormat="false" ht="15" hidden="false" customHeight="false" outlineLevel="0" collapsed="false">
      <c r="A408" s="11" t="s">
        <v>2253</v>
      </c>
      <c r="B408" s="38" t="n">
        <v>45908</v>
      </c>
      <c r="C408" s="11" t="s">
        <v>1496</v>
      </c>
      <c r="D408" s="11" t="s">
        <v>1497</v>
      </c>
      <c r="E408" s="11" t="s">
        <v>287</v>
      </c>
      <c r="F408" s="11" t="s">
        <v>2254</v>
      </c>
      <c r="G408" s="37" t="n">
        <v>6048</v>
      </c>
      <c r="H408" s="37" t="n">
        <v>286649.1</v>
      </c>
    </row>
    <row r="409" customFormat="false" ht="15" hidden="false" customHeight="false" outlineLevel="0" collapsed="false">
      <c r="A409" s="11" t="s">
        <v>2255</v>
      </c>
      <c r="B409" s="38" t="n">
        <v>45908</v>
      </c>
      <c r="C409" s="11" t="s">
        <v>1496</v>
      </c>
      <c r="D409" s="11" t="s">
        <v>1497</v>
      </c>
      <c r="E409" s="11" t="s">
        <v>335</v>
      </c>
      <c r="F409" s="11" t="s">
        <v>2256</v>
      </c>
      <c r="G409" s="37" t="n">
        <v>8652</v>
      </c>
      <c r="H409" s="37" t="n">
        <v>295301.1</v>
      </c>
    </row>
    <row r="410" customFormat="false" ht="15" hidden="false" customHeight="false" outlineLevel="0" collapsed="false">
      <c r="A410" s="11" t="s">
        <v>2257</v>
      </c>
      <c r="B410" s="38" t="n">
        <v>45908</v>
      </c>
      <c r="C410" s="11" t="s">
        <v>1496</v>
      </c>
      <c r="D410" s="11" t="s">
        <v>1497</v>
      </c>
      <c r="E410" s="11" t="s">
        <v>349</v>
      </c>
      <c r="F410" s="11" t="s">
        <v>2258</v>
      </c>
      <c r="G410" s="37" t="n">
        <v>12324</v>
      </c>
      <c r="H410" s="37" t="n">
        <v>307625.1</v>
      </c>
    </row>
    <row r="411" customFormat="false" ht="15" hidden="false" customHeight="false" outlineLevel="0" collapsed="false">
      <c r="A411" s="11" t="s">
        <v>2259</v>
      </c>
      <c r="B411" s="38" t="n">
        <v>45908</v>
      </c>
      <c r="C411" s="11" t="s">
        <v>1496</v>
      </c>
      <c r="D411" s="11" t="s">
        <v>1497</v>
      </c>
      <c r="E411" s="11" t="s">
        <v>327</v>
      </c>
      <c r="F411" s="11" t="s">
        <v>2260</v>
      </c>
      <c r="G411" s="37" t="n">
        <v>59436</v>
      </c>
      <c r="H411" s="37" t="n">
        <v>367061.1</v>
      </c>
    </row>
    <row r="412" customFormat="false" ht="15" hidden="false" customHeight="false" outlineLevel="0" collapsed="false">
      <c r="A412" s="11" t="s">
        <v>2261</v>
      </c>
      <c r="B412" s="38" t="n">
        <v>45908</v>
      </c>
      <c r="C412" s="11" t="s">
        <v>1496</v>
      </c>
      <c r="D412" s="11" t="s">
        <v>1497</v>
      </c>
      <c r="E412" s="11" t="s">
        <v>349</v>
      </c>
      <c r="F412" s="11" t="s">
        <v>2262</v>
      </c>
      <c r="G412" s="37" t="n">
        <v>12984</v>
      </c>
      <c r="H412" s="37" t="n">
        <v>380045.1</v>
      </c>
    </row>
    <row r="413" customFormat="false" ht="15" hidden="false" customHeight="false" outlineLevel="0" collapsed="false">
      <c r="A413" s="11" t="s">
        <v>2263</v>
      </c>
      <c r="B413" s="38" t="n">
        <v>45908</v>
      </c>
      <c r="C413" s="11" t="s">
        <v>1496</v>
      </c>
      <c r="D413" s="11" t="s">
        <v>1497</v>
      </c>
      <c r="E413" s="11" t="s">
        <v>349</v>
      </c>
      <c r="F413" s="11" t="s">
        <v>2264</v>
      </c>
      <c r="G413" s="37" t="n">
        <v>18360</v>
      </c>
      <c r="H413" s="37" t="n">
        <v>398405.1</v>
      </c>
    </row>
    <row r="414" customFormat="false" ht="15" hidden="false" customHeight="false" outlineLevel="0" collapsed="false">
      <c r="A414" s="11" t="s">
        <v>2265</v>
      </c>
      <c r="B414" s="38" t="n">
        <v>45909</v>
      </c>
      <c r="C414" s="11" t="s">
        <v>1496</v>
      </c>
      <c r="D414" s="11" t="s">
        <v>1497</v>
      </c>
      <c r="E414" s="11" t="s">
        <v>335</v>
      </c>
      <c r="F414" s="11" t="s">
        <v>2266</v>
      </c>
      <c r="G414" s="37" t="n">
        <v>5340</v>
      </c>
      <c r="H414" s="37" t="n">
        <v>403745.1</v>
      </c>
    </row>
    <row r="415" customFormat="false" ht="15" hidden="false" customHeight="false" outlineLevel="0" collapsed="false">
      <c r="A415" s="11" t="s">
        <v>2267</v>
      </c>
      <c r="B415" s="38" t="n">
        <v>45910</v>
      </c>
      <c r="C415" s="11" t="s">
        <v>1500</v>
      </c>
      <c r="D415" s="11" t="s">
        <v>291</v>
      </c>
      <c r="E415" s="11" t="s">
        <v>292</v>
      </c>
      <c r="F415" s="11"/>
      <c r="G415" s="37" t="n">
        <v>-3983.62</v>
      </c>
      <c r="H415" s="37" t="n">
        <v>399761.48</v>
      </c>
    </row>
    <row r="416" customFormat="false" ht="15" hidden="false" customHeight="false" outlineLevel="0" collapsed="false">
      <c r="A416" s="11" t="s">
        <v>2268</v>
      </c>
      <c r="B416" s="38" t="n">
        <v>45910</v>
      </c>
      <c r="C416" s="11" t="s">
        <v>1500</v>
      </c>
      <c r="D416" s="11" t="s">
        <v>272</v>
      </c>
      <c r="E416" s="11" t="s">
        <v>273</v>
      </c>
      <c r="F416" s="11"/>
      <c r="G416" s="37" t="n">
        <v>-3840</v>
      </c>
      <c r="H416" s="37" t="n">
        <v>395921.48</v>
      </c>
    </row>
    <row r="417" customFormat="false" ht="15" hidden="false" customHeight="false" outlineLevel="0" collapsed="false">
      <c r="A417" s="11" t="s">
        <v>2269</v>
      </c>
      <c r="B417" s="38" t="n">
        <v>45910</v>
      </c>
      <c r="C417" s="11" t="s">
        <v>1496</v>
      </c>
      <c r="D417" s="11" t="s">
        <v>1497</v>
      </c>
      <c r="E417" s="11" t="s">
        <v>331</v>
      </c>
      <c r="F417" s="11" t="s">
        <v>2270</v>
      </c>
      <c r="G417" s="37" t="n">
        <v>3528</v>
      </c>
      <c r="H417" s="37" t="n">
        <v>399449.48</v>
      </c>
    </row>
    <row r="418" customFormat="false" ht="15" hidden="false" customHeight="false" outlineLevel="0" collapsed="false">
      <c r="A418" s="11" t="s">
        <v>2271</v>
      </c>
      <c r="B418" s="38" t="n">
        <v>45911</v>
      </c>
      <c r="C418" s="11" t="s">
        <v>1500</v>
      </c>
      <c r="D418" s="11" t="s">
        <v>307</v>
      </c>
      <c r="E418" s="11" t="s">
        <v>313</v>
      </c>
      <c r="F418" s="11" t="s">
        <v>2272</v>
      </c>
      <c r="G418" s="37" t="n">
        <v>-5957.57</v>
      </c>
      <c r="H418" s="37" t="n">
        <v>393491.91</v>
      </c>
    </row>
    <row r="419" customFormat="false" ht="15" hidden="false" customHeight="false" outlineLevel="0" collapsed="false">
      <c r="A419" s="11" t="s">
        <v>2273</v>
      </c>
      <c r="B419" s="38" t="n">
        <v>45911</v>
      </c>
      <c r="C419" s="11" t="s">
        <v>1496</v>
      </c>
      <c r="D419" s="11" t="s">
        <v>1497</v>
      </c>
      <c r="E419" s="11" t="s">
        <v>327</v>
      </c>
      <c r="F419" s="11" t="s">
        <v>2274</v>
      </c>
      <c r="G419" s="37" t="n">
        <v>14616</v>
      </c>
      <c r="H419" s="37" t="n">
        <v>408107.91</v>
      </c>
    </row>
    <row r="420" customFormat="false" ht="15" hidden="false" customHeight="false" outlineLevel="0" collapsed="false">
      <c r="A420" s="11" t="s">
        <v>2275</v>
      </c>
      <c r="B420" s="38" t="n">
        <v>45911</v>
      </c>
      <c r="C420" s="11" t="s">
        <v>1500</v>
      </c>
      <c r="D420" s="11" t="s">
        <v>307</v>
      </c>
      <c r="E420" s="11" t="s">
        <v>464</v>
      </c>
      <c r="F420" s="11" t="s">
        <v>2276</v>
      </c>
      <c r="G420" s="37" t="n">
        <v>-13891.56</v>
      </c>
      <c r="H420" s="37" t="n">
        <v>394216.35</v>
      </c>
    </row>
    <row r="421" customFormat="false" ht="15" hidden="false" customHeight="false" outlineLevel="0" collapsed="false">
      <c r="A421" s="11" t="s">
        <v>2277</v>
      </c>
      <c r="B421" s="38" t="n">
        <v>45912</v>
      </c>
      <c r="C421" s="11" t="s">
        <v>1496</v>
      </c>
      <c r="D421" s="11" t="s">
        <v>1497</v>
      </c>
      <c r="E421" s="11" t="s">
        <v>399</v>
      </c>
      <c r="F421" s="11" t="s">
        <v>2278</v>
      </c>
      <c r="G421" s="37" t="n">
        <v>10260</v>
      </c>
      <c r="H421" s="37" t="n">
        <v>404476.35</v>
      </c>
    </row>
    <row r="422" customFormat="false" ht="15" hidden="false" customHeight="false" outlineLevel="0" collapsed="false">
      <c r="A422" s="11" t="s">
        <v>2279</v>
      </c>
      <c r="B422" s="38" t="n">
        <v>45912</v>
      </c>
      <c r="C422" s="11" t="s">
        <v>1496</v>
      </c>
      <c r="D422" s="11" t="s">
        <v>1497</v>
      </c>
      <c r="E422" s="11" t="s">
        <v>331</v>
      </c>
      <c r="F422" s="11" t="s">
        <v>2280</v>
      </c>
      <c r="G422" s="37" t="n">
        <v>5448</v>
      </c>
      <c r="H422" s="37" t="n">
        <v>409924.35</v>
      </c>
    </row>
    <row r="423" customFormat="false" ht="15" hidden="false" customHeight="false" outlineLevel="0" collapsed="false">
      <c r="A423" s="11" t="s">
        <v>2281</v>
      </c>
      <c r="B423" s="38" t="n">
        <v>45912</v>
      </c>
      <c r="C423" s="11" t="s">
        <v>1496</v>
      </c>
      <c r="D423" s="11" t="s">
        <v>1497</v>
      </c>
      <c r="E423" s="11" t="s">
        <v>335</v>
      </c>
      <c r="F423" s="11" t="s">
        <v>2282</v>
      </c>
      <c r="G423" s="37" t="n">
        <v>6732</v>
      </c>
      <c r="H423" s="37" t="n">
        <v>416656.35</v>
      </c>
    </row>
    <row r="424" customFormat="false" ht="15" hidden="false" customHeight="false" outlineLevel="0" collapsed="false">
      <c r="A424" s="11" t="s">
        <v>2283</v>
      </c>
      <c r="B424" s="38" t="n">
        <v>45915</v>
      </c>
      <c r="C424" s="11" t="s">
        <v>1500</v>
      </c>
      <c r="D424" s="11" t="s">
        <v>722</v>
      </c>
      <c r="E424" s="11" t="s">
        <v>384</v>
      </c>
      <c r="F424" s="11"/>
      <c r="G424" s="37" t="n">
        <v>-21000</v>
      </c>
      <c r="H424" s="37" t="n">
        <v>395656.35</v>
      </c>
    </row>
    <row r="425" customFormat="false" ht="15" hidden="false" customHeight="false" outlineLevel="0" collapsed="false">
      <c r="A425" s="11" t="s">
        <v>2284</v>
      </c>
      <c r="B425" s="38" t="n">
        <v>45915</v>
      </c>
      <c r="C425" s="11" t="s">
        <v>1496</v>
      </c>
      <c r="D425" s="11" t="s">
        <v>1497</v>
      </c>
      <c r="E425" s="11" t="s">
        <v>298</v>
      </c>
      <c r="F425" s="11" t="s">
        <v>2285</v>
      </c>
      <c r="G425" s="37" t="n">
        <v>16060</v>
      </c>
      <c r="H425" s="37" t="n">
        <v>411716.35</v>
      </c>
    </row>
    <row r="426" customFormat="false" ht="15" hidden="false" customHeight="false" outlineLevel="0" collapsed="false">
      <c r="A426" s="11" t="s">
        <v>2286</v>
      </c>
      <c r="B426" s="38" t="n">
        <v>45915</v>
      </c>
      <c r="C426" s="11" t="s">
        <v>1496</v>
      </c>
      <c r="D426" s="11" t="s">
        <v>1497</v>
      </c>
      <c r="E426" s="11" t="s">
        <v>349</v>
      </c>
      <c r="F426" s="11" t="s">
        <v>2287</v>
      </c>
      <c r="G426" s="37" t="n">
        <v>10944</v>
      </c>
      <c r="H426" s="37" t="n">
        <v>422660.35</v>
      </c>
    </row>
    <row r="427" customFormat="false" ht="15" hidden="false" customHeight="false" outlineLevel="0" collapsed="false">
      <c r="A427" s="11" t="s">
        <v>2288</v>
      </c>
      <c r="B427" s="38" t="n">
        <v>45915</v>
      </c>
      <c r="C427" s="11" t="s">
        <v>1500</v>
      </c>
      <c r="D427" s="11" t="s">
        <v>317</v>
      </c>
      <c r="E427" s="11" t="s">
        <v>318</v>
      </c>
      <c r="F427" s="11"/>
      <c r="G427" s="37" t="n">
        <v>-82000</v>
      </c>
      <c r="H427" s="37" t="n">
        <v>340660.35</v>
      </c>
    </row>
    <row r="428" customFormat="false" ht="15" hidden="false" customHeight="false" outlineLevel="0" collapsed="false">
      <c r="A428" s="11" t="s">
        <v>2289</v>
      </c>
      <c r="B428" s="38" t="n">
        <v>45917</v>
      </c>
      <c r="C428" s="11" t="s">
        <v>1496</v>
      </c>
      <c r="D428" s="11" t="s">
        <v>1497</v>
      </c>
      <c r="E428" s="11" t="s">
        <v>335</v>
      </c>
      <c r="F428" s="11" t="s">
        <v>2290</v>
      </c>
      <c r="G428" s="37" t="n">
        <v>1776</v>
      </c>
      <c r="H428" s="37" t="n">
        <v>342436.35</v>
      </c>
    </row>
    <row r="429" customFormat="false" ht="15" hidden="false" customHeight="false" outlineLevel="0" collapsed="false">
      <c r="A429" s="11" t="s">
        <v>2291</v>
      </c>
      <c r="B429" s="38" t="n">
        <v>45917</v>
      </c>
      <c r="C429" s="11" t="s">
        <v>1496</v>
      </c>
      <c r="D429" s="11" t="s">
        <v>1497</v>
      </c>
      <c r="E429" s="11" t="s">
        <v>335</v>
      </c>
      <c r="F429" s="11" t="s">
        <v>2292</v>
      </c>
      <c r="G429" s="37" t="n">
        <v>6300</v>
      </c>
      <c r="H429" s="37" t="n">
        <v>348736.35</v>
      </c>
    </row>
    <row r="430" customFormat="false" ht="15" hidden="false" customHeight="false" outlineLevel="0" collapsed="false">
      <c r="A430" s="11" t="s">
        <v>2293</v>
      </c>
      <c r="B430" s="38" t="n">
        <v>45917</v>
      </c>
      <c r="C430" s="11" t="s">
        <v>1496</v>
      </c>
      <c r="D430" s="11" t="s">
        <v>1497</v>
      </c>
      <c r="E430" s="11" t="s">
        <v>335</v>
      </c>
      <c r="F430" s="11" t="s">
        <v>2294</v>
      </c>
      <c r="G430" s="37" t="n">
        <v>4236</v>
      </c>
      <c r="H430" s="37" t="n">
        <v>352972.35</v>
      </c>
    </row>
    <row r="431" customFormat="false" ht="15" hidden="false" customHeight="false" outlineLevel="0" collapsed="false">
      <c r="A431" s="11" t="s">
        <v>2295</v>
      </c>
      <c r="B431" s="38" t="n">
        <v>45917</v>
      </c>
      <c r="C431" s="11" t="s">
        <v>1500</v>
      </c>
      <c r="D431" s="11" t="s">
        <v>291</v>
      </c>
      <c r="E431" s="11" t="s">
        <v>292</v>
      </c>
      <c r="F431" s="11"/>
      <c r="G431" s="37" t="n">
        <v>-4041.46</v>
      </c>
      <c r="H431" s="37" t="n">
        <v>348930.89</v>
      </c>
    </row>
    <row r="432" customFormat="false" ht="15" hidden="false" customHeight="false" outlineLevel="0" collapsed="false">
      <c r="A432" s="11" t="s">
        <v>2296</v>
      </c>
      <c r="B432" s="38" t="n">
        <v>45917</v>
      </c>
      <c r="C432" s="11" t="s">
        <v>1496</v>
      </c>
      <c r="D432" s="11" t="s">
        <v>1497</v>
      </c>
      <c r="E432" s="11" t="s">
        <v>349</v>
      </c>
      <c r="F432" s="11" t="s">
        <v>2297</v>
      </c>
      <c r="G432" s="37" t="n">
        <v>14448</v>
      </c>
      <c r="H432" s="37" t="n">
        <v>363378.89</v>
      </c>
    </row>
    <row r="433" customFormat="false" ht="15" hidden="false" customHeight="false" outlineLevel="0" collapsed="false">
      <c r="A433" s="11" t="s">
        <v>2298</v>
      </c>
      <c r="B433" s="38" t="n">
        <v>45918</v>
      </c>
      <c r="C433" s="11" t="s">
        <v>1496</v>
      </c>
      <c r="D433" s="11" t="s">
        <v>1497</v>
      </c>
      <c r="E433" s="11" t="s">
        <v>327</v>
      </c>
      <c r="F433" s="11" t="s">
        <v>2299</v>
      </c>
      <c r="G433" s="37" t="n">
        <v>19932</v>
      </c>
      <c r="H433" s="37" t="n">
        <v>383310.89</v>
      </c>
    </row>
    <row r="434" customFormat="false" ht="15" hidden="false" customHeight="false" outlineLevel="0" collapsed="false">
      <c r="A434" s="11" t="s">
        <v>2300</v>
      </c>
      <c r="B434" s="38" t="n">
        <v>45918</v>
      </c>
      <c r="C434" s="11" t="s">
        <v>1500</v>
      </c>
      <c r="D434" s="11" t="s">
        <v>307</v>
      </c>
      <c r="E434" s="11" t="s">
        <v>308</v>
      </c>
      <c r="F434" s="11" t="s">
        <v>2301</v>
      </c>
      <c r="G434" s="37" t="n">
        <v>-34140.78</v>
      </c>
      <c r="H434" s="37" t="n">
        <v>349170.11</v>
      </c>
    </row>
    <row r="435" customFormat="false" ht="15" hidden="false" customHeight="false" outlineLevel="0" collapsed="false">
      <c r="A435" s="11" t="s">
        <v>2302</v>
      </c>
      <c r="B435" s="38" t="n">
        <v>45918</v>
      </c>
      <c r="C435" s="11" t="s">
        <v>1500</v>
      </c>
      <c r="D435" s="11" t="s">
        <v>307</v>
      </c>
      <c r="E435" s="11" t="s">
        <v>313</v>
      </c>
      <c r="F435" s="11" t="s">
        <v>2303</v>
      </c>
      <c r="G435" s="37" t="n">
        <v>-5080.52</v>
      </c>
      <c r="H435" s="37" t="n">
        <v>344089.59</v>
      </c>
    </row>
    <row r="436" customFormat="false" ht="15" hidden="false" customHeight="false" outlineLevel="0" collapsed="false">
      <c r="A436" s="11" t="s">
        <v>2304</v>
      </c>
      <c r="B436" s="38" t="n">
        <v>45922</v>
      </c>
      <c r="C436" s="11" t="s">
        <v>1496</v>
      </c>
      <c r="D436" s="11" t="s">
        <v>1497</v>
      </c>
      <c r="E436" s="11" t="s">
        <v>287</v>
      </c>
      <c r="F436" s="11" t="s">
        <v>2305</v>
      </c>
      <c r="G436" s="37" t="n">
        <v>3408</v>
      </c>
      <c r="H436" s="37" t="n">
        <v>347497.59</v>
      </c>
    </row>
    <row r="437" customFormat="false" ht="15" hidden="false" customHeight="false" outlineLevel="0" collapsed="false">
      <c r="A437" s="11" t="s">
        <v>2306</v>
      </c>
      <c r="B437" s="38" t="n">
        <v>45922</v>
      </c>
      <c r="C437" s="11" t="s">
        <v>1496</v>
      </c>
      <c r="D437" s="11" t="s">
        <v>1497</v>
      </c>
      <c r="E437" s="11" t="s">
        <v>327</v>
      </c>
      <c r="F437" s="11" t="s">
        <v>2307</v>
      </c>
      <c r="G437" s="37" t="n">
        <v>30192</v>
      </c>
      <c r="H437" s="37" t="n">
        <v>377689.59</v>
      </c>
    </row>
    <row r="438" customFormat="false" ht="15" hidden="false" customHeight="false" outlineLevel="0" collapsed="false">
      <c r="A438" s="11" t="s">
        <v>2308</v>
      </c>
      <c r="B438" s="38" t="n">
        <v>45922</v>
      </c>
      <c r="C438" s="11" t="s">
        <v>1496</v>
      </c>
      <c r="D438" s="11" t="s">
        <v>1497</v>
      </c>
      <c r="E438" s="11" t="s">
        <v>280</v>
      </c>
      <c r="F438" s="11" t="s">
        <v>2309</v>
      </c>
      <c r="G438" s="37" t="n">
        <v>9072</v>
      </c>
      <c r="H438" s="37" t="n">
        <v>386761.59</v>
      </c>
    </row>
    <row r="439" customFormat="false" ht="15" hidden="false" customHeight="false" outlineLevel="0" collapsed="false">
      <c r="A439" s="11" t="s">
        <v>2310</v>
      </c>
      <c r="B439" s="38" t="n">
        <v>45922</v>
      </c>
      <c r="C439" s="11" t="s">
        <v>1496</v>
      </c>
      <c r="D439" s="11" t="s">
        <v>1497</v>
      </c>
      <c r="E439" s="11" t="s">
        <v>298</v>
      </c>
      <c r="F439" s="11" t="s">
        <v>2311</v>
      </c>
      <c r="G439" s="37" t="n">
        <v>7020</v>
      </c>
      <c r="H439" s="37" t="n">
        <v>393781.59</v>
      </c>
    </row>
    <row r="440" customFormat="false" ht="15" hidden="false" customHeight="false" outlineLevel="0" collapsed="false">
      <c r="A440" s="11" t="s">
        <v>2312</v>
      </c>
      <c r="B440" s="38" t="n">
        <v>45922</v>
      </c>
      <c r="C440" s="11" t="s">
        <v>1496</v>
      </c>
      <c r="D440" s="11" t="s">
        <v>1497</v>
      </c>
      <c r="E440" s="11" t="s">
        <v>327</v>
      </c>
      <c r="F440" s="11" t="s">
        <v>2313</v>
      </c>
      <c r="G440" s="37" t="n">
        <v>11580</v>
      </c>
      <c r="H440" s="37" t="n">
        <v>405361.59</v>
      </c>
    </row>
    <row r="441" customFormat="false" ht="15" hidden="false" customHeight="false" outlineLevel="0" collapsed="false">
      <c r="A441" s="11" t="s">
        <v>2314</v>
      </c>
      <c r="B441" s="38" t="n">
        <v>45922</v>
      </c>
      <c r="C441" s="11" t="s">
        <v>1496</v>
      </c>
      <c r="D441" s="11" t="s">
        <v>1497</v>
      </c>
      <c r="E441" s="11" t="s">
        <v>280</v>
      </c>
      <c r="F441" s="11" t="s">
        <v>2315</v>
      </c>
      <c r="G441" s="37" t="n">
        <v>9384</v>
      </c>
      <c r="H441" s="37" t="n">
        <v>414745.59</v>
      </c>
    </row>
    <row r="442" customFormat="false" ht="15" hidden="false" customHeight="false" outlineLevel="0" collapsed="false">
      <c r="A442" s="11" t="s">
        <v>2316</v>
      </c>
      <c r="B442" s="38" t="n">
        <v>45923</v>
      </c>
      <c r="C442" s="11" t="s">
        <v>1496</v>
      </c>
      <c r="D442" s="11" t="s">
        <v>1497</v>
      </c>
      <c r="E442" s="11" t="s">
        <v>349</v>
      </c>
      <c r="F442" s="11" t="s">
        <v>2317</v>
      </c>
      <c r="G442" s="37" t="n">
        <v>6156</v>
      </c>
      <c r="H442" s="37" t="n">
        <v>420901.59</v>
      </c>
    </row>
    <row r="443" customFormat="false" ht="15" hidden="false" customHeight="false" outlineLevel="0" collapsed="false">
      <c r="A443" s="11" t="s">
        <v>2318</v>
      </c>
      <c r="B443" s="38" t="n">
        <v>45924</v>
      </c>
      <c r="C443" s="11" t="s">
        <v>1500</v>
      </c>
      <c r="D443" s="11" t="s">
        <v>383</v>
      </c>
      <c r="E443" s="11" t="s">
        <v>384</v>
      </c>
      <c r="F443" s="11" t="s">
        <v>2319</v>
      </c>
      <c r="G443" s="37" t="n">
        <v>-19104.35</v>
      </c>
      <c r="H443" s="37" t="n">
        <v>401797.24</v>
      </c>
    </row>
    <row r="444" customFormat="false" ht="15" hidden="false" customHeight="false" outlineLevel="0" collapsed="false">
      <c r="A444" s="11" t="s">
        <v>2320</v>
      </c>
      <c r="B444" s="38" t="n">
        <v>45924</v>
      </c>
      <c r="C444" s="11" t="s">
        <v>1496</v>
      </c>
      <c r="D444" s="11" t="s">
        <v>1497</v>
      </c>
      <c r="E444" s="11" t="s">
        <v>335</v>
      </c>
      <c r="F444" s="11" t="s">
        <v>2321</v>
      </c>
      <c r="G444" s="37" t="n">
        <v>7800</v>
      </c>
      <c r="H444" s="37" t="n">
        <v>409597.24</v>
      </c>
    </row>
    <row r="445" customFormat="false" ht="15" hidden="false" customHeight="false" outlineLevel="0" collapsed="false">
      <c r="A445" s="11" t="s">
        <v>2322</v>
      </c>
      <c r="B445" s="38" t="n">
        <v>45924</v>
      </c>
      <c r="C445" s="11" t="s">
        <v>1500</v>
      </c>
      <c r="D445" s="11" t="s">
        <v>291</v>
      </c>
      <c r="E445" s="11" t="s">
        <v>292</v>
      </c>
      <c r="F445" s="11"/>
      <c r="G445" s="37" t="n">
        <v>-5297.46</v>
      </c>
      <c r="H445" s="37" t="n">
        <v>404299.78</v>
      </c>
    </row>
    <row r="446" customFormat="false" ht="15" hidden="false" customHeight="false" outlineLevel="0" collapsed="false">
      <c r="A446" s="11" t="s">
        <v>2323</v>
      </c>
      <c r="B446" s="38" t="n">
        <v>45925</v>
      </c>
      <c r="C446" s="11" t="s">
        <v>1496</v>
      </c>
      <c r="D446" s="11" t="s">
        <v>1497</v>
      </c>
      <c r="E446" s="11" t="s">
        <v>349</v>
      </c>
      <c r="F446" s="11" t="s">
        <v>2324</v>
      </c>
      <c r="G446" s="37" t="n">
        <v>8148</v>
      </c>
      <c r="H446" s="37" t="n">
        <v>412447.78</v>
      </c>
    </row>
    <row r="447" customFormat="false" ht="15" hidden="false" customHeight="false" outlineLevel="0" collapsed="false">
      <c r="A447" s="11" t="s">
        <v>2325</v>
      </c>
      <c r="B447" s="38" t="n">
        <v>45925</v>
      </c>
      <c r="C447" s="11" t="s">
        <v>1500</v>
      </c>
      <c r="D447" s="11" t="s">
        <v>307</v>
      </c>
      <c r="E447" s="11" t="s">
        <v>414</v>
      </c>
      <c r="F447" s="11" t="s">
        <v>2326</v>
      </c>
      <c r="G447" s="37" t="n">
        <v>-9782.42</v>
      </c>
      <c r="H447" s="37" t="n">
        <v>402665.36</v>
      </c>
    </row>
    <row r="448" customFormat="false" ht="15" hidden="false" customHeight="false" outlineLevel="0" collapsed="false">
      <c r="A448" s="11" t="s">
        <v>2327</v>
      </c>
      <c r="B448" s="38" t="n">
        <v>45925</v>
      </c>
      <c r="C448" s="11" t="s">
        <v>1496</v>
      </c>
      <c r="D448" s="11" t="s">
        <v>1497</v>
      </c>
      <c r="E448" s="11" t="s">
        <v>331</v>
      </c>
      <c r="F448" s="11" t="s">
        <v>2328</v>
      </c>
      <c r="G448" s="37" t="n">
        <v>8688</v>
      </c>
      <c r="H448" s="37" t="n">
        <v>411353.36</v>
      </c>
    </row>
    <row r="449" customFormat="false" ht="15" hidden="false" customHeight="false" outlineLevel="0" collapsed="false">
      <c r="A449" s="11" t="s">
        <v>2329</v>
      </c>
      <c r="B449" s="38" t="n">
        <v>45925</v>
      </c>
      <c r="C449" s="11" t="s">
        <v>1496</v>
      </c>
      <c r="D449" s="11" t="s">
        <v>1497</v>
      </c>
      <c r="E449" s="11" t="s">
        <v>331</v>
      </c>
      <c r="F449" s="11" t="s">
        <v>2330</v>
      </c>
      <c r="G449" s="37" t="n">
        <v>23352</v>
      </c>
      <c r="H449" s="37" t="n">
        <v>434705.36</v>
      </c>
    </row>
    <row r="450" customFormat="false" ht="15" hidden="false" customHeight="false" outlineLevel="0" collapsed="false">
      <c r="A450" s="11" t="s">
        <v>2331</v>
      </c>
      <c r="B450" s="38" t="n">
        <v>45925</v>
      </c>
      <c r="C450" s="11" t="s">
        <v>1496</v>
      </c>
      <c r="D450" s="11" t="s">
        <v>1497</v>
      </c>
      <c r="E450" s="11" t="s">
        <v>335</v>
      </c>
      <c r="F450" s="11" t="s">
        <v>2332</v>
      </c>
      <c r="G450" s="37" t="n">
        <v>6840</v>
      </c>
      <c r="H450" s="37" t="n">
        <v>441545.36</v>
      </c>
    </row>
    <row r="451" customFormat="false" ht="15" hidden="false" customHeight="false" outlineLevel="0" collapsed="false">
      <c r="A451" s="11" t="s">
        <v>2333</v>
      </c>
      <c r="B451" s="38" t="n">
        <v>45925</v>
      </c>
      <c r="C451" s="11" t="s">
        <v>1496</v>
      </c>
      <c r="D451" s="11" t="s">
        <v>1497</v>
      </c>
      <c r="E451" s="11" t="s">
        <v>280</v>
      </c>
      <c r="F451" s="11" t="s">
        <v>2334</v>
      </c>
      <c r="G451" s="37" t="n">
        <v>13464</v>
      </c>
      <c r="H451" s="37" t="n">
        <v>455009.36</v>
      </c>
    </row>
    <row r="452" customFormat="false" ht="15" hidden="false" customHeight="false" outlineLevel="0" collapsed="false">
      <c r="A452" s="11" t="s">
        <v>2335</v>
      </c>
      <c r="B452" s="38" t="n">
        <v>45926</v>
      </c>
      <c r="C452" s="11" t="s">
        <v>1496</v>
      </c>
      <c r="D452" s="11" t="s">
        <v>1497</v>
      </c>
      <c r="E452" s="11" t="s">
        <v>323</v>
      </c>
      <c r="F452" s="11" t="s">
        <v>2336</v>
      </c>
      <c r="G452" s="37" t="n">
        <v>6732</v>
      </c>
      <c r="H452" s="37" t="n">
        <v>461741.36</v>
      </c>
    </row>
    <row r="453" customFormat="false" ht="15" hidden="false" customHeight="false" outlineLevel="0" collapsed="false">
      <c r="A453" s="11" t="s">
        <v>2337</v>
      </c>
      <c r="B453" s="38" t="n">
        <v>45929</v>
      </c>
      <c r="C453" s="11" t="s">
        <v>1496</v>
      </c>
      <c r="D453" s="11" t="s">
        <v>1497</v>
      </c>
      <c r="E453" s="11" t="s">
        <v>327</v>
      </c>
      <c r="F453" s="11" t="s">
        <v>2338</v>
      </c>
      <c r="G453" s="37" t="n">
        <v>31800</v>
      </c>
      <c r="H453" s="37" t="n">
        <v>493541.36</v>
      </c>
    </row>
    <row r="454" customFormat="false" ht="15" hidden="false" customHeight="false" outlineLevel="0" collapsed="false">
      <c r="A454" s="11" t="s">
        <v>2339</v>
      </c>
      <c r="B454" s="38" t="n">
        <v>45929</v>
      </c>
      <c r="C454" s="11" t="s">
        <v>1496</v>
      </c>
      <c r="D454" s="11" t="s">
        <v>1497</v>
      </c>
      <c r="E454" s="11" t="s">
        <v>280</v>
      </c>
      <c r="F454" s="11" t="s">
        <v>2340</v>
      </c>
      <c r="G454" s="37" t="n">
        <v>6996</v>
      </c>
      <c r="H454" s="37" t="n">
        <v>500537.36</v>
      </c>
    </row>
    <row r="455" customFormat="false" ht="15" hidden="false" customHeight="false" outlineLevel="0" collapsed="false">
      <c r="A455" s="11" t="s">
        <v>2341</v>
      </c>
      <c r="B455" s="38" t="n">
        <v>45929</v>
      </c>
      <c r="C455" s="11" t="s">
        <v>1496</v>
      </c>
      <c r="D455" s="11" t="s">
        <v>1497</v>
      </c>
      <c r="E455" s="11" t="s">
        <v>280</v>
      </c>
      <c r="F455" s="11" t="s">
        <v>2342</v>
      </c>
      <c r="G455" s="37" t="n">
        <v>7812</v>
      </c>
      <c r="H455" s="37" t="n">
        <v>508349.36</v>
      </c>
    </row>
    <row r="456" customFormat="false" ht="15" hidden="false" customHeight="false" outlineLevel="0" collapsed="false">
      <c r="A456" s="11" t="s">
        <v>2343</v>
      </c>
      <c r="B456" s="38" t="n">
        <v>45929</v>
      </c>
      <c r="C456" s="11" t="s">
        <v>1496</v>
      </c>
      <c r="D456" s="11" t="s">
        <v>1497</v>
      </c>
      <c r="E456" s="11" t="s">
        <v>287</v>
      </c>
      <c r="F456" s="11" t="s">
        <v>2344</v>
      </c>
      <c r="G456" s="37" t="n">
        <v>6120</v>
      </c>
      <c r="H456" s="37" t="n">
        <v>514469.36</v>
      </c>
    </row>
    <row r="457" customFormat="false" ht="15" hidden="false" customHeight="false" outlineLevel="0" collapsed="false">
      <c r="A457" s="11" t="s">
        <v>2345</v>
      </c>
      <c r="B457" s="38" t="n">
        <v>45929</v>
      </c>
      <c r="C457" s="11" t="s">
        <v>1496</v>
      </c>
      <c r="D457" s="11" t="s">
        <v>1497</v>
      </c>
      <c r="E457" s="11" t="s">
        <v>335</v>
      </c>
      <c r="F457" s="11" t="s">
        <v>2346</v>
      </c>
      <c r="G457" s="37" t="n">
        <v>8868</v>
      </c>
      <c r="H457" s="37" t="n">
        <v>523337.36</v>
      </c>
    </row>
    <row r="458" customFormat="false" ht="15" hidden="false" customHeight="false" outlineLevel="0" collapsed="false">
      <c r="A458" s="11" t="s">
        <v>2347</v>
      </c>
      <c r="B458" s="38" t="n">
        <v>45930</v>
      </c>
      <c r="C458" s="11" t="s">
        <v>1500</v>
      </c>
      <c r="D458" s="11" t="s">
        <v>1634</v>
      </c>
      <c r="E458" s="11" t="s">
        <v>425</v>
      </c>
      <c r="F458" s="11"/>
      <c r="G458" s="37" t="n">
        <v>-101500</v>
      </c>
      <c r="H458" s="37" t="n">
        <v>421837.36</v>
      </c>
    </row>
    <row r="459" customFormat="false" ht="15" hidden="false" customHeight="false" outlineLevel="0" collapsed="false">
      <c r="A459" s="11" t="s">
        <v>2348</v>
      </c>
      <c r="B459" s="38" t="n">
        <v>45931</v>
      </c>
      <c r="C459" s="11" t="s">
        <v>1500</v>
      </c>
      <c r="D459" s="11" t="s">
        <v>1501</v>
      </c>
      <c r="E459" s="11" t="s">
        <v>853</v>
      </c>
      <c r="F459" s="11"/>
      <c r="G459" s="37" t="n">
        <v>-7800</v>
      </c>
      <c r="H459" s="37" t="n">
        <v>414037.36</v>
      </c>
    </row>
    <row r="460" customFormat="false" ht="15" hidden="false" customHeight="false" outlineLevel="0" collapsed="false">
      <c r="A460" s="11" t="s">
        <v>2349</v>
      </c>
      <c r="B460" s="38" t="n">
        <v>45931</v>
      </c>
      <c r="C460" s="11" t="s">
        <v>1496</v>
      </c>
      <c r="D460" s="11" t="s">
        <v>1497</v>
      </c>
      <c r="E460" s="11" t="s">
        <v>349</v>
      </c>
      <c r="F460" s="11" t="s">
        <v>2350</v>
      </c>
      <c r="G460" s="37" t="n">
        <v>26400</v>
      </c>
      <c r="H460" s="37" t="n">
        <v>440437.36</v>
      </c>
    </row>
    <row r="461" customFormat="false" ht="15" hidden="false" customHeight="false" outlineLevel="0" collapsed="false">
      <c r="A461" s="11" t="s">
        <v>2351</v>
      </c>
      <c r="B461" s="38" t="n">
        <v>45931</v>
      </c>
      <c r="C461" s="11" t="s">
        <v>1500</v>
      </c>
      <c r="D461" s="11" t="s">
        <v>291</v>
      </c>
      <c r="E461" s="11" t="s">
        <v>292</v>
      </c>
      <c r="F461" s="11"/>
      <c r="G461" s="37" t="n">
        <v>-5303.84</v>
      </c>
      <c r="H461" s="37" t="n">
        <v>435133.52</v>
      </c>
    </row>
    <row r="462" customFormat="false" ht="15" hidden="false" customHeight="false" outlineLevel="0" collapsed="false">
      <c r="A462" s="11" t="s">
        <v>2352</v>
      </c>
      <c r="B462" s="38" t="n">
        <v>45931</v>
      </c>
      <c r="C462" s="11" t="s">
        <v>1500</v>
      </c>
      <c r="D462" s="11" t="s">
        <v>1503</v>
      </c>
      <c r="E462" s="11" t="s">
        <v>847</v>
      </c>
      <c r="F462" s="11"/>
      <c r="G462" s="37" t="n">
        <v>-23400</v>
      </c>
      <c r="H462" s="37" t="n">
        <v>411733.52</v>
      </c>
    </row>
    <row r="463" customFormat="false" ht="15" hidden="false" customHeight="false" outlineLevel="0" collapsed="false">
      <c r="A463" s="11" t="s">
        <v>2353</v>
      </c>
      <c r="B463" s="38" t="n">
        <v>45932</v>
      </c>
      <c r="C463" s="11" t="s">
        <v>1500</v>
      </c>
      <c r="D463" s="11" t="s">
        <v>307</v>
      </c>
      <c r="E463" s="11" t="s">
        <v>308</v>
      </c>
      <c r="F463" s="11" t="s">
        <v>2354</v>
      </c>
      <c r="G463" s="37" t="n">
        <v>-32810.33</v>
      </c>
      <c r="H463" s="37" t="n">
        <v>378923.19</v>
      </c>
    </row>
    <row r="464" customFormat="false" ht="15" hidden="false" customHeight="false" outlineLevel="0" collapsed="false">
      <c r="A464" s="11" t="s">
        <v>2355</v>
      </c>
      <c r="B464" s="38" t="n">
        <v>45932</v>
      </c>
      <c r="C464" s="11" t="s">
        <v>1500</v>
      </c>
      <c r="D464" s="11" t="s">
        <v>307</v>
      </c>
      <c r="E464" s="11" t="s">
        <v>313</v>
      </c>
      <c r="F464" s="11" t="s">
        <v>2356</v>
      </c>
      <c r="G464" s="37" t="n">
        <v>-5322.76</v>
      </c>
      <c r="H464" s="37" t="n">
        <v>373600.43</v>
      </c>
    </row>
    <row r="465" customFormat="false" ht="15" hidden="false" customHeight="false" outlineLevel="0" collapsed="false">
      <c r="A465" s="11" t="s">
        <v>2357</v>
      </c>
      <c r="B465" s="38" t="n">
        <v>45932</v>
      </c>
      <c r="C465" s="11" t="s">
        <v>1496</v>
      </c>
      <c r="D465" s="11" t="s">
        <v>1497</v>
      </c>
      <c r="E465" s="11" t="s">
        <v>331</v>
      </c>
      <c r="F465" s="11" t="s">
        <v>2358</v>
      </c>
      <c r="G465" s="37" t="n">
        <v>7296</v>
      </c>
      <c r="H465" s="37" t="n">
        <v>380896.43</v>
      </c>
    </row>
    <row r="466" customFormat="false" ht="15" hidden="false" customHeight="false" outlineLevel="0" collapsed="false">
      <c r="A466" s="11" t="s">
        <v>2359</v>
      </c>
      <c r="B466" s="38" t="n">
        <v>45932</v>
      </c>
      <c r="C466" s="11" t="s">
        <v>1500</v>
      </c>
      <c r="D466" s="11" t="s">
        <v>307</v>
      </c>
      <c r="E466" s="11" t="s">
        <v>420</v>
      </c>
      <c r="F466" s="11" t="s">
        <v>2360</v>
      </c>
      <c r="G466" s="37" t="n">
        <v>-134456.15</v>
      </c>
      <c r="H466" s="37" t="n">
        <v>246440.28</v>
      </c>
    </row>
    <row r="467" customFormat="false" ht="15" hidden="false" customHeight="false" outlineLevel="0" collapsed="false">
      <c r="A467" s="11" t="s">
        <v>2361</v>
      </c>
      <c r="B467" s="38" t="n">
        <v>45933</v>
      </c>
      <c r="C467" s="11" t="s">
        <v>1500</v>
      </c>
      <c r="D467" s="11" t="s">
        <v>448</v>
      </c>
      <c r="E467" s="11" t="s">
        <v>449</v>
      </c>
      <c r="F467" s="11"/>
      <c r="G467" s="37" t="n">
        <v>-2880</v>
      </c>
      <c r="H467" s="37" t="n">
        <v>243560.28</v>
      </c>
    </row>
    <row r="468" customFormat="false" ht="15" hidden="false" customHeight="false" outlineLevel="0" collapsed="false">
      <c r="A468" s="11" t="s">
        <v>2362</v>
      </c>
      <c r="B468" s="38" t="n">
        <v>45936</v>
      </c>
      <c r="C468" s="11" t="s">
        <v>1496</v>
      </c>
      <c r="D468" s="11" t="s">
        <v>1497</v>
      </c>
      <c r="E468" s="11" t="s">
        <v>298</v>
      </c>
      <c r="F468" s="11" t="s">
        <v>2363</v>
      </c>
      <c r="G468" s="37" t="n">
        <v>9280</v>
      </c>
      <c r="H468" s="37" t="n">
        <v>252840.28</v>
      </c>
    </row>
    <row r="469" customFormat="false" ht="15" hidden="false" customHeight="false" outlineLevel="0" collapsed="false">
      <c r="A469" s="11" t="s">
        <v>2364</v>
      </c>
      <c r="B469" s="38" t="n">
        <v>45936</v>
      </c>
      <c r="C469" s="11" t="s">
        <v>1500</v>
      </c>
      <c r="D469" s="11" t="s">
        <v>469</v>
      </c>
      <c r="E469" s="11" t="s">
        <v>470</v>
      </c>
      <c r="F469" s="11"/>
      <c r="G469" s="37" t="n">
        <v>-8900</v>
      </c>
      <c r="H469" s="37" t="n">
        <v>243940.28</v>
      </c>
    </row>
    <row r="470" customFormat="false" ht="15" hidden="false" customHeight="false" outlineLevel="0" collapsed="false">
      <c r="A470" s="11" t="s">
        <v>2365</v>
      </c>
      <c r="B470" s="38" t="n">
        <v>45937</v>
      </c>
      <c r="C470" s="11" t="s">
        <v>1496</v>
      </c>
      <c r="D470" s="11" t="s">
        <v>1497</v>
      </c>
      <c r="E470" s="11" t="s">
        <v>287</v>
      </c>
      <c r="F470" s="11" t="s">
        <v>2366</v>
      </c>
      <c r="G470" s="37" t="n">
        <v>2220</v>
      </c>
      <c r="H470" s="37" t="n">
        <v>246160.28</v>
      </c>
    </row>
    <row r="471" customFormat="false" ht="15" hidden="false" customHeight="false" outlineLevel="0" collapsed="false">
      <c r="A471" s="11" t="s">
        <v>2367</v>
      </c>
      <c r="B471" s="38" t="n">
        <v>45938</v>
      </c>
      <c r="C471" s="11" t="s">
        <v>1500</v>
      </c>
      <c r="D471" s="11" t="s">
        <v>480</v>
      </c>
      <c r="E471" s="11" t="s">
        <v>481</v>
      </c>
      <c r="F471" s="11"/>
      <c r="G471" s="37" t="n">
        <v>-9840</v>
      </c>
      <c r="H471" s="37" t="n">
        <v>236320.28</v>
      </c>
    </row>
    <row r="472" customFormat="false" ht="15" hidden="false" customHeight="false" outlineLevel="0" collapsed="false">
      <c r="A472" s="11" t="s">
        <v>2368</v>
      </c>
      <c r="B472" s="38" t="n">
        <v>45938</v>
      </c>
      <c r="C472" s="11" t="s">
        <v>1496</v>
      </c>
      <c r="D472" s="11" t="s">
        <v>1497</v>
      </c>
      <c r="E472" s="11" t="s">
        <v>399</v>
      </c>
      <c r="F472" s="11" t="s">
        <v>2369</v>
      </c>
      <c r="G472" s="37" t="n">
        <v>10020</v>
      </c>
      <c r="H472" s="37" t="n">
        <v>246340.28</v>
      </c>
    </row>
    <row r="473" customFormat="false" ht="15" hidden="false" customHeight="false" outlineLevel="0" collapsed="false">
      <c r="A473" s="11" t="s">
        <v>2370</v>
      </c>
      <c r="B473" s="38" t="n">
        <v>45938</v>
      </c>
      <c r="C473" s="11" t="s">
        <v>1500</v>
      </c>
      <c r="D473" s="11" t="s">
        <v>291</v>
      </c>
      <c r="E473" s="11" t="s">
        <v>292</v>
      </c>
      <c r="F473" s="11"/>
      <c r="G473" s="37" t="n">
        <v>-4610.64</v>
      </c>
      <c r="H473" s="37" t="n">
        <v>241729.64</v>
      </c>
    </row>
    <row r="474" customFormat="false" ht="15" hidden="false" customHeight="false" outlineLevel="0" collapsed="false">
      <c r="A474" s="11" t="s">
        <v>2371</v>
      </c>
      <c r="B474" s="38" t="n">
        <v>45939</v>
      </c>
      <c r="C474" s="11" t="s">
        <v>1496</v>
      </c>
      <c r="D474" s="11" t="s">
        <v>1497</v>
      </c>
      <c r="E474" s="11" t="s">
        <v>399</v>
      </c>
      <c r="F474" s="11" t="s">
        <v>2372</v>
      </c>
      <c r="G474" s="37" t="n">
        <v>19464</v>
      </c>
      <c r="H474" s="37" t="n">
        <v>261193.64</v>
      </c>
    </row>
    <row r="475" customFormat="false" ht="15" hidden="false" customHeight="false" outlineLevel="0" collapsed="false">
      <c r="A475" s="11" t="s">
        <v>2373</v>
      </c>
      <c r="B475" s="38" t="n">
        <v>45939</v>
      </c>
      <c r="C475" s="11" t="s">
        <v>1500</v>
      </c>
      <c r="D475" s="11" t="s">
        <v>307</v>
      </c>
      <c r="E475" s="11" t="s">
        <v>458</v>
      </c>
      <c r="F475" s="11" t="s">
        <v>2374</v>
      </c>
      <c r="G475" s="37" t="n">
        <v>-36352.69</v>
      </c>
      <c r="H475" s="37" t="n">
        <v>224840.95</v>
      </c>
    </row>
    <row r="476" customFormat="false" ht="15" hidden="false" customHeight="false" outlineLevel="0" collapsed="false">
      <c r="A476" s="11" t="s">
        <v>2375</v>
      </c>
      <c r="B476" s="38" t="n">
        <v>45939</v>
      </c>
      <c r="C476" s="11" t="s">
        <v>1500</v>
      </c>
      <c r="D476" s="11" t="s">
        <v>307</v>
      </c>
      <c r="E476" s="11" t="s">
        <v>313</v>
      </c>
      <c r="F476" s="11" t="s">
        <v>2376</v>
      </c>
      <c r="G476" s="37" t="n">
        <v>-5943.59</v>
      </c>
      <c r="H476" s="37" t="n">
        <v>218897.36</v>
      </c>
    </row>
    <row r="477" customFormat="false" ht="15" hidden="false" customHeight="false" outlineLevel="0" collapsed="false">
      <c r="A477" s="11" t="s">
        <v>2377</v>
      </c>
      <c r="B477" s="38" t="n">
        <v>45939</v>
      </c>
      <c r="C477" s="11" t="s">
        <v>1496</v>
      </c>
      <c r="D477" s="11" t="s">
        <v>1497</v>
      </c>
      <c r="E477" s="11" t="s">
        <v>335</v>
      </c>
      <c r="F477" s="11" t="s">
        <v>2378</v>
      </c>
      <c r="G477" s="37" t="n">
        <v>6060</v>
      </c>
      <c r="H477" s="37" t="n">
        <v>224957.36</v>
      </c>
    </row>
    <row r="478" customFormat="false" ht="15" hidden="false" customHeight="false" outlineLevel="0" collapsed="false">
      <c r="A478" s="11" t="s">
        <v>2379</v>
      </c>
      <c r="B478" s="38" t="n">
        <v>45939</v>
      </c>
      <c r="C478" s="11" t="s">
        <v>1500</v>
      </c>
      <c r="D478" s="11" t="s">
        <v>307</v>
      </c>
      <c r="E478" s="11" t="s">
        <v>464</v>
      </c>
      <c r="F478" s="11" t="s">
        <v>2380</v>
      </c>
      <c r="G478" s="37" t="n">
        <v>-14895.42</v>
      </c>
      <c r="H478" s="37" t="n">
        <v>210061.94</v>
      </c>
    </row>
    <row r="479" customFormat="false" ht="15" hidden="false" customHeight="false" outlineLevel="0" collapsed="false">
      <c r="A479" s="11" t="s">
        <v>2381</v>
      </c>
      <c r="B479" s="38" t="n">
        <v>45940</v>
      </c>
      <c r="C479" s="11" t="s">
        <v>1500</v>
      </c>
      <c r="D479" s="11" t="s">
        <v>272</v>
      </c>
      <c r="E479" s="11" t="s">
        <v>273</v>
      </c>
      <c r="F479" s="11"/>
      <c r="G479" s="37" t="n">
        <v>-3840</v>
      </c>
      <c r="H479" s="37" t="n">
        <v>206221.94</v>
      </c>
    </row>
    <row r="480" customFormat="false" ht="15" hidden="false" customHeight="false" outlineLevel="0" collapsed="false">
      <c r="A480" s="11" t="s">
        <v>2382</v>
      </c>
      <c r="B480" s="38" t="n">
        <v>45940</v>
      </c>
      <c r="C480" s="11" t="s">
        <v>1496</v>
      </c>
      <c r="D480" s="11" t="s">
        <v>1497</v>
      </c>
      <c r="E480" s="11" t="s">
        <v>331</v>
      </c>
      <c r="F480" s="11" t="s">
        <v>2383</v>
      </c>
      <c r="G480" s="37" t="n">
        <v>3540</v>
      </c>
      <c r="H480" s="37" t="n">
        <v>209761.94</v>
      </c>
    </row>
    <row r="481" customFormat="false" ht="15" hidden="false" customHeight="false" outlineLevel="0" collapsed="false">
      <c r="A481" s="11" t="s">
        <v>2384</v>
      </c>
      <c r="B481" s="38" t="n">
        <v>45943</v>
      </c>
      <c r="C481" s="11" t="s">
        <v>1496</v>
      </c>
      <c r="D481" s="11" t="s">
        <v>1497</v>
      </c>
      <c r="E481" s="11" t="s">
        <v>287</v>
      </c>
      <c r="F481" s="11" t="s">
        <v>2385</v>
      </c>
      <c r="G481" s="37" t="n">
        <v>3024</v>
      </c>
      <c r="H481" s="37" t="n">
        <v>212785.94</v>
      </c>
    </row>
    <row r="482" customFormat="false" ht="15" hidden="false" customHeight="false" outlineLevel="0" collapsed="false">
      <c r="A482" s="11" t="s">
        <v>2386</v>
      </c>
      <c r="B482" s="38" t="n">
        <v>45943</v>
      </c>
      <c r="C482" s="11" t="s">
        <v>1496</v>
      </c>
      <c r="D482" s="11" t="s">
        <v>1497</v>
      </c>
      <c r="E482" s="11" t="s">
        <v>327</v>
      </c>
      <c r="F482" s="11" t="s">
        <v>2387</v>
      </c>
      <c r="G482" s="37" t="n">
        <v>45468</v>
      </c>
      <c r="H482" s="37" t="n">
        <v>258253.94</v>
      </c>
    </row>
    <row r="483" customFormat="false" ht="15" hidden="false" customHeight="false" outlineLevel="0" collapsed="false">
      <c r="A483" s="11" t="s">
        <v>2388</v>
      </c>
      <c r="B483" s="38" t="n">
        <v>45945</v>
      </c>
      <c r="C483" s="11" t="s">
        <v>1500</v>
      </c>
      <c r="D483" s="11" t="s">
        <v>291</v>
      </c>
      <c r="E483" s="11" t="s">
        <v>292</v>
      </c>
      <c r="F483" s="11"/>
      <c r="G483" s="37" t="n">
        <v>-3962.14</v>
      </c>
      <c r="H483" s="37" t="n">
        <v>254291.8</v>
      </c>
    </row>
    <row r="484" customFormat="false" ht="15" hidden="false" customHeight="false" outlineLevel="0" collapsed="false">
      <c r="A484" s="11" t="s">
        <v>2389</v>
      </c>
      <c r="B484" s="38" t="n">
        <v>45945</v>
      </c>
      <c r="C484" s="11" t="s">
        <v>1496</v>
      </c>
      <c r="D484" s="11" t="s">
        <v>1497</v>
      </c>
      <c r="E484" s="11" t="s">
        <v>349</v>
      </c>
      <c r="F484" s="11" t="s">
        <v>2390</v>
      </c>
      <c r="G484" s="37" t="n">
        <v>14940</v>
      </c>
      <c r="H484" s="37" t="n">
        <v>269231.8</v>
      </c>
    </row>
    <row r="485" customFormat="false" ht="15" hidden="false" customHeight="false" outlineLevel="0" collapsed="false">
      <c r="A485" s="11" t="s">
        <v>2391</v>
      </c>
      <c r="B485" s="38" t="n">
        <v>45945</v>
      </c>
      <c r="C485" s="11" t="s">
        <v>1500</v>
      </c>
      <c r="D485" s="11" t="s">
        <v>317</v>
      </c>
      <c r="E485" s="11" t="s">
        <v>318</v>
      </c>
      <c r="F485" s="11"/>
      <c r="G485" s="37" t="n">
        <v>-82000</v>
      </c>
      <c r="H485" s="37" t="n">
        <v>187231.8</v>
      </c>
    </row>
    <row r="486" customFormat="false" ht="15" hidden="false" customHeight="false" outlineLevel="0" collapsed="false">
      <c r="A486" s="11" t="s">
        <v>2392</v>
      </c>
      <c r="B486" s="38" t="n">
        <v>45945</v>
      </c>
      <c r="C486" s="11" t="s">
        <v>1496</v>
      </c>
      <c r="D486" s="11" t="s">
        <v>1497</v>
      </c>
      <c r="E486" s="11" t="s">
        <v>331</v>
      </c>
      <c r="F486" s="11" t="s">
        <v>2393</v>
      </c>
      <c r="G486" s="37" t="n">
        <v>4656</v>
      </c>
      <c r="H486" s="37" t="n">
        <v>191887.8</v>
      </c>
    </row>
    <row r="487" customFormat="false" ht="15" hidden="false" customHeight="false" outlineLevel="0" collapsed="false">
      <c r="A487" s="11" t="s">
        <v>2394</v>
      </c>
      <c r="B487" s="38" t="n">
        <v>45945</v>
      </c>
      <c r="C487" s="11" t="s">
        <v>1496</v>
      </c>
      <c r="D487" s="11" t="s">
        <v>1497</v>
      </c>
      <c r="E487" s="11" t="s">
        <v>327</v>
      </c>
      <c r="F487" s="11" t="s">
        <v>2395</v>
      </c>
      <c r="G487" s="37" t="n">
        <v>30804</v>
      </c>
      <c r="H487" s="37" t="n">
        <v>222691.8</v>
      </c>
    </row>
    <row r="488" customFormat="false" ht="15" hidden="false" customHeight="false" outlineLevel="0" collapsed="false">
      <c r="A488" s="11" t="s">
        <v>2396</v>
      </c>
      <c r="B488" s="38" t="n">
        <v>45945</v>
      </c>
      <c r="C488" s="11" t="s">
        <v>1496</v>
      </c>
      <c r="D488" s="11" t="s">
        <v>1497</v>
      </c>
      <c r="E488" s="11" t="s">
        <v>323</v>
      </c>
      <c r="F488" s="11" t="s">
        <v>2397</v>
      </c>
      <c r="G488" s="37" t="n">
        <v>3840</v>
      </c>
      <c r="H488" s="37" t="n">
        <v>226531.8</v>
      </c>
    </row>
    <row r="489" customFormat="false" ht="15" hidden="false" customHeight="false" outlineLevel="0" collapsed="false">
      <c r="A489" s="11" t="s">
        <v>2398</v>
      </c>
      <c r="B489" s="38" t="n">
        <v>45946</v>
      </c>
      <c r="C489" s="11" t="s">
        <v>1500</v>
      </c>
      <c r="D489" s="11" t="s">
        <v>307</v>
      </c>
      <c r="E489" s="11" t="s">
        <v>313</v>
      </c>
      <c r="F489" s="11" t="s">
        <v>2399</v>
      </c>
      <c r="G489" s="37" t="n">
        <v>-5955.18</v>
      </c>
      <c r="H489" s="37" t="n">
        <v>220576.62</v>
      </c>
    </row>
    <row r="490" customFormat="false" ht="15" hidden="false" customHeight="false" outlineLevel="0" collapsed="false">
      <c r="A490" s="11" t="s">
        <v>2400</v>
      </c>
      <c r="B490" s="38" t="n">
        <v>45946</v>
      </c>
      <c r="C490" s="11" t="s">
        <v>1496</v>
      </c>
      <c r="D490" s="11" t="s">
        <v>1497</v>
      </c>
      <c r="E490" s="11" t="s">
        <v>287</v>
      </c>
      <c r="F490" s="11" t="s">
        <v>2401</v>
      </c>
      <c r="G490" s="37" t="n">
        <v>5448</v>
      </c>
      <c r="H490" s="37" t="n">
        <v>226024.62</v>
      </c>
    </row>
    <row r="491" customFormat="false" ht="15" hidden="false" customHeight="false" outlineLevel="0" collapsed="false">
      <c r="A491" s="11" t="s">
        <v>2402</v>
      </c>
      <c r="B491" s="38" t="n">
        <v>45946</v>
      </c>
      <c r="C491" s="11" t="s">
        <v>1500</v>
      </c>
      <c r="D491" s="11" t="s">
        <v>307</v>
      </c>
      <c r="E491" s="11" t="s">
        <v>308</v>
      </c>
      <c r="F491" s="11" t="s">
        <v>2403</v>
      </c>
      <c r="G491" s="37" t="n">
        <v>-34486.82</v>
      </c>
      <c r="H491" s="37" t="n">
        <v>191537.8</v>
      </c>
    </row>
    <row r="492" customFormat="false" ht="15" hidden="false" customHeight="false" outlineLevel="0" collapsed="false">
      <c r="A492" s="11" t="s">
        <v>2404</v>
      </c>
      <c r="B492" s="38" t="n">
        <v>45946</v>
      </c>
      <c r="C492" s="11" t="s">
        <v>1496</v>
      </c>
      <c r="D492" s="11" t="s">
        <v>1497</v>
      </c>
      <c r="E492" s="11" t="s">
        <v>298</v>
      </c>
      <c r="F492" s="11" t="s">
        <v>2405</v>
      </c>
      <c r="G492" s="37" t="n">
        <v>10190</v>
      </c>
      <c r="H492" s="37" t="n">
        <v>201727.8</v>
      </c>
    </row>
    <row r="493" customFormat="false" ht="15" hidden="false" customHeight="false" outlineLevel="0" collapsed="false">
      <c r="A493" s="11" t="s">
        <v>2406</v>
      </c>
      <c r="B493" s="38" t="n">
        <v>45950</v>
      </c>
      <c r="C493" s="11" t="s">
        <v>1496</v>
      </c>
      <c r="D493" s="11" t="s">
        <v>1497</v>
      </c>
      <c r="E493" s="11" t="s">
        <v>392</v>
      </c>
      <c r="F493" s="11" t="s">
        <v>2407</v>
      </c>
      <c r="G493" s="37" t="n">
        <v>15576</v>
      </c>
      <c r="H493" s="37" t="n">
        <v>217303.8</v>
      </c>
    </row>
    <row r="494" customFormat="false" ht="15" hidden="false" customHeight="false" outlineLevel="0" collapsed="false">
      <c r="A494" s="11" t="s">
        <v>2408</v>
      </c>
      <c r="B494" s="38" t="n">
        <v>45950</v>
      </c>
      <c r="C494" s="11" t="s">
        <v>1496</v>
      </c>
      <c r="D494" s="11" t="s">
        <v>1497</v>
      </c>
      <c r="E494" s="11" t="s">
        <v>280</v>
      </c>
      <c r="F494" s="11" t="s">
        <v>2409</v>
      </c>
      <c r="G494" s="37" t="n">
        <v>5232</v>
      </c>
      <c r="H494" s="37" t="n">
        <v>222535.8</v>
      </c>
    </row>
    <row r="495" customFormat="false" ht="15" hidden="false" customHeight="false" outlineLevel="0" collapsed="false">
      <c r="A495" s="11" t="s">
        <v>2410</v>
      </c>
      <c r="B495" s="38" t="n">
        <v>45950</v>
      </c>
      <c r="C495" s="11" t="s">
        <v>1496</v>
      </c>
      <c r="D495" s="11" t="s">
        <v>1497</v>
      </c>
      <c r="E495" s="11" t="s">
        <v>280</v>
      </c>
      <c r="F495" s="11" t="s">
        <v>2411</v>
      </c>
      <c r="G495" s="37" t="n">
        <v>7428</v>
      </c>
      <c r="H495" s="37" t="n">
        <v>229963.8</v>
      </c>
    </row>
    <row r="496" customFormat="false" ht="15" hidden="false" customHeight="false" outlineLevel="0" collapsed="false">
      <c r="A496" s="11" t="s">
        <v>2412</v>
      </c>
      <c r="B496" s="38" t="n">
        <v>45950</v>
      </c>
      <c r="C496" s="11" t="s">
        <v>1496</v>
      </c>
      <c r="D496" s="11" t="s">
        <v>1497</v>
      </c>
      <c r="E496" s="11" t="s">
        <v>280</v>
      </c>
      <c r="F496" s="11" t="s">
        <v>2413</v>
      </c>
      <c r="G496" s="37" t="n">
        <v>5508</v>
      </c>
      <c r="H496" s="37" t="n">
        <v>235471.8</v>
      </c>
    </row>
    <row r="497" customFormat="false" ht="15" hidden="false" customHeight="false" outlineLevel="0" collapsed="false">
      <c r="A497" s="11" t="s">
        <v>2414</v>
      </c>
      <c r="B497" s="38" t="n">
        <v>45950</v>
      </c>
      <c r="C497" s="11" t="s">
        <v>1496</v>
      </c>
      <c r="D497" s="11" t="s">
        <v>1497</v>
      </c>
      <c r="E497" s="11" t="s">
        <v>287</v>
      </c>
      <c r="F497" s="11" t="s">
        <v>2415</v>
      </c>
      <c r="G497" s="37" t="n">
        <v>4968</v>
      </c>
      <c r="H497" s="37" t="n">
        <v>240439.8</v>
      </c>
    </row>
    <row r="498" customFormat="false" ht="15" hidden="false" customHeight="false" outlineLevel="0" collapsed="false">
      <c r="A498" s="11" t="s">
        <v>2416</v>
      </c>
      <c r="B498" s="38" t="n">
        <v>45952</v>
      </c>
      <c r="C498" s="11" t="s">
        <v>1500</v>
      </c>
      <c r="D498" s="11" t="s">
        <v>291</v>
      </c>
      <c r="E498" s="11" t="s">
        <v>292</v>
      </c>
      <c r="F498" s="11"/>
      <c r="G498" s="37" t="n">
        <v>-5269.66</v>
      </c>
      <c r="H498" s="37" t="n">
        <v>235170.14</v>
      </c>
    </row>
    <row r="499" customFormat="false" ht="15" hidden="false" customHeight="false" outlineLevel="0" collapsed="false">
      <c r="A499" s="11" t="s">
        <v>2417</v>
      </c>
      <c r="B499" s="38" t="n">
        <v>45953</v>
      </c>
      <c r="C499" s="11" t="s">
        <v>1500</v>
      </c>
      <c r="D499" s="11" t="s">
        <v>307</v>
      </c>
      <c r="E499" s="11" t="s">
        <v>313</v>
      </c>
      <c r="F499" s="11" t="s">
        <v>2418</v>
      </c>
      <c r="G499" s="37" t="n">
        <v>-6164.5</v>
      </c>
      <c r="H499" s="37" t="n">
        <v>229005.64</v>
      </c>
    </row>
    <row r="500" customFormat="false" ht="15" hidden="false" customHeight="false" outlineLevel="0" collapsed="false">
      <c r="A500" s="11" t="s">
        <v>2419</v>
      </c>
      <c r="B500" s="38" t="n">
        <v>45953</v>
      </c>
      <c r="C500" s="11" t="s">
        <v>1496</v>
      </c>
      <c r="D500" s="11" t="s">
        <v>1497</v>
      </c>
      <c r="E500" s="11" t="s">
        <v>327</v>
      </c>
      <c r="F500" s="11" t="s">
        <v>2420</v>
      </c>
      <c r="G500" s="37" t="n">
        <v>15816</v>
      </c>
      <c r="H500" s="37" t="n">
        <v>244821.64</v>
      </c>
    </row>
    <row r="501" customFormat="false" ht="15" hidden="false" customHeight="false" outlineLevel="0" collapsed="false">
      <c r="A501" s="11" t="s">
        <v>2421</v>
      </c>
      <c r="B501" s="38" t="n">
        <v>45954</v>
      </c>
      <c r="C501" s="11" t="s">
        <v>1500</v>
      </c>
      <c r="D501" s="11" t="s">
        <v>383</v>
      </c>
      <c r="E501" s="11" t="s">
        <v>384</v>
      </c>
      <c r="F501" s="11" t="s">
        <v>2422</v>
      </c>
      <c r="G501" s="37" t="n">
        <v>-98631.09</v>
      </c>
      <c r="H501" s="37" t="n">
        <v>146190.55</v>
      </c>
    </row>
    <row r="502" customFormat="false" ht="15" hidden="false" customHeight="false" outlineLevel="0" collapsed="false">
      <c r="A502" s="11" t="s">
        <v>2423</v>
      </c>
      <c r="B502" s="38" t="n">
        <v>45954</v>
      </c>
      <c r="C502" s="11" t="s">
        <v>1496</v>
      </c>
      <c r="D502" s="11" t="s">
        <v>1497</v>
      </c>
      <c r="E502" s="11" t="s">
        <v>335</v>
      </c>
      <c r="F502" s="11" t="s">
        <v>2424</v>
      </c>
      <c r="G502" s="37" t="n">
        <v>8772</v>
      </c>
      <c r="H502" s="37" t="n">
        <v>154962.55</v>
      </c>
    </row>
    <row r="503" customFormat="false" ht="15" hidden="false" customHeight="false" outlineLevel="0" collapsed="false">
      <c r="A503" s="11" t="s">
        <v>2425</v>
      </c>
      <c r="B503" s="38" t="n">
        <v>45957</v>
      </c>
      <c r="C503" s="11" t="s">
        <v>1496</v>
      </c>
      <c r="D503" s="11" t="s">
        <v>1497</v>
      </c>
      <c r="E503" s="11" t="s">
        <v>349</v>
      </c>
      <c r="F503" s="11" t="s">
        <v>2426</v>
      </c>
      <c r="G503" s="37" t="n">
        <v>9156</v>
      </c>
      <c r="H503" s="37" t="n">
        <v>164118.55</v>
      </c>
    </row>
    <row r="504" customFormat="false" ht="15" hidden="false" customHeight="false" outlineLevel="0" collapsed="false">
      <c r="A504" s="11" t="s">
        <v>2427</v>
      </c>
      <c r="B504" s="38" t="n">
        <v>45957</v>
      </c>
      <c r="C504" s="11" t="s">
        <v>1496</v>
      </c>
      <c r="D504" s="11" t="s">
        <v>1497</v>
      </c>
      <c r="E504" s="11" t="s">
        <v>280</v>
      </c>
      <c r="F504" s="11" t="s">
        <v>2428</v>
      </c>
      <c r="G504" s="37" t="n">
        <v>4428</v>
      </c>
      <c r="H504" s="37" t="n">
        <v>168546.55</v>
      </c>
    </row>
    <row r="505" customFormat="false" ht="15" hidden="false" customHeight="false" outlineLevel="0" collapsed="false">
      <c r="A505" s="11" t="s">
        <v>2429</v>
      </c>
      <c r="B505" s="38" t="n">
        <v>45957</v>
      </c>
      <c r="C505" s="11" t="s">
        <v>1496</v>
      </c>
      <c r="D505" s="11" t="s">
        <v>1497</v>
      </c>
      <c r="E505" s="11" t="s">
        <v>349</v>
      </c>
      <c r="F505" s="11" t="s">
        <v>2430</v>
      </c>
      <c r="G505" s="37" t="n">
        <v>21888</v>
      </c>
      <c r="H505" s="37" t="n">
        <v>190434.55</v>
      </c>
    </row>
    <row r="506" customFormat="false" ht="15" hidden="false" customHeight="false" outlineLevel="0" collapsed="false">
      <c r="A506" s="11" t="s">
        <v>2431</v>
      </c>
      <c r="B506" s="38" t="n">
        <v>45957</v>
      </c>
      <c r="C506" s="11" t="s">
        <v>1496</v>
      </c>
      <c r="D506" s="11" t="s">
        <v>1497</v>
      </c>
      <c r="E506" s="11" t="s">
        <v>331</v>
      </c>
      <c r="F506" s="11" t="s">
        <v>2432</v>
      </c>
      <c r="G506" s="37" t="n">
        <v>19200</v>
      </c>
      <c r="H506" s="37" t="n">
        <v>209634.55</v>
      </c>
    </row>
    <row r="507" customFormat="false" ht="15" hidden="false" customHeight="false" outlineLevel="0" collapsed="false">
      <c r="A507" s="11" t="s">
        <v>2433</v>
      </c>
      <c r="B507" s="38" t="n">
        <v>45957</v>
      </c>
      <c r="C507" s="11" t="s">
        <v>1496</v>
      </c>
      <c r="D507" s="11" t="s">
        <v>1497</v>
      </c>
      <c r="E507" s="11" t="s">
        <v>287</v>
      </c>
      <c r="F507" s="11" t="s">
        <v>2434</v>
      </c>
      <c r="G507" s="37" t="n">
        <v>3900</v>
      </c>
      <c r="H507" s="37" t="n">
        <v>213534.55</v>
      </c>
    </row>
    <row r="508" customFormat="false" ht="15" hidden="false" customHeight="false" outlineLevel="0" collapsed="false">
      <c r="A508" s="11" t="s">
        <v>2435</v>
      </c>
      <c r="B508" s="38" t="n">
        <v>45957</v>
      </c>
      <c r="C508" s="11" t="s">
        <v>1496</v>
      </c>
      <c r="D508" s="11" t="s">
        <v>1497</v>
      </c>
      <c r="E508" s="11" t="s">
        <v>323</v>
      </c>
      <c r="F508" s="11" t="s">
        <v>2436</v>
      </c>
      <c r="G508" s="37" t="n">
        <v>9888</v>
      </c>
      <c r="H508" s="37" t="n">
        <v>223422.55</v>
      </c>
    </row>
    <row r="509" customFormat="false" ht="15" hidden="false" customHeight="false" outlineLevel="0" collapsed="false">
      <c r="A509" s="11" t="s">
        <v>2437</v>
      </c>
      <c r="B509" s="38" t="n">
        <v>45957</v>
      </c>
      <c r="C509" s="11" t="s">
        <v>1496</v>
      </c>
      <c r="D509" s="11" t="s">
        <v>1497</v>
      </c>
      <c r="E509" s="11" t="s">
        <v>335</v>
      </c>
      <c r="F509" s="11" t="s">
        <v>2438</v>
      </c>
      <c r="G509" s="37" t="n">
        <v>6708</v>
      </c>
      <c r="H509" s="37" t="n">
        <v>230130.55</v>
      </c>
    </row>
    <row r="510" customFormat="false" ht="15" hidden="false" customHeight="false" outlineLevel="0" collapsed="false">
      <c r="A510" s="11" t="s">
        <v>2439</v>
      </c>
      <c r="B510" s="38" t="n">
        <v>45957</v>
      </c>
      <c r="C510" s="11" t="s">
        <v>1496</v>
      </c>
      <c r="D510" s="11" t="s">
        <v>1497</v>
      </c>
      <c r="E510" s="11" t="s">
        <v>287</v>
      </c>
      <c r="F510" s="11" t="s">
        <v>2440</v>
      </c>
      <c r="G510" s="37" t="n">
        <v>5856</v>
      </c>
      <c r="H510" s="37" t="n">
        <v>235986.55</v>
      </c>
    </row>
    <row r="511" customFormat="false" ht="15" hidden="false" customHeight="false" outlineLevel="0" collapsed="false">
      <c r="A511" s="11" t="s">
        <v>2441</v>
      </c>
      <c r="B511" s="38" t="n">
        <v>45958</v>
      </c>
      <c r="C511" s="11" t="s">
        <v>1496</v>
      </c>
      <c r="D511" s="11" t="s">
        <v>1497</v>
      </c>
      <c r="E511" s="11" t="s">
        <v>335</v>
      </c>
      <c r="F511" s="11" t="s">
        <v>2442</v>
      </c>
      <c r="G511" s="37" t="n">
        <v>8436</v>
      </c>
      <c r="H511" s="37" t="n">
        <v>244422.55</v>
      </c>
    </row>
    <row r="512" customFormat="false" ht="15" hidden="false" customHeight="false" outlineLevel="0" collapsed="false">
      <c r="A512" s="11" t="s">
        <v>2443</v>
      </c>
      <c r="B512" s="38" t="n">
        <v>45959</v>
      </c>
      <c r="C512" s="11" t="s">
        <v>1500</v>
      </c>
      <c r="D512" s="11" t="s">
        <v>291</v>
      </c>
      <c r="E512" s="11" t="s">
        <v>292</v>
      </c>
      <c r="F512" s="11"/>
      <c r="G512" s="37" t="n">
        <v>-5036.8</v>
      </c>
      <c r="H512" s="37" t="n">
        <v>239385.75</v>
      </c>
    </row>
    <row r="513" customFormat="false" ht="15" hidden="false" customHeight="false" outlineLevel="0" collapsed="false">
      <c r="A513" s="11" t="s">
        <v>2444</v>
      </c>
      <c r="B513" s="38" t="n">
        <v>45960</v>
      </c>
      <c r="C513" s="11" t="s">
        <v>1496</v>
      </c>
      <c r="D513" s="11" t="s">
        <v>1497</v>
      </c>
      <c r="E513" s="11" t="s">
        <v>335</v>
      </c>
      <c r="F513" s="11" t="s">
        <v>2445</v>
      </c>
      <c r="G513" s="37" t="n">
        <v>11856</v>
      </c>
      <c r="H513" s="37" t="n">
        <v>251241.75</v>
      </c>
    </row>
    <row r="514" customFormat="false" ht="15" hidden="false" customHeight="false" outlineLevel="0" collapsed="false">
      <c r="A514" s="11" t="s">
        <v>2446</v>
      </c>
      <c r="B514" s="38" t="n">
        <v>45960</v>
      </c>
      <c r="C514" s="11" t="s">
        <v>1496</v>
      </c>
      <c r="D514" s="11" t="s">
        <v>1497</v>
      </c>
      <c r="E514" s="11" t="s">
        <v>280</v>
      </c>
      <c r="F514" s="11" t="s">
        <v>2447</v>
      </c>
      <c r="G514" s="37" t="n">
        <v>6648</v>
      </c>
      <c r="H514" s="37" t="n">
        <v>257889.75</v>
      </c>
    </row>
    <row r="515" customFormat="false" ht="15" hidden="false" customHeight="false" outlineLevel="0" collapsed="false">
      <c r="A515" s="11" t="s">
        <v>2448</v>
      </c>
      <c r="B515" s="38" t="n">
        <v>45960</v>
      </c>
      <c r="C515" s="11" t="s">
        <v>1500</v>
      </c>
      <c r="D515" s="11" t="s">
        <v>307</v>
      </c>
      <c r="E515" s="11" t="s">
        <v>414</v>
      </c>
      <c r="F515" s="11" t="s">
        <v>2449</v>
      </c>
      <c r="G515" s="37" t="n">
        <v>-18775.88</v>
      </c>
      <c r="H515" s="37" t="n">
        <v>239113.87</v>
      </c>
    </row>
    <row r="516" customFormat="false" ht="15" hidden="false" customHeight="false" outlineLevel="0" collapsed="false">
      <c r="A516" s="11" t="s">
        <v>2450</v>
      </c>
      <c r="B516" s="38" t="n">
        <v>45960</v>
      </c>
      <c r="C516" s="11" t="s">
        <v>1500</v>
      </c>
      <c r="D516" s="11" t="s">
        <v>307</v>
      </c>
      <c r="E516" s="11" t="s">
        <v>313</v>
      </c>
      <c r="F516" s="11" t="s">
        <v>2451</v>
      </c>
      <c r="G516" s="37" t="n">
        <v>-5530.46</v>
      </c>
      <c r="H516" s="37" t="n">
        <v>233583.41</v>
      </c>
    </row>
    <row r="517" customFormat="false" ht="15" hidden="false" customHeight="false" outlineLevel="0" collapsed="false">
      <c r="A517" s="11" t="s">
        <v>2452</v>
      </c>
      <c r="B517" s="38" t="n">
        <v>45960</v>
      </c>
      <c r="C517" s="11" t="s">
        <v>1500</v>
      </c>
      <c r="D517" s="11" t="s">
        <v>307</v>
      </c>
      <c r="E517" s="11" t="s">
        <v>308</v>
      </c>
      <c r="F517" s="11" t="s">
        <v>2453</v>
      </c>
      <c r="G517" s="37" t="n">
        <v>-36782.83</v>
      </c>
      <c r="H517" s="37" t="n">
        <v>196800.58</v>
      </c>
    </row>
    <row r="518" customFormat="false" ht="15" hidden="false" customHeight="false" outlineLevel="0" collapsed="false">
      <c r="A518" s="11" t="s">
        <v>2454</v>
      </c>
      <c r="B518" s="38" t="n">
        <v>45960</v>
      </c>
      <c r="C518" s="11" t="s">
        <v>1500</v>
      </c>
      <c r="D518" s="11" t="s">
        <v>307</v>
      </c>
      <c r="E518" s="11" t="s">
        <v>420</v>
      </c>
      <c r="F518" s="11" t="s">
        <v>2455</v>
      </c>
      <c r="G518" s="37" t="n">
        <v>-114966.07</v>
      </c>
      <c r="H518" s="37" t="n">
        <v>81834.51</v>
      </c>
    </row>
    <row r="519" customFormat="false" ht="15" hidden="false" customHeight="false" outlineLevel="0" collapsed="false">
      <c r="A519" s="11" t="s">
        <v>2456</v>
      </c>
      <c r="B519" s="38" t="n">
        <v>45960</v>
      </c>
      <c r="C519" s="11" t="s">
        <v>1496</v>
      </c>
      <c r="D519" s="11" t="s">
        <v>1497</v>
      </c>
      <c r="E519" s="11" t="s">
        <v>399</v>
      </c>
      <c r="F519" s="11" t="s">
        <v>2457</v>
      </c>
      <c r="G519" s="37" t="n">
        <v>16248</v>
      </c>
      <c r="H519" s="37" t="n">
        <v>98082.51</v>
      </c>
    </row>
    <row r="520" customFormat="false" ht="15" hidden="false" customHeight="false" outlineLevel="0" collapsed="false">
      <c r="A520" s="11" t="s">
        <v>2458</v>
      </c>
      <c r="B520" s="38" t="n">
        <v>45961</v>
      </c>
      <c r="C520" s="11" t="s">
        <v>1500</v>
      </c>
      <c r="D520" s="11" t="s">
        <v>1634</v>
      </c>
      <c r="E520" s="11" t="s">
        <v>425</v>
      </c>
      <c r="F520" s="11"/>
      <c r="G520" s="37" t="n">
        <v>-101500</v>
      </c>
      <c r="H520" s="37" t="n">
        <v>-3417.49</v>
      </c>
    </row>
    <row r="521" customFormat="false" ht="15" hidden="false" customHeight="false" outlineLevel="0" collapsed="false">
      <c r="A521" s="11" t="s">
        <v>2459</v>
      </c>
      <c r="B521" s="38" t="n">
        <v>45961</v>
      </c>
      <c r="C521" s="11" t="s">
        <v>1496</v>
      </c>
      <c r="D521" s="11" t="s">
        <v>1497</v>
      </c>
      <c r="E521" s="11" t="s">
        <v>280</v>
      </c>
      <c r="F521" s="11" t="s">
        <v>2460</v>
      </c>
      <c r="G521" s="37" t="n">
        <v>4920</v>
      </c>
      <c r="H521" s="37" t="n">
        <v>1502.51</v>
      </c>
    </row>
    <row r="522" customFormat="false" ht="15" hidden="false" customHeight="false" outlineLevel="0" collapsed="false">
      <c r="A522" s="11" t="s">
        <v>2461</v>
      </c>
      <c r="B522" s="38" t="n">
        <v>45964</v>
      </c>
      <c r="C522" s="11" t="s">
        <v>1496</v>
      </c>
      <c r="D522" s="11" t="s">
        <v>1497</v>
      </c>
      <c r="E522" s="11" t="s">
        <v>349</v>
      </c>
      <c r="F522" s="11" t="s">
        <v>2462</v>
      </c>
      <c r="G522" s="37" t="n">
        <v>11784</v>
      </c>
      <c r="H522" s="37" t="n">
        <v>13286.51</v>
      </c>
    </row>
    <row r="523" customFormat="false" ht="15" hidden="false" customHeight="false" outlineLevel="0" collapsed="false">
      <c r="A523" s="11" t="s">
        <v>2463</v>
      </c>
      <c r="B523" s="38" t="n">
        <v>45964</v>
      </c>
      <c r="C523" s="11" t="s">
        <v>1496</v>
      </c>
      <c r="D523" s="11" t="s">
        <v>1497</v>
      </c>
      <c r="E523" s="11" t="s">
        <v>323</v>
      </c>
      <c r="F523" s="11" t="s">
        <v>2464</v>
      </c>
      <c r="G523" s="37" t="n">
        <v>10980</v>
      </c>
      <c r="H523" s="37" t="n">
        <v>24266.51</v>
      </c>
    </row>
    <row r="524" customFormat="false" ht="15" hidden="false" customHeight="false" outlineLevel="0" collapsed="false">
      <c r="A524" s="11" t="s">
        <v>2465</v>
      </c>
      <c r="B524" s="38" t="n">
        <v>45964</v>
      </c>
      <c r="C524" s="11" t="s">
        <v>1496</v>
      </c>
      <c r="D524" s="11" t="s">
        <v>1497</v>
      </c>
      <c r="E524" s="11" t="s">
        <v>280</v>
      </c>
      <c r="F524" s="11" t="s">
        <v>2466</v>
      </c>
      <c r="G524" s="37" t="n">
        <v>8436</v>
      </c>
      <c r="H524" s="37" t="n">
        <v>32702.51</v>
      </c>
    </row>
    <row r="525" customFormat="false" ht="15" hidden="false" customHeight="false" outlineLevel="0" collapsed="false">
      <c r="A525" s="11" t="s">
        <v>2467</v>
      </c>
      <c r="B525" s="38" t="n">
        <v>45964</v>
      </c>
      <c r="C525" s="11" t="s">
        <v>1500</v>
      </c>
      <c r="D525" s="11" t="s">
        <v>448</v>
      </c>
      <c r="E525" s="11" t="s">
        <v>449</v>
      </c>
      <c r="F525" s="11"/>
      <c r="G525" s="37" t="n">
        <v>-2880</v>
      </c>
      <c r="H525" s="37" t="n">
        <v>29822.51</v>
      </c>
    </row>
    <row r="526" customFormat="false" ht="15" hidden="false" customHeight="false" outlineLevel="0" collapsed="false">
      <c r="A526" s="11" t="s">
        <v>2468</v>
      </c>
      <c r="B526" s="38" t="n">
        <v>45964</v>
      </c>
      <c r="C526" s="11" t="s">
        <v>1496</v>
      </c>
      <c r="D526" s="11" t="s">
        <v>1497</v>
      </c>
      <c r="E526" s="11" t="s">
        <v>280</v>
      </c>
      <c r="F526" s="11" t="s">
        <v>2469</v>
      </c>
      <c r="G526" s="37" t="n">
        <v>10332</v>
      </c>
      <c r="H526" s="37" t="n">
        <v>40154.51</v>
      </c>
    </row>
    <row r="527" customFormat="false" ht="15" hidden="false" customHeight="false" outlineLevel="0" collapsed="false">
      <c r="A527" s="11" t="s">
        <v>2470</v>
      </c>
      <c r="B527" s="38" t="n">
        <v>45965</v>
      </c>
      <c r="C527" s="11" t="s">
        <v>1496</v>
      </c>
      <c r="D527" s="11" t="s">
        <v>1497</v>
      </c>
      <c r="E527" s="11" t="s">
        <v>399</v>
      </c>
      <c r="F527" s="11" t="s">
        <v>2471</v>
      </c>
      <c r="G527" s="37" t="n">
        <v>14448</v>
      </c>
      <c r="H527" s="37" t="n">
        <v>54602.51</v>
      </c>
    </row>
    <row r="528" customFormat="false" ht="15" hidden="false" customHeight="false" outlineLevel="0" collapsed="false">
      <c r="A528" s="11" t="s">
        <v>2472</v>
      </c>
      <c r="B528" s="38" t="n">
        <v>45965</v>
      </c>
      <c r="C528" s="11" t="s">
        <v>1496</v>
      </c>
      <c r="D528" s="11" t="s">
        <v>1497</v>
      </c>
      <c r="E528" s="11" t="s">
        <v>335</v>
      </c>
      <c r="F528" s="11" t="s">
        <v>2473</v>
      </c>
      <c r="G528" s="37" t="n">
        <v>5592</v>
      </c>
      <c r="H528" s="37" t="n">
        <v>60194.51</v>
      </c>
    </row>
    <row r="529" customFormat="false" ht="15" hidden="false" customHeight="false" outlineLevel="0" collapsed="false">
      <c r="A529" s="11" t="s">
        <v>2474</v>
      </c>
      <c r="B529" s="38" t="n">
        <v>45965</v>
      </c>
      <c r="C529" s="11" t="s">
        <v>1496</v>
      </c>
      <c r="D529" s="11" t="s">
        <v>1497</v>
      </c>
      <c r="E529" s="11" t="s">
        <v>399</v>
      </c>
      <c r="F529" s="11" t="s">
        <v>2475</v>
      </c>
      <c r="G529" s="37" t="n">
        <v>20868</v>
      </c>
      <c r="H529" s="37" t="n">
        <v>81062.51</v>
      </c>
    </row>
    <row r="530" customFormat="false" ht="15" hidden="false" customHeight="false" outlineLevel="0" collapsed="false">
      <c r="A530" s="11" t="s">
        <v>2476</v>
      </c>
      <c r="B530" s="38" t="n">
        <v>45966</v>
      </c>
      <c r="C530" s="11" t="s">
        <v>1500</v>
      </c>
      <c r="D530" s="11" t="s">
        <v>469</v>
      </c>
      <c r="E530" s="11" t="s">
        <v>470</v>
      </c>
      <c r="F530" s="11"/>
      <c r="G530" s="37" t="n">
        <v>-8900</v>
      </c>
      <c r="H530" s="37" t="n">
        <v>72162.51</v>
      </c>
    </row>
    <row r="531" customFormat="false" ht="15" hidden="false" customHeight="false" outlineLevel="0" collapsed="false">
      <c r="A531" s="11" t="s">
        <v>2477</v>
      </c>
      <c r="B531" s="38" t="n">
        <v>45966</v>
      </c>
      <c r="C531" s="11" t="s">
        <v>1496</v>
      </c>
      <c r="D531" s="11" t="s">
        <v>1497</v>
      </c>
      <c r="E531" s="11" t="s">
        <v>335</v>
      </c>
      <c r="F531" s="11" t="s">
        <v>2478</v>
      </c>
      <c r="G531" s="37" t="n">
        <v>4032</v>
      </c>
      <c r="H531" s="37" t="n">
        <v>76194.51</v>
      </c>
    </row>
    <row r="532" customFormat="false" ht="15" hidden="false" customHeight="false" outlineLevel="0" collapsed="false">
      <c r="A532" s="11" t="s">
        <v>2479</v>
      </c>
      <c r="B532" s="38" t="n">
        <v>45966</v>
      </c>
      <c r="C532" s="11" t="s">
        <v>1500</v>
      </c>
      <c r="D532" s="11" t="s">
        <v>291</v>
      </c>
      <c r="E532" s="11" t="s">
        <v>292</v>
      </c>
      <c r="F532" s="11"/>
      <c r="G532" s="37" t="n">
        <v>-5006.45</v>
      </c>
      <c r="H532" s="37" t="n">
        <v>71188.06</v>
      </c>
    </row>
    <row r="533" customFormat="false" ht="15" hidden="false" customHeight="false" outlineLevel="0" collapsed="false">
      <c r="A533" s="11" t="s">
        <v>2480</v>
      </c>
      <c r="B533" s="38" t="n">
        <v>45966</v>
      </c>
      <c r="C533" s="11" t="s">
        <v>1496</v>
      </c>
      <c r="D533" s="11" t="s">
        <v>1497</v>
      </c>
      <c r="E533" s="11" t="s">
        <v>349</v>
      </c>
      <c r="F533" s="11" t="s">
        <v>2481</v>
      </c>
      <c r="G533" s="37" t="n">
        <v>16716</v>
      </c>
      <c r="H533" s="37" t="n">
        <v>87904.06</v>
      </c>
    </row>
    <row r="534" customFormat="false" ht="15" hidden="false" customHeight="false" outlineLevel="0" collapsed="false">
      <c r="A534" s="11" t="s">
        <v>2482</v>
      </c>
      <c r="B534" s="38" t="n">
        <v>45967</v>
      </c>
      <c r="C534" s="11" t="s">
        <v>1496</v>
      </c>
      <c r="D534" s="11" t="s">
        <v>1497</v>
      </c>
      <c r="E534" s="11" t="s">
        <v>287</v>
      </c>
      <c r="F534" s="11" t="s">
        <v>2483</v>
      </c>
      <c r="G534" s="37" t="n">
        <v>3240</v>
      </c>
      <c r="H534" s="37" t="n">
        <v>91144.06</v>
      </c>
    </row>
    <row r="535" customFormat="false" ht="15" hidden="false" customHeight="false" outlineLevel="0" collapsed="false">
      <c r="A535" s="11" t="s">
        <v>2484</v>
      </c>
      <c r="B535" s="38" t="n">
        <v>45967</v>
      </c>
      <c r="C535" s="11" t="s">
        <v>1496</v>
      </c>
      <c r="D535" s="11" t="s">
        <v>1497</v>
      </c>
      <c r="E535" s="11" t="s">
        <v>327</v>
      </c>
      <c r="F535" s="11" t="s">
        <v>2485</v>
      </c>
      <c r="G535" s="37" t="n">
        <v>9012</v>
      </c>
      <c r="H535" s="37" t="n">
        <v>100156.06</v>
      </c>
    </row>
    <row r="536" customFormat="false" ht="15" hidden="false" customHeight="false" outlineLevel="0" collapsed="false">
      <c r="A536" s="11" t="s">
        <v>2486</v>
      </c>
      <c r="B536" s="38" t="n">
        <v>45967</v>
      </c>
      <c r="C536" s="11" t="s">
        <v>1500</v>
      </c>
      <c r="D536" s="11" t="s">
        <v>307</v>
      </c>
      <c r="E536" s="11" t="s">
        <v>313</v>
      </c>
      <c r="F536" s="11" t="s">
        <v>2487</v>
      </c>
      <c r="G536" s="37" t="n">
        <v>-5508.29</v>
      </c>
      <c r="H536" s="37" t="n">
        <v>94647.77</v>
      </c>
    </row>
    <row r="537" customFormat="false" ht="15" hidden="false" customHeight="false" outlineLevel="0" collapsed="false">
      <c r="A537" s="11" t="s">
        <v>2488</v>
      </c>
      <c r="B537" s="38" t="n">
        <v>45967</v>
      </c>
      <c r="C537" s="11" t="s">
        <v>1500</v>
      </c>
      <c r="D537" s="11" t="s">
        <v>307</v>
      </c>
      <c r="E537" s="11" t="s">
        <v>458</v>
      </c>
      <c r="F537" s="11" t="s">
        <v>2489</v>
      </c>
      <c r="G537" s="37" t="n">
        <v>-35487.36</v>
      </c>
      <c r="H537" s="37" t="n">
        <v>59160.41</v>
      </c>
    </row>
    <row r="538" customFormat="false" ht="15" hidden="false" customHeight="false" outlineLevel="0" collapsed="false">
      <c r="A538" s="11" t="s">
        <v>2490</v>
      </c>
      <c r="B538" s="38" t="n">
        <v>45967</v>
      </c>
      <c r="C538" s="11" t="s">
        <v>1496</v>
      </c>
      <c r="D538" s="11" t="s">
        <v>1497</v>
      </c>
      <c r="E538" s="11" t="s">
        <v>331</v>
      </c>
      <c r="F538" s="11" t="s">
        <v>2491</v>
      </c>
      <c r="G538" s="37" t="n">
        <v>15876</v>
      </c>
      <c r="H538" s="37" t="n">
        <v>75036.41</v>
      </c>
    </row>
    <row r="539" customFormat="false" ht="15" hidden="false" customHeight="false" outlineLevel="0" collapsed="false">
      <c r="A539" s="11" t="s">
        <v>2492</v>
      </c>
      <c r="B539" s="38" t="n">
        <v>45967</v>
      </c>
      <c r="C539" s="11" t="s">
        <v>1500</v>
      </c>
      <c r="D539" s="11" t="s">
        <v>307</v>
      </c>
      <c r="E539" s="11" t="s">
        <v>464</v>
      </c>
      <c r="F539" s="11" t="s">
        <v>2493</v>
      </c>
      <c r="G539" s="37" t="n">
        <v>-14400.37</v>
      </c>
      <c r="H539" s="37" t="n">
        <v>60636.04</v>
      </c>
    </row>
    <row r="540" customFormat="false" ht="15" hidden="false" customHeight="false" outlineLevel="0" collapsed="false">
      <c r="A540" s="11" t="s">
        <v>2494</v>
      </c>
      <c r="B540" s="38" t="n">
        <v>45971</v>
      </c>
      <c r="C540" s="11" t="s">
        <v>1496</v>
      </c>
      <c r="D540" s="11" t="s">
        <v>1497</v>
      </c>
      <c r="E540" s="11" t="s">
        <v>287</v>
      </c>
      <c r="F540" s="11" t="s">
        <v>2495</v>
      </c>
      <c r="G540" s="37" t="n">
        <v>1908</v>
      </c>
      <c r="H540" s="37" t="n">
        <v>62544.04</v>
      </c>
    </row>
    <row r="541" customFormat="false" ht="15" hidden="false" customHeight="false" outlineLevel="0" collapsed="false">
      <c r="A541" s="11" t="s">
        <v>2496</v>
      </c>
      <c r="B541" s="38" t="n">
        <v>45971</v>
      </c>
      <c r="C541" s="11" t="s">
        <v>1500</v>
      </c>
      <c r="D541" s="11" t="s">
        <v>272</v>
      </c>
      <c r="E541" s="11" t="s">
        <v>273</v>
      </c>
      <c r="F541" s="11"/>
      <c r="G541" s="37" t="n">
        <v>-3840</v>
      </c>
      <c r="H541" s="37" t="n">
        <v>58704.04</v>
      </c>
    </row>
    <row r="542" customFormat="false" ht="15" hidden="false" customHeight="false" outlineLevel="0" collapsed="false">
      <c r="A542" s="11" t="s">
        <v>2497</v>
      </c>
      <c r="B542" s="38" t="n">
        <v>45971</v>
      </c>
      <c r="C542" s="11" t="s">
        <v>1500</v>
      </c>
      <c r="D542" s="11" t="s">
        <v>480</v>
      </c>
      <c r="E542" s="11" t="s">
        <v>481</v>
      </c>
      <c r="F542" s="11"/>
      <c r="G542" s="37" t="n">
        <v>-14160</v>
      </c>
      <c r="H542" s="37" t="n">
        <v>44544.04</v>
      </c>
    </row>
    <row r="543" customFormat="false" ht="15" hidden="false" customHeight="false" outlineLevel="0" collapsed="false">
      <c r="A543" s="11" t="s">
        <v>2498</v>
      </c>
      <c r="B543" s="38" t="n">
        <v>45971</v>
      </c>
      <c r="C543" s="11" t="s">
        <v>1496</v>
      </c>
      <c r="D543" s="11" t="s">
        <v>1497</v>
      </c>
      <c r="E543" s="11" t="s">
        <v>349</v>
      </c>
      <c r="F543" s="11" t="s">
        <v>2499</v>
      </c>
      <c r="G543" s="37" t="n">
        <v>13764</v>
      </c>
      <c r="H543" s="37" t="n">
        <v>58308.04</v>
      </c>
    </row>
    <row r="544" customFormat="false" ht="15" hidden="false" customHeight="false" outlineLevel="0" collapsed="false">
      <c r="A544" s="11" t="s">
        <v>2500</v>
      </c>
      <c r="B544" s="38" t="n">
        <v>45971</v>
      </c>
      <c r="C544" s="11" t="s">
        <v>1496</v>
      </c>
      <c r="D544" s="11" t="s">
        <v>1497</v>
      </c>
      <c r="E544" s="11" t="s">
        <v>280</v>
      </c>
      <c r="F544" s="11" t="s">
        <v>2501</v>
      </c>
      <c r="G544" s="37" t="n">
        <v>12852</v>
      </c>
      <c r="H544" s="37" t="n">
        <v>71160.04</v>
      </c>
    </row>
    <row r="545" customFormat="false" ht="15" hidden="false" customHeight="false" outlineLevel="0" collapsed="false">
      <c r="A545" s="11" t="s">
        <v>2502</v>
      </c>
      <c r="B545" s="38" t="n">
        <v>45971</v>
      </c>
      <c r="C545" s="11" t="s">
        <v>1496</v>
      </c>
      <c r="D545" s="11" t="s">
        <v>1497</v>
      </c>
      <c r="E545" s="11" t="s">
        <v>399</v>
      </c>
      <c r="F545" s="11" t="s">
        <v>2503</v>
      </c>
      <c r="G545" s="37" t="n">
        <v>21612</v>
      </c>
      <c r="H545" s="37" t="n">
        <v>92772.04</v>
      </c>
    </row>
    <row r="546" customFormat="false" ht="15" hidden="false" customHeight="false" outlineLevel="0" collapsed="false">
      <c r="A546" s="11" t="s">
        <v>2504</v>
      </c>
      <c r="B546" s="38" t="n">
        <v>45971</v>
      </c>
      <c r="C546" s="11" t="s">
        <v>1496</v>
      </c>
      <c r="D546" s="11" t="s">
        <v>1497</v>
      </c>
      <c r="E546" s="11" t="s">
        <v>280</v>
      </c>
      <c r="F546" s="11" t="s">
        <v>2505</v>
      </c>
      <c r="G546" s="37" t="n">
        <v>16248</v>
      </c>
      <c r="H546" s="37" t="n">
        <v>109020.04</v>
      </c>
    </row>
    <row r="547" customFormat="false" ht="15" hidden="false" customHeight="false" outlineLevel="0" collapsed="false">
      <c r="A547" s="11" t="s">
        <v>2506</v>
      </c>
      <c r="B547" s="38" t="n">
        <v>45973</v>
      </c>
      <c r="C547" s="11" t="s">
        <v>1496</v>
      </c>
      <c r="D547" s="11" t="s">
        <v>1497</v>
      </c>
      <c r="E547" s="11" t="s">
        <v>335</v>
      </c>
      <c r="F547" s="11" t="s">
        <v>2507</v>
      </c>
      <c r="G547" s="37" t="n">
        <v>9372</v>
      </c>
      <c r="H547" s="37" t="n">
        <v>118392.04</v>
      </c>
    </row>
    <row r="548" customFormat="false" ht="15" hidden="false" customHeight="false" outlineLevel="0" collapsed="false">
      <c r="A548" s="11" t="s">
        <v>2508</v>
      </c>
      <c r="B548" s="38" t="n">
        <v>45973</v>
      </c>
      <c r="C548" s="11" t="s">
        <v>1500</v>
      </c>
      <c r="D548" s="11" t="s">
        <v>291</v>
      </c>
      <c r="E548" s="11" t="s">
        <v>292</v>
      </c>
      <c r="F548" s="11"/>
      <c r="G548" s="37" t="n">
        <v>-5100.27</v>
      </c>
      <c r="H548" s="37" t="n">
        <v>113291.77</v>
      </c>
    </row>
    <row r="549" customFormat="false" ht="15" hidden="false" customHeight="false" outlineLevel="0" collapsed="false">
      <c r="A549" s="11" t="s">
        <v>2509</v>
      </c>
      <c r="B549" s="38" t="n">
        <v>45973</v>
      </c>
      <c r="C549" s="11" t="s">
        <v>1496</v>
      </c>
      <c r="D549" s="11" t="s">
        <v>1497</v>
      </c>
      <c r="E549" s="11" t="s">
        <v>287</v>
      </c>
      <c r="F549" s="11" t="s">
        <v>2510</v>
      </c>
      <c r="G549" s="37" t="n">
        <v>3024</v>
      </c>
      <c r="H549" s="37" t="n">
        <v>116315.77</v>
      </c>
    </row>
    <row r="550" customFormat="false" ht="15" hidden="false" customHeight="false" outlineLevel="0" collapsed="false">
      <c r="A550" s="11" t="s">
        <v>2511</v>
      </c>
      <c r="B550" s="38" t="n">
        <v>45973</v>
      </c>
      <c r="C550" s="11" t="s">
        <v>1496</v>
      </c>
      <c r="D550" s="11" t="s">
        <v>1497</v>
      </c>
      <c r="E550" s="11" t="s">
        <v>331</v>
      </c>
      <c r="F550" s="11" t="s">
        <v>2512</v>
      </c>
      <c r="G550" s="37" t="n">
        <v>9264</v>
      </c>
      <c r="H550" s="37" t="n">
        <v>125579.77</v>
      </c>
    </row>
    <row r="551" customFormat="false" ht="15" hidden="false" customHeight="false" outlineLevel="0" collapsed="false">
      <c r="A551" s="11" t="s">
        <v>2513</v>
      </c>
      <c r="B551" s="38" t="n">
        <v>45973</v>
      </c>
      <c r="C551" s="11" t="s">
        <v>1496</v>
      </c>
      <c r="D551" s="11" t="s">
        <v>1497</v>
      </c>
      <c r="E551" s="11" t="s">
        <v>349</v>
      </c>
      <c r="F551" s="11" t="s">
        <v>2514</v>
      </c>
      <c r="G551" s="37" t="n">
        <v>13464</v>
      </c>
      <c r="H551" s="37" t="n">
        <v>139043.77</v>
      </c>
    </row>
    <row r="552" customFormat="false" ht="15" hidden="false" customHeight="false" outlineLevel="0" collapsed="false">
      <c r="A552" s="11" t="s">
        <v>2515</v>
      </c>
      <c r="B552" s="38" t="n">
        <v>45973</v>
      </c>
      <c r="C552" s="11" t="s">
        <v>1496</v>
      </c>
      <c r="D552" s="11" t="s">
        <v>1497</v>
      </c>
      <c r="E552" s="11" t="s">
        <v>327</v>
      </c>
      <c r="F552" s="11" t="s">
        <v>2516</v>
      </c>
      <c r="G552" s="37" t="n">
        <v>12528</v>
      </c>
      <c r="H552" s="37" t="n">
        <v>151571.77</v>
      </c>
    </row>
    <row r="553" customFormat="false" ht="15" hidden="false" customHeight="false" outlineLevel="0" collapsed="false">
      <c r="A553" s="11" t="s">
        <v>2517</v>
      </c>
      <c r="B553" s="38" t="n">
        <v>45974</v>
      </c>
      <c r="C553" s="11" t="s">
        <v>1496</v>
      </c>
      <c r="D553" s="11" t="s">
        <v>1497</v>
      </c>
      <c r="E553" s="11" t="s">
        <v>331</v>
      </c>
      <c r="F553" s="11" t="s">
        <v>2518</v>
      </c>
      <c r="G553" s="37" t="n">
        <v>13560</v>
      </c>
      <c r="H553" s="37" t="n">
        <v>165131.77</v>
      </c>
    </row>
    <row r="554" customFormat="false" ht="15" hidden="false" customHeight="false" outlineLevel="0" collapsed="false">
      <c r="A554" s="11" t="s">
        <v>2519</v>
      </c>
      <c r="B554" s="38" t="n">
        <v>45974</v>
      </c>
      <c r="C554" s="11" t="s">
        <v>1500</v>
      </c>
      <c r="D554" s="11" t="s">
        <v>307</v>
      </c>
      <c r="E554" s="11" t="s">
        <v>308</v>
      </c>
      <c r="F554" s="11" t="s">
        <v>2520</v>
      </c>
      <c r="G554" s="37" t="n">
        <v>-37427.72</v>
      </c>
      <c r="H554" s="37" t="n">
        <v>127704.05</v>
      </c>
    </row>
    <row r="555" customFormat="false" ht="15" hidden="false" customHeight="false" outlineLevel="0" collapsed="false">
      <c r="A555" s="11" t="s">
        <v>2521</v>
      </c>
      <c r="B555" s="38" t="n">
        <v>45974</v>
      </c>
      <c r="C555" s="11" t="s">
        <v>1500</v>
      </c>
      <c r="D555" s="11" t="s">
        <v>307</v>
      </c>
      <c r="E555" s="11" t="s">
        <v>313</v>
      </c>
      <c r="F555" s="11" t="s">
        <v>2522</v>
      </c>
      <c r="G555" s="37" t="n">
        <v>-5782.31</v>
      </c>
      <c r="H555" s="37" t="n">
        <v>121921.74</v>
      </c>
    </row>
    <row r="556" customFormat="false" ht="15" hidden="false" customHeight="false" outlineLevel="0" collapsed="false">
      <c r="A556" s="11" t="s">
        <v>2523</v>
      </c>
      <c r="B556" s="38" t="n">
        <v>45974</v>
      </c>
      <c r="C556" s="11" t="s">
        <v>1496</v>
      </c>
      <c r="D556" s="11" t="s">
        <v>1497</v>
      </c>
      <c r="E556" s="11" t="s">
        <v>298</v>
      </c>
      <c r="F556" s="11" t="s">
        <v>2524</v>
      </c>
      <c r="G556" s="37" t="n">
        <v>13960</v>
      </c>
      <c r="H556" s="37" t="n">
        <v>135881.74</v>
      </c>
    </row>
    <row r="557" customFormat="false" ht="15" hidden="false" customHeight="false" outlineLevel="0" collapsed="false">
      <c r="A557" s="11" t="s">
        <v>2525</v>
      </c>
      <c r="B557" s="38" t="n">
        <v>45975</v>
      </c>
      <c r="C557" s="11" t="s">
        <v>1496</v>
      </c>
      <c r="D557" s="11" t="s">
        <v>1497</v>
      </c>
      <c r="E557" s="11" t="s">
        <v>280</v>
      </c>
      <c r="F557" s="11" t="s">
        <v>2526</v>
      </c>
      <c r="G557" s="37" t="n">
        <v>9360</v>
      </c>
      <c r="H557" s="37" t="n">
        <v>145241.74</v>
      </c>
    </row>
    <row r="558" customFormat="false" ht="15" hidden="false" customHeight="false" outlineLevel="0" collapsed="false">
      <c r="A558" s="11" t="s">
        <v>2527</v>
      </c>
      <c r="B558" s="38" t="n">
        <v>45975</v>
      </c>
      <c r="C558" s="11" t="s">
        <v>1496</v>
      </c>
      <c r="D558" s="11" t="s">
        <v>1497</v>
      </c>
      <c r="E558" s="11" t="s">
        <v>280</v>
      </c>
      <c r="F558" s="11" t="s">
        <v>2528</v>
      </c>
      <c r="G558" s="37" t="n">
        <v>6312</v>
      </c>
      <c r="H558" s="37" t="n">
        <v>151553.74</v>
      </c>
    </row>
    <row r="559" customFormat="false" ht="15" hidden="false" customHeight="false" outlineLevel="0" collapsed="false">
      <c r="A559" s="11" t="s">
        <v>2529</v>
      </c>
      <c r="B559" s="38" t="n">
        <v>45975</v>
      </c>
      <c r="C559" s="11" t="s">
        <v>1496</v>
      </c>
      <c r="D559" s="11" t="s">
        <v>1497</v>
      </c>
      <c r="E559" s="11" t="s">
        <v>323</v>
      </c>
      <c r="F559" s="11" t="s">
        <v>2530</v>
      </c>
      <c r="G559" s="37" t="n">
        <v>7860</v>
      </c>
      <c r="H559" s="37" t="n">
        <v>159413.74</v>
      </c>
    </row>
    <row r="560" customFormat="false" ht="15" hidden="false" customHeight="false" outlineLevel="0" collapsed="false">
      <c r="A560" s="11" t="s">
        <v>2531</v>
      </c>
      <c r="B560" s="38" t="n">
        <v>45978</v>
      </c>
      <c r="C560" s="11" t="s">
        <v>1500</v>
      </c>
      <c r="D560" s="11" t="s">
        <v>317</v>
      </c>
      <c r="E560" s="11" t="s">
        <v>318</v>
      </c>
      <c r="F560" s="11"/>
      <c r="G560" s="37" t="n">
        <v>-82000</v>
      </c>
      <c r="H560" s="37" t="n">
        <v>77413.74</v>
      </c>
    </row>
    <row r="561" customFormat="false" ht="15" hidden="false" customHeight="false" outlineLevel="0" collapsed="false">
      <c r="A561" s="11" t="s">
        <v>2532</v>
      </c>
      <c r="B561" s="38" t="n">
        <v>45978</v>
      </c>
      <c r="C561" s="11" t="s">
        <v>1496</v>
      </c>
      <c r="D561" s="11" t="s">
        <v>1497</v>
      </c>
      <c r="E561" s="11" t="s">
        <v>335</v>
      </c>
      <c r="F561" s="11" t="s">
        <v>2533</v>
      </c>
      <c r="G561" s="37" t="n">
        <v>7632</v>
      </c>
      <c r="H561" s="37" t="n">
        <v>85045.74</v>
      </c>
    </row>
    <row r="562" customFormat="false" ht="15" hidden="false" customHeight="false" outlineLevel="0" collapsed="false">
      <c r="A562" s="11" t="s">
        <v>2534</v>
      </c>
      <c r="B562" s="38" t="n">
        <v>45978</v>
      </c>
      <c r="C562" s="11" t="s">
        <v>1496</v>
      </c>
      <c r="D562" s="11" t="s">
        <v>1497</v>
      </c>
      <c r="E562" s="11" t="s">
        <v>280</v>
      </c>
      <c r="F562" s="11" t="s">
        <v>2535</v>
      </c>
      <c r="G562" s="37" t="n">
        <v>11160</v>
      </c>
      <c r="H562" s="37" t="n">
        <v>96205.74</v>
      </c>
    </row>
    <row r="563" customFormat="false" ht="15" hidden="false" customHeight="false" outlineLevel="0" collapsed="false">
      <c r="A563" s="11" t="s">
        <v>2536</v>
      </c>
      <c r="B563" s="38" t="n">
        <v>45978</v>
      </c>
      <c r="C563" s="11" t="s">
        <v>1496</v>
      </c>
      <c r="D563" s="11" t="s">
        <v>1497</v>
      </c>
      <c r="E563" s="11" t="s">
        <v>323</v>
      </c>
      <c r="F563" s="11" t="s">
        <v>2537</v>
      </c>
      <c r="G563" s="37" t="n">
        <v>6960</v>
      </c>
      <c r="H563" s="37" t="n">
        <v>103165.74</v>
      </c>
    </row>
    <row r="564" customFormat="false" ht="15" hidden="false" customHeight="false" outlineLevel="0" collapsed="false">
      <c r="A564" s="11" t="s">
        <v>2538</v>
      </c>
      <c r="B564" s="38" t="n">
        <v>45978</v>
      </c>
      <c r="C564" s="11" t="s">
        <v>1496</v>
      </c>
      <c r="D564" s="11" t="s">
        <v>1497</v>
      </c>
      <c r="E564" s="11" t="s">
        <v>287</v>
      </c>
      <c r="F564" s="11" t="s">
        <v>2539</v>
      </c>
      <c r="G564" s="37" t="n">
        <v>2496</v>
      </c>
      <c r="H564" s="37" t="n">
        <v>105661.74</v>
      </c>
    </row>
    <row r="565" customFormat="false" ht="15" hidden="false" customHeight="false" outlineLevel="0" collapsed="false">
      <c r="A565" s="11" t="s">
        <v>2540</v>
      </c>
      <c r="B565" s="38" t="n">
        <v>45978</v>
      </c>
      <c r="C565" s="11" t="s">
        <v>1496</v>
      </c>
      <c r="D565" s="11" t="s">
        <v>1497</v>
      </c>
      <c r="E565" s="11" t="s">
        <v>280</v>
      </c>
      <c r="F565" s="11" t="s">
        <v>2541</v>
      </c>
      <c r="G565" s="37" t="n">
        <v>5964</v>
      </c>
      <c r="H565" s="37" t="n">
        <v>111625.74</v>
      </c>
    </row>
    <row r="566" customFormat="false" ht="15" hidden="false" customHeight="false" outlineLevel="0" collapsed="false">
      <c r="A566" s="11" t="s">
        <v>2542</v>
      </c>
      <c r="B566" s="38" t="n">
        <v>45980</v>
      </c>
      <c r="C566" s="11" t="s">
        <v>1496</v>
      </c>
      <c r="D566" s="11" t="s">
        <v>1497</v>
      </c>
      <c r="E566" s="11" t="s">
        <v>323</v>
      </c>
      <c r="F566" s="11" t="s">
        <v>2543</v>
      </c>
      <c r="G566" s="37" t="n">
        <v>6156</v>
      </c>
      <c r="H566" s="37" t="n">
        <v>117781.74</v>
      </c>
    </row>
    <row r="567" customFormat="false" ht="15" hidden="false" customHeight="false" outlineLevel="0" collapsed="false">
      <c r="A567" s="11" t="s">
        <v>2544</v>
      </c>
      <c r="B567" s="38" t="n">
        <v>45980</v>
      </c>
      <c r="C567" s="11" t="s">
        <v>1500</v>
      </c>
      <c r="D567" s="11" t="s">
        <v>291</v>
      </c>
      <c r="E567" s="11" t="s">
        <v>292</v>
      </c>
      <c r="F567" s="11"/>
      <c r="G567" s="37" t="n">
        <v>-5030.81</v>
      </c>
      <c r="H567" s="37" t="n">
        <v>112750.93</v>
      </c>
    </row>
    <row r="568" customFormat="false" ht="15" hidden="false" customHeight="false" outlineLevel="0" collapsed="false">
      <c r="A568" s="11" t="s">
        <v>2545</v>
      </c>
      <c r="B568" s="38" t="n">
        <v>45981</v>
      </c>
      <c r="C568" s="11" t="s">
        <v>1500</v>
      </c>
      <c r="D568" s="11" t="s">
        <v>307</v>
      </c>
      <c r="E568" s="11" t="s">
        <v>313</v>
      </c>
      <c r="F568" s="11" t="s">
        <v>2546</v>
      </c>
      <c r="G568" s="37" t="n">
        <v>-6180.84</v>
      </c>
      <c r="H568" s="37" t="n">
        <v>106570.09</v>
      </c>
    </row>
    <row r="569" customFormat="false" ht="15" hidden="false" customHeight="false" outlineLevel="0" collapsed="false">
      <c r="A569" s="11" t="s">
        <v>2547</v>
      </c>
      <c r="B569" s="38" t="n">
        <v>45981</v>
      </c>
      <c r="C569" s="11" t="s">
        <v>1496</v>
      </c>
      <c r="D569" s="11" t="s">
        <v>1497</v>
      </c>
      <c r="E569" s="11" t="s">
        <v>327</v>
      </c>
      <c r="F569" s="11" t="s">
        <v>2548</v>
      </c>
      <c r="G569" s="37" t="n">
        <v>42024</v>
      </c>
      <c r="H569" s="37" t="n">
        <v>148594.09</v>
      </c>
    </row>
    <row r="570" customFormat="false" ht="15" hidden="false" customHeight="false" outlineLevel="0" collapsed="false">
      <c r="A570" s="11" t="s">
        <v>2549</v>
      </c>
      <c r="B570" s="38" t="n">
        <v>45981</v>
      </c>
      <c r="C570" s="11" t="s">
        <v>1496</v>
      </c>
      <c r="D570" s="11" t="s">
        <v>1497</v>
      </c>
      <c r="E570" s="11" t="s">
        <v>597</v>
      </c>
      <c r="F570" s="11" t="s">
        <v>2550</v>
      </c>
      <c r="G570" s="37" t="n">
        <v>187200</v>
      </c>
      <c r="H570" s="37" t="n">
        <v>335794.09</v>
      </c>
    </row>
    <row r="571" customFormat="false" ht="15" hidden="false" customHeight="false" outlineLevel="0" collapsed="false">
      <c r="A571" s="11" t="s">
        <v>2551</v>
      </c>
      <c r="B571" s="38" t="n">
        <v>45981</v>
      </c>
      <c r="C571" s="11" t="s">
        <v>1496</v>
      </c>
      <c r="D571" s="11" t="s">
        <v>1497</v>
      </c>
      <c r="E571" s="11" t="s">
        <v>335</v>
      </c>
      <c r="F571" s="11" t="s">
        <v>2552</v>
      </c>
      <c r="G571" s="37" t="n">
        <v>10884</v>
      </c>
      <c r="H571" s="37" t="n">
        <v>346678.09</v>
      </c>
    </row>
    <row r="572" customFormat="false" ht="15" hidden="false" customHeight="false" outlineLevel="0" collapsed="false">
      <c r="A572" s="11" t="s">
        <v>2553</v>
      </c>
      <c r="B572" s="38" t="n">
        <v>45985</v>
      </c>
      <c r="C572" s="11" t="s">
        <v>1496</v>
      </c>
      <c r="D572" s="11" t="s">
        <v>1497</v>
      </c>
      <c r="E572" s="11" t="s">
        <v>331</v>
      </c>
      <c r="F572" s="11" t="s">
        <v>2554</v>
      </c>
      <c r="G572" s="37" t="n">
        <v>15828</v>
      </c>
      <c r="H572" s="37" t="n">
        <v>362506.09</v>
      </c>
    </row>
    <row r="573" customFormat="false" ht="15" hidden="false" customHeight="false" outlineLevel="0" collapsed="false">
      <c r="A573" s="11" t="s">
        <v>2555</v>
      </c>
      <c r="B573" s="38" t="n">
        <v>45985</v>
      </c>
      <c r="C573" s="11" t="s">
        <v>1500</v>
      </c>
      <c r="D573" s="11" t="s">
        <v>383</v>
      </c>
      <c r="E573" s="11" t="s">
        <v>384</v>
      </c>
      <c r="F573" s="11" t="s">
        <v>2556</v>
      </c>
      <c r="G573" s="37" t="n">
        <v>-88142.09</v>
      </c>
      <c r="H573" s="37" t="n">
        <v>274364</v>
      </c>
    </row>
    <row r="574" customFormat="false" ht="15" hidden="false" customHeight="false" outlineLevel="0" collapsed="false">
      <c r="A574" s="11" t="s">
        <v>2557</v>
      </c>
      <c r="B574" s="38" t="n">
        <v>45985</v>
      </c>
      <c r="C574" s="11" t="s">
        <v>1496</v>
      </c>
      <c r="D574" s="11" t="s">
        <v>1497</v>
      </c>
      <c r="E574" s="11" t="s">
        <v>280</v>
      </c>
      <c r="F574" s="11" t="s">
        <v>2558</v>
      </c>
      <c r="G574" s="37" t="n">
        <v>4272</v>
      </c>
      <c r="H574" s="37" t="n">
        <v>278636</v>
      </c>
    </row>
    <row r="575" customFormat="false" ht="15" hidden="false" customHeight="false" outlineLevel="0" collapsed="false">
      <c r="A575" s="11" t="s">
        <v>2559</v>
      </c>
      <c r="B575" s="38" t="n">
        <v>45985</v>
      </c>
      <c r="C575" s="11" t="s">
        <v>1496</v>
      </c>
      <c r="D575" s="11" t="s">
        <v>1497</v>
      </c>
      <c r="E575" s="11" t="s">
        <v>298</v>
      </c>
      <c r="F575" s="11" t="s">
        <v>2560</v>
      </c>
      <c r="G575" s="37" t="n">
        <v>14100</v>
      </c>
      <c r="H575" s="37" t="n">
        <v>292736</v>
      </c>
    </row>
    <row r="576" customFormat="false" ht="15" hidden="false" customHeight="false" outlineLevel="0" collapsed="false">
      <c r="A576" s="11" t="s">
        <v>2561</v>
      </c>
      <c r="B576" s="38" t="n">
        <v>45985</v>
      </c>
      <c r="C576" s="11" t="s">
        <v>1496</v>
      </c>
      <c r="D576" s="11" t="s">
        <v>1497</v>
      </c>
      <c r="E576" s="11" t="s">
        <v>280</v>
      </c>
      <c r="F576" s="11" t="s">
        <v>2562</v>
      </c>
      <c r="G576" s="37" t="n">
        <v>9468</v>
      </c>
      <c r="H576" s="37" t="n">
        <v>302204</v>
      </c>
    </row>
    <row r="577" customFormat="false" ht="15" hidden="false" customHeight="false" outlineLevel="0" collapsed="false">
      <c r="A577" s="11" t="s">
        <v>2563</v>
      </c>
      <c r="B577" s="38" t="n">
        <v>45985</v>
      </c>
      <c r="C577" s="11" t="s">
        <v>1496</v>
      </c>
      <c r="D577" s="11" t="s">
        <v>1497</v>
      </c>
      <c r="E577" s="11" t="s">
        <v>287</v>
      </c>
      <c r="F577" s="11" t="s">
        <v>2564</v>
      </c>
      <c r="G577" s="37" t="n">
        <v>3480</v>
      </c>
      <c r="H577" s="37" t="n">
        <v>305684</v>
      </c>
    </row>
    <row r="578" customFormat="false" ht="15" hidden="false" customHeight="false" outlineLevel="0" collapsed="false">
      <c r="A578" s="11" t="s">
        <v>2565</v>
      </c>
      <c r="B578" s="38" t="n">
        <v>45985</v>
      </c>
      <c r="C578" s="11" t="s">
        <v>1496</v>
      </c>
      <c r="D578" s="11" t="s">
        <v>1497</v>
      </c>
      <c r="E578" s="11" t="s">
        <v>331</v>
      </c>
      <c r="F578" s="11" t="s">
        <v>2566</v>
      </c>
      <c r="G578" s="37" t="n">
        <v>7632</v>
      </c>
      <c r="H578" s="37" t="n">
        <v>313316</v>
      </c>
    </row>
    <row r="579" customFormat="false" ht="15" hidden="false" customHeight="false" outlineLevel="0" collapsed="false">
      <c r="A579" s="11" t="s">
        <v>2567</v>
      </c>
      <c r="B579" s="38" t="n">
        <v>45985</v>
      </c>
      <c r="C579" s="11" t="s">
        <v>1496</v>
      </c>
      <c r="D579" s="11" t="s">
        <v>1497</v>
      </c>
      <c r="E579" s="11" t="s">
        <v>392</v>
      </c>
      <c r="F579" s="11" t="s">
        <v>2568</v>
      </c>
      <c r="G579" s="37" t="n">
        <v>14028</v>
      </c>
      <c r="H579" s="37" t="n">
        <v>327344</v>
      </c>
    </row>
    <row r="580" customFormat="false" ht="15" hidden="false" customHeight="false" outlineLevel="0" collapsed="false">
      <c r="A580" s="11" t="s">
        <v>2569</v>
      </c>
      <c r="B580" s="38" t="n">
        <v>45986</v>
      </c>
      <c r="C580" s="11" t="s">
        <v>1496</v>
      </c>
      <c r="D580" s="11" t="s">
        <v>1497</v>
      </c>
      <c r="E580" s="11" t="s">
        <v>323</v>
      </c>
      <c r="F580" s="11" t="s">
        <v>2570</v>
      </c>
      <c r="G580" s="37" t="n">
        <v>5928</v>
      </c>
      <c r="H580" s="37" t="n">
        <v>333272</v>
      </c>
    </row>
    <row r="581" customFormat="false" ht="15" hidden="false" customHeight="false" outlineLevel="0" collapsed="false">
      <c r="A581" s="11" t="s">
        <v>2571</v>
      </c>
      <c r="B581" s="38" t="n">
        <v>45987</v>
      </c>
      <c r="C581" s="11" t="s">
        <v>1500</v>
      </c>
      <c r="D581" s="11" t="s">
        <v>291</v>
      </c>
      <c r="E581" s="11" t="s">
        <v>292</v>
      </c>
      <c r="F581" s="11"/>
      <c r="G581" s="37" t="n">
        <v>-3993.18</v>
      </c>
      <c r="H581" s="37" t="n">
        <v>329278.82</v>
      </c>
    </row>
    <row r="582" customFormat="false" ht="15" hidden="false" customHeight="false" outlineLevel="0" collapsed="false">
      <c r="A582" s="11" t="s">
        <v>2572</v>
      </c>
      <c r="B582" s="38" t="n">
        <v>45987</v>
      </c>
      <c r="C582" s="11" t="s">
        <v>1496</v>
      </c>
      <c r="D582" s="11" t="s">
        <v>1497</v>
      </c>
      <c r="E582" s="11" t="s">
        <v>349</v>
      </c>
      <c r="F582" s="11" t="s">
        <v>2573</v>
      </c>
      <c r="G582" s="37" t="n">
        <v>18660</v>
      </c>
      <c r="H582" s="37" t="n">
        <v>347938.82</v>
      </c>
    </row>
    <row r="583" customFormat="false" ht="15" hidden="false" customHeight="false" outlineLevel="0" collapsed="false">
      <c r="A583" s="11" t="s">
        <v>2574</v>
      </c>
      <c r="B583" s="38" t="n">
        <v>45987</v>
      </c>
      <c r="C583" s="11" t="s">
        <v>1496</v>
      </c>
      <c r="D583" s="11" t="s">
        <v>1497</v>
      </c>
      <c r="E583" s="11" t="s">
        <v>327</v>
      </c>
      <c r="F583" s="11" t="s">
        <v>2575</v>
      </c>
      <c r="G583" s="37" t="n">
        <v>26088</v>
      </c>
      <c r="H583" s="37" t="n">
        <v>374026.82</v>
      </c>
    </row>
    <row r="584" customFormat="false" ht="15" hidden="false" customHeight="false" outlineLevel="0" collapsed="false">
      <c r="A584" s="11" t="s">
        <v>2576</v>
      </c>
      <c r="B584" s="38" t="n">
        <v>45988</v>
      </c>
      <c r="C584" s="11" t="s">
        <v>1496</v>
      </c>
      <c r="D584" s="11" t="s">
        <v>1497</v>
      </c>
      <c r="E584" s="11" t="s">
        <v>287</v>
      </c>
      <c r="F584" s="11" t="s">
        <v>2577</v>
      </c>
      <c r="G584" s="37" t="n">
        <v>6780</v>
      </c>
      <c r="H584" s="37" t="n">
        <v>380806.82</v>
      </c>
    </row>
    <row r="585" customFormat="false" ht="15" hidden="false" customHeight="false" outlineLevel="0" collapsed="false">
      <c r="A585" s="11" t="s">
        <v>2578</v>
      </c>
      <c r="B585" s="38" t="n">
        <v>45988</v>
      </c>
      <c r="C585" s="11" t="s">
        <v>1500</v>
      </c>
      <c r="D585" s="11" t="s">
        <v>307</v>
      </c>
      <c r="E585" s="11" t="s">
        <v>313</v>
      </c>
      <c r="F585" s="11" t="s">
        <v>2579</v>
      </c>
      <c r="G585" s="37" t="n">
        <v>-4679.74</v>
      </c>
      <c r="H585" s="37" t="n">
        <v>376127.08</v>
      </c>
    </row>
    <row r="586" customFormat="false" ht="15" hidden="false" customHeight="false" outlineLevel="0" collapsed="false">
      <c r="A586" s="11" t="s">
        <v>2580</v>
      </c>
      <c r="B586" s="38" t="n">
        <v>45988</v>
      </c>
      <c r="C586" s="11" t="s">
        <v>1500</v>
      </c>
      <c r="D586" s="11" t="s">
        <v>307</v>
      </c>
      <c r="E586" s="11" t="s">
        <v>414</v>
      </c>
      <c r="F586" s="11" t="s">
        <v>2581</v>
      </c>
      <c r="G586" s="37" t="n">
        <v>-19525.81</v>
      </c>
      <c r="H586" s="37" t="n">
        <v>356601.27</v>
      </c>
    </row>
    <row r="587" customFormat="false" ht="15" hidden="false" customHeight="false" outlineLevel="0" collapsed="false">
      <c r="A587" s="11" t="s">
        <v>2582</v>
      </c>
      <c r="B587" s="38" t="n">
        <v>45988</v>
      </c>
      <c r="C587" s="11" t="s">
        <v>1496</v>
      </c>
      <c r="D587" s="11" t="s">
        <v>1497</v>
      </c>
      <c r="E587" s="11" t="s">
        <v>287</v>
      </c>
      <c r="F587" s="11" t="s">
        <v>2583</v>
      </c>
      <c r="G587" s="37" t="n">
        <v>7140</v>
      </c>
      <c r="H587" s="37" t="n">
        <v>363741.27</v>
      </c>
    </row>
    <row r="588" customFormat="false" ht="15" hidden="false" customHeight="false" outlineLevel="0" collapsed="false">
      <c r="A588" s="11" t="s">
        <v>2584</v>
      </c>
      <c r="B588" s="38" t="n">
        <v>45988</v>
      </c>
      <c r="C588" s="11" t="s">
        <v>1500</v>
      </c>
      <c r="D588" s="11" t="s">
        <v>307</v>
      </c>
      <c r="E588" s="11" t="s">
        <v>308</v>
      </c>
      <c r="F588" s="11" t="s">
        <v>2585</v>
      </c>
      <c r="G588" s="37" t="n">
        <v>-40920.18</v>
      </c>
      <c r="H588" s="37" t="n">
        <v>322821.09</v>
      </c>
    </row>
    <row r="589" customFormat="false" ht="15" hidden="false" customHeight="false" outlineLevel="0" collapsed="false">
      <c r="A589" s="11" t="s">
        <v>2586</v>
      </c>
      <c r="B589" s="38" t="n">
        <v>45988</v>
      </c>
      <c r="C589" s="11" t="s">
        <v>1496</v>
      </c>
      <c r="D589" s="11" t="s">
        <v>1497</v>
      </c>
      <c r="E589" s="11" t="s">
        <v>335</v>
      </c>
      <c r="F589" s="11" t="s">
        <v>2587</v>
      </c>
      <c r="G589" s="37" t="n">
        <v>10548</v>
      </c>
      <c r="H589" s="37" t="n">
        <v>333369.09</v>
      </c>
    </row>
    <row r="590" customFormat="false" ht="15" hidden="false" customHeight="false" outlineLevel="0" collapsed="false">
      <c r="A590" s="11" t="s">
        <v>2588</v>
      </c>
      <c r="B590" s="38" t="n">
        <v>45988</v>
      </c>
      <c r="C590" s="11" t="s">
        <v>1496</v>
      </c>
      <c r="D590" s="11" t="s">
        <v>1497</v>
      </c>
      <c r="E590" s="11" t="s">
        <v>349</v>
      </c>
      <c r="F590" s="11" t="s">
        <v>2589</v>
      </c>
      <c r="G590" s="37" t="n">
        <v>10812</v>
      </c>
      <c r="H590" s="37" t="n">
        <v>344181.09</v>
      </c>
    </row>
    <row r="591" customFormat="false" ht="15" hidden="false" customHeight="false" outlineLevel="0" collapsed="false">
      <c r="A591" s="11" t="s">
        <v>2590</v>
      </c>
      <c r="B591" s="38" t="n">
        <v>45988</v>
      </c>
      <c r="C591" s="11" t="s">
        <v>1496</v>
      </c>
      <c r="D591" s="11" t="s">
        <v>1497</v>
      </c>
      <c r="E591" s="11" t="s">
        <v>287</v>
      </c>
      <c r="F591" s="11" t="s">
        <v>2591</v>
      </c>
      <c r="G591" s="37" t="n">
        <v>2232</v>
      </c>
      <c r="H591" s="37" t="n">
        <v>346413.09</v>
      </c>
    </row>
    <row r="592" customFormat="false" ht="15" hidden="false" customHeight="false" outlineLevel="0" collapsed="false">
      <c r="A592" s="11" t="s">
        <v>2592</v>
      </c>
      <c r="B592" s="38" t="n">
        <v>45989</v>
      </c>
      <c r="C592" s="11" t="s">
        <v>1500</v>
      </c>
      <c r="D592" s="11" t="s">
        <v>1634</v>
      </c>
      <c r="E592" s="11" t="s">
        <v>425</v>
      </c>
      <c r="F592" s="11"/>
      <c r="G592" s="37" t="n">
        <v>-101500</v>
      </c>
      <c r="H592" s="37" t="n">
        <v>244913.09</v>
      </c>
    </row>
    <row r="593" customFormat="false" ht="15" hidden="false" customHeight="false" outlineLevel="0" collapsed="false">
      <c r="A593" s="11" t="s">
        <v>2593</v>
      </c>
      <c r="B593" s="38" t="n">
        <v>45989</v>
      </c>
      <c r="C593" s="11" t="s">
        <v>1496</v>
      </c>
      <c r="D593" s="11" t="s">
        <v>1497</v>
      </c>
      <c r="E593" s="11" t="s">
        <v>331</v>
      </c>
      <c r="F593" s="11" t="s">
        <v>2594</v>
      </c>
      <c r="G593" s="37" t="n">
        <v>13956</v>
      </c>
      <c r="H593" s="37" t="n">
        <v>258869.09</v>
      </c>
    </row>
    <row r="594" customFormat="false" ht="15" hidden="false" customHeight="false" outlineLevel="0" collapsed="false">
      <c r="A594" s="11" t="s">
        <v>2595</v>
      </c>
      <c r="B594" s="38" t="n">
        <v>45989</v>
      </c>
      <c r="C594" s="11" t="s">
        <v>1496</v>
      </c>
      <c r="D594" s="11" t="s">
        <v>1497</v>
      </c>
      <c r="E594" s="11" t="s">
        <v>327</v>
      </c>
      <c r="F594" s="11" t="s">
        <v>2596</v>
      </c>
      <c r="G594" s="37" t="n">
        <v>11712</v>
      </c>
      <c r="H594" s="37" t="n">
        <v>270581.09</v>
      </c>
    </row>
    <row r="595" customFormat="false" ht="15" hidden="false" customHeight="false" outlineLevel="0" collapsed="false">
      <c r="A595" s="11" t="s">
        <v>2597</v>
      </c>
      <c r="B595" s="38" t="n">
        <v>45992</v>
      </c>
      <c r="C595" s="11" t="s">
        <v>1496</v>
      </c>
      <c r="D595" s="11" t="s">
        <v>1497</v>
      </c>
      <c r="E595" s="11" t="s">
        <v>349</v>
      </c>
      <c r="F595" s="11" t="s">
        <v>2598</v>
      </c>
      <c r="G595" s="37" t="n">
        <v>16140</v>
      </c>
      <c r="H595" s="37" t="n">
        <v>286721.09</v>
      </c>
    </row>
    <row r="596" customFormat="false" ht="15" hidden="false" customHeight="false" outlineLevel="0" collapsed="false">
      <c r="A596" s="11" t="s">
        <v>2599</v>
      </c>
      <c r="B596" s="38" t="n">
        <v>45992</v>
      </c>
      <c r="C596" s="11" t="s">
        <v>1496</v>
      </c>
      <c r="D596" s="11" t="s">
        <v>1497</v>
      </c>
      <c r="E596" s="11" t="s">
        <v>280</v>
      </c>
      <c r="F596" s="11" t="s">
        <v>2600</v>
      </c>
      <c r="G596" s="37" t="n">
        <v>8892</v>
      </c>
      <c r="H596" s="37" t="n">
        <v>295613.09</v>
      </c>
    </row>
    <row r="597" customFormat="false" ht="15" hidden="false" customHeight="false" outlineLevel="0" collapsed="false">
      <c r="A597" s="11" t="s">
        <v>2601</v>
      </c>
      <c r="B597" s="38" t="n">
        <v>45992</v>
      </c>
      <c r="C597" s="11" t="s">
        <v>1496</v>
      </c>
      <c r="D597" s="11" t="s">
        <v>1497</v>
      </c>
      <c r="E597" s="11" t="s">
        <v>323</v>
      </c>
      <c r="F597" s="11" t="s">
        <v>2602</v>
      </c>
      <c r="G597" s="37" t="n">
        <v>7680</v>
      </c>
      <c r="H597" s="37" t="n">
        <v>303293.09</v>
      </c>
    </row>
    <row r="598" customFormat="false" ht="15" hidden="false" customHeight="false" outlineLevel="0" collapsed="false">
      <c r="A598" s="11" t="s">
        <v>2603</v>
      </c>
      <c r="B598" s="38" t="n">
        <v>45992</v>
      </c>
      <c r="C598" s="11" t="s">
        <v>1496</v>
      </c>
      <c r="D598" s="11" t="s">
        <v>1497</v>
      </c>
      <c r="E598" s="11" t="s">
        <v>280</v>
      </c>
      <c r="F598" s="11" t="s">
        <v>2604</v>
      </c>
      <c r="G598" s="37" t="n">
        <v>6324</v>
      </c>
      <c r="H598" s="37" t="n">
        <v>309617.09</v>
      </c>
    </row>
    <row r="599" customFormat="false" ht="15" hidden="false" customHeight="false" outlineLevel="0" collapsed="false">
      <c r="A599" s="11" t="s">
        <v>2605</v>
      </c>
      <c r="B599" s="38" t="n">
        <v>45992</v>
      </c>
      <c r="C599" s="11" t="s">
        <v>1496</v>
      </c>
      <c r="D599" s="11" t="s">
        <v>1497</v>
      </c>
      <c r="E599" s="11" t="s">
        <v>327</v>
      </c>
      <c r="F599" s="11" t="s">
        <v>2606</v>
      </c>
      <c r="G599" s="37" t="n">
        <v>31824</v>
      </c>
      <c r="H599" s="37" t="n">
        <v>341441.09</v>
      </c>
    </row>
    <row r="600" customFormat="false" ht="15" hidden="false" customHeight="false" outlineLevel="0" collapsed="false">
      <c r="A600" s="11" t="s">
        <v>2607</v>
      </c>
      <c r="B600" s="38" t="n">
        <v>45992</v>
      </c>
      <c r="C600" s="11" t="s">
        <v>1496</v>
      </c>
      <c r="D600" s="11" t="s">
        <v>1497</v>
      </c>
      <c r="E600" s="11" t="s">
        <v>287</v>
      </c>
      <c r="F600" s="11" t="s">
        <v>2608</v>
      </c>
      <c r="G600" s="37" t="n">
        <v>5160</v>
      </c>
      <c r="H600" s="37" t="n">
        <v>346601.09</v>
      </c>
    </row>
    <row r="601" customFormat="false" ht="15" hidden="false" customHeight="false" outlineLevel="0" collapsed="false">
      <c r="A601" s="11" t="s">
        <v>2609</v>
      </c>
      <c r="B601" s="38" t="n">
        <v>45993</v>
      </c>
      <c r="C601" s="11" t="s">
        <v>1496</v>
      </c>
      <c r="D601" s="11" t="s">
        <v>1497</v>
      </c>
      <c r="E601" s="11" t="s">
        <v>323</v>
      </c>
      <c r="F601" s="11" t="s">
        <v>2610</v>
      </c>
      <c r="G601" s="37" t="n">
        <v>7548</v>
      </c>
      <c r="H601" s="37" t="n">
        <v>354149.09</v>
      </c>
    </row>
    <row r="602" customFormat="false" ht="15" hidden="false" customHeight="false" outlineLevel="0" collapsed="false">
      <c r="A602" s="11" t="s">
        <v>2611</v>
      </c>
      <c r="B602" s="38" t="n">
        <v>45994</v>
      </c>
      <c r="C602" s="11" t="s">
        <v>1496</v>
      </c>
      <c r="D602" s="11" t="s">
        <v>1497</v>
      </c>
      <c r="E602" s="11" t="s">
        <v>392</v>
      </c>
      <c r="F602" s="11" t="s">
        <v>2612</v>
      </c>
      <c r="G602" s="37" t="n">
        <v>18540</v>
      </c>
      <c r="H602" s="37" t="n">
        <v>372689.09</v>
      </c>
    </row>
    <row r="603" customFormat="false" ht="15" hidden="false" customHeight="false" outlineLevel="0" collapsed="false">
      <c r="A603" s="11" t="s">
        <v>2613</v>
      </c>
      <c r="B603" s="38" t="n">
        <v>45994</v>
      </c>
      <c r="C603" s="11" t="s">
        <v>1500</v>
      </c>
      <c r="D603" s="11" t="s">
        <v>291</v>
      </c>
      <c r="E603" s="11" t="s">
        <v>292</v>
      </c>
      <c r="F603" s="11"/>
      <c r="G603" s="37" t="n">
        <v>-4412.02</v>
      </c>
      <c r="H603" s="37" t="n">
        <v>368277.07</v>
      </c>
    </row>
    <row r="604" customFormat="false" ht="15" hidden="false" customHeight="false" outlineLevel="0" collapsed="false">
      <c r="A604" s="11" t="s">
        <v>2614</v>
      </c>
      <c r="B604" s="38" t="n">
        <v>45994</v>
      </c>
      <c r="C604" s="11" t="s">
        <v>1500</v>
      </c>
      <c r="D604" s="11" t="s">
        <v>448</v>
      </c>
      <c r="E604" s="11" t="s">
        <v>449</v>
      </c>
      <c r="F604" s="11"/>
      <c r="G604" s="37" t="n">
        <v>-2880</v>
      </c>
      <c r="H604" s="37" t="n">
        <v>365397.07</v>
      </c>
    </row>
    <row r="605" customFormat="false" ht="15" hidden="false" customHeight="false" outlineLevel="0" collapsed="false">
      <c r="A605" s="11" t="s">
        <v>2615</v>
      </c>
      <c r="B605" s="38" t="n">
        <v>45995</v>
      </c>
      <c r="C605" s="11" t="s">
        <v>1500</v>
      </c>
      <c r="D605" s="11" t="s">
        <v>307</v>
      </c>
      <c r="E605" s="11" t="s">
        <v>313</v>
      </c>
      <c r="F605" s="11" t="s">
        <v>2616</v>
      </c>
      <c r="G605" s="37" t="n">
        <v>-5249.27</v>
      </c>
      <c r="H605" s="37" t="n">
        <v>360147.8</v>
      </c>
    </row>
    <row r="606" customFormat="false" ht="15" hidden="false" customHeight="false" outlineLevel="0" collapsed="false">
      <c r="A606" s="11" t="s">
        <v>2617</v>
      </c>
      <c r="B606" s="38" t="n">
        <v>45995</v>
      </c>
      <c r="C606" s="11" t="s">
        <v>1496</v>
      </c>
      <c r="D606" s="11" t="s">
        <v>1497</v>
      </c>
      <c r="E606" s="11" t="s">
        <v>280</v>
      </c>
      <c r="F606" s="11" t="s">
        <v>2618</v>
      </c>
      <c r="G606" s="37" t="n">
        <v>11208</v>
      </c>
      <c r="H606" s="37" t="n">
        <v>371355.8</v>
      </c>
    </row>
    <row r="607" customFormat="false" ht="15" hidden="false" customHeight="false" outlineLevel="0" collapsed="false">
      <c r="A607" s="11" t="s">
        <v>2619</v>
      </c>
      <c r="B607" s="38" t="n">
        <v>45995</v>
      </c>
      <c r="C607" s="11" t="s">
        <v>1500</v>
      </c>
      <c r="D607" s="11" t="s">
        <v>307</v>
      </c>
      <c r="E607" s="11" t="s">
        <v>420</v>
      </c>
      <c r="F607" s="11" t="s">
        <v>2620</v>
      </c>
      <c r="G607" s="37" t="n">
        <v>-102020.69</v>
      </c>
      <c r="H607" s="37" t="n">
        <v>269335.11</v>
      </c>
    </row>
    <row r="608" customFormat="false" ht="15" hidden="false" customHeight="false" outlineLevel="0" collapsed="false">
      <c r="A608" s="11" t="s">
        <v>2621</v>
      </c>
      <c r="B608" s="38" t="n">
        <v>45995</v>
      </c>
      <c r="C608" s="11" t="s">
        <v>1500</v>
      </c>
      <c r="D608" s="11" t="s">
        <v>307</v>
      </c>
      <c r="E608" s="11" t="s">
        <v>458</v>
      </c>
      <c r="F608" s="11" t="s">
        <v>2622</v>
      </c>
      <c r="G608" s="37" t="n">
        <v>-40796.39</v>
      </c>
      <c r="H608" s="37" t="n">
        <v>228538.72</v>
      </c>
    </row>
    <row r="609" customFormat="false" ht="15" hidden="false" customHeight="false" outlineLevel="0" collapsed="false">
      <c r="A609" s="11" t="s">
        <v>2623</v>
      </c>
      <c r="B609" s="38" t="n">
        <v>45995</v>
      </c>
      <c r="C609" s="11" t="s">
        <v>1496</v>
      </c>
      <c r="D609" s="11" t="s">
        <v>1497</v>
      </c>
      <c r="E609" s="11" t="s">
        <v>331</v>
      </c>
      <c r="F609" s="11" t="s">
        <v>2624</v>
      </c>
      <c r="G609" s="37" t="n">
        <v>6192</v>
      </c>
      <c r="H609" s="37" t="n">
        <v>234730.72</v>
      </c>
    </row>
    <row r="610" customFormat="false" ht="15" hidden="false" customHeight="false" outlineLevel="0" collapsed="false">
      <c r="A610" s="11" t="s">
        <v>2625</v>
      </c>
      <c r="B610" s="38" t="n">
        <v>45996</v>
      </c>
      <c r="C610" s="11" t="s">
        <v>1496</v>
      </c>
      <c r="D610" s="11" t="s">
        <v>1497</v>
      </c>
      <c r="E610" s="11" t="s">
        <v>298</v>
      </c>
      <c r="F610" s="11" t="s">
        <v>2626</v>
      </c>
      <c r="G610" s="37" t="n">
        <v>12650</v>
      </c>
      <c r="H610" s="37" t="n">
        <v>247380.72</v>
      </c>
    </row>
    <row r="611" customFormat="false" ht="15" hidden="false" customHeight="false" outlineLevel="0" collapsed="false">
      <c r="A611" s="11" t="s">
        <v>2627</v>
      </c>
      <c r="B611" s="38" t="n">
        <v>45996</v>
      </c>
      <c r="C611" s="11" t="s">
        <v>1496</v>
      </c>
      <c r="D611" s="11" t="s">
        <v>1497</v>
      </c>
      <c r="E611" s="11" t="s">
        <v>335</v>
      </c>
      <c r="F611" s="11" t="s">
        <v>2628</v>
      </c>
      <c r="G611" s="37" t="n">
        <v>4404</v>
      </c>
      <c r="H611" s="37" t="n">
        <v>251784.72</v>
      </c>
    </row>
    <row r="612" customFormat="false" ht="15" hidden="false" customHeight="false" outlineLevel="0" collapsed="false">
      <c r="A612" s="11" t="s">
        <v>2629</v>
      </c>
      <c r="B612" s="38" t="n">
        <v>45996</v>
      </c>
      <c r="C612" s="11" t="s">
        <v>1496</v>
      </c>
      <c r="D612" s="11" t="s">
        <v>1497</v>
      </c>
      <c r="E612" s="11" t="s">
        <v>280</v>
      </c>
      <c r="F612" s="11" t="s">
        <v>2630</v>
      </c>
      <c r="G612" s="37" t="n">
        <v>11268</v>
      </c>
      <c r="H612" s="37" t="n">
        <v>263052.72</v>
      </c>
    </row>
    <row r="613" customFormat="false" ht="15" hidden="false" customHeight="false" outlineLevel="0" collapsed="false">
      <c r="A613" s="11" t="s">
        <v>2631</v>
      </c>
      <c r="B613" s="38" t="n">
        <v>45996</v>
      </c>
      <c r="C613" s="11" t="s">
        <v>1500</v>
      </c>
      <c r="D613" s="11" t="s">
        <v>469</v>
      </c>
      <c r="E613" s="11" t="s">
        <v>470</v>
      </c>
      <c r="F613" s="11"/>
      <c r="G613" s="37" t="n">
        <v>-8900</v>
      </c>
      <c r="H613" s="37" t="n">
        <v>254152.72</v>
      </c>
    </row>
    <row r="614" customFormat="false" ht="15" hidden="false" customHeight="false" outlineLevel="0" collapsed="false">
      <c r="A614" s="11" t="s">
        <v>2632</v>
      </c>
      <c r="B614" s="38" t="n">
        <v>45996</v>
      </c>
      <c r="C614" s="11" t="s">
        <v>1496</v>
      </c>
      <c r="D614" s="11" t="s">
        <v>1497</v>
      </c>
      <c r="E614" s="11" t="s">
        <v>335</v>
      </c>
      <c r="F614" s="11" t="s">
        <v>2633</v>
      </c>
      <c r="G614" s="37" t="n">
        <v>6672</v>
      </c>
      <c r="H614" s="37" t="n">
        <v>260824.72</v>
      </c>
    </row>
    <row r="615" customFormat="false" ht="15" hidden="false" customHeight="false" outlineLevel="0" collapsed="false">
      <c r="A615" s="11" t="s">
        <v>2634</v>
      </c>
      <c r="B615" s="38" t="n">
        <v>45999</v>
      </c>
      <c r="C615" s="11" t="s">
        <v>1500</v>
      </c>
      <c r="D615" s="11" t="s">
        <v>480</v>
      </c>
      <c r="E615" s="11" t="s">
        <v>481</v>
      </c>
      <c r="F615" s="11"/>
      <c r="G615" s="37" t="n">
        <v>-14160</v>
      </c>
      <c r="H615" s="37" t="n">
        <v>246664.72</v>
      </c>
    </row>
    <row r="616" customFormat="false" ht="15" hidden="false" customHeight="false" outlineLevel="0" collapsed="false">
      <c r="A616" s="11" t="s">
        <v>2635</v>
      </c>
      <c r="B616" s="38" t="n">
        <v>45999</v>
      </c>
      <c r="C616" s="11" t="s">
        <v>1496</v>
      </c>
      <c r="D616" s="11" t="s">
        <v>1497</v>
      </c>
      <c r="E616" s="11" t="s">
        <v>280</v>
      </c>
      <c r="F616" s="11" t="s">
        <v>2636</v>
      </c>
      <c r="G616" s="37" t="n">
        <v>16560</v>
      </c>
      <c r="H616" s="37" t="n">
        <v>263224.72</v>
      </c>
    </row>
    <row r="617" customFormat="false" ht="15" hidden="false" customHeight="false" outlineLevel="0" collapsed="false">
      <c r="A617" s="11" t="s">
        <v>2637</v>
      </c>
      <c r="B617" s="38" t="n">
        <v>45999</v>
      </c>
      <c r="C617" s="11" t="s">
        <v>1496</v>
      </c>
      <c r="D617" s="11" t="s">
        <v>1497</v>
      </c>
      <c r="E617" s="11" t="s">
        <v>331</v>
      </c>
      <c r="F617" s="11" t="s">
        <v>2638</v>
      </c>
      <c r="G617" s="37" t="n">
        <v>5952</v>
      </c>
      <c r="H617" s="37" t="n">
        <v>269176.72</v>
      </c>
    </row>
    <row r="618" customFormat="false" ht="15" hidden="false" customHeight="false" outlineLevel="0" collapsed="false">
      <c r="A618" s="11" t="s">
        <v>2639</v>
      </c>
      <c r="B618" s="38" t="n">
        <v>45999</v>
      </c>
      <c r="C618" s="11" t="s">
        <v>1496</v>
      </c>
      <c r="D618" s="11" t="s">
        <v>1497</v>
      </c>
      <c r="E618" s="11" t="s">
        <v>335</v>
      </c>
      <c r="F618" s="11" t="s">
        <v>2640</v>
      </c>
      <c r="G618" s="37" t="n">
        <v>6840</v>
      </c>
      <c r="H618" s="37" t="n">
        <v>276016.72</v>
      </c>
    </row>
    <row r="619" customFormat="false" ht="15" hidden="false" customHeight="false" outlineLevel="0" collapsed="false">
      <c r="A619" s="11" t="s">
        <v>2641</v>
      </c>
      <c r="B619" s="38" t="n">
        <v>45999</v>
      </c>
      <c r="C619" s="11" t="s">
        <v>1496</v>
      </c>
      <c r="D619" s="11" t="s">
        <v>1497</v>
      </c>
      <c r="E619" s="11" t="s">
        <v>335</v>
      </c>
      <c r="F619" s="11" t="s">
        <v>2642</v>
      </c>
      <c r="G619" s="37" t="n">
        <v>5760</v>
      </c>
      <c r="H619" s="37" t="n">
        <v>281776.72</v>
      </c>
    </row>
    <row r="620" customFormat="false" ht="15" hidden="false" customHeight="false" outlineLevel="0" collapsed="false">
      <c r="A620" s="11" t="s">
        <v>2643</v>
      </c>
      <c r="B620" s="38" t="n">
        <v>46000</v>
      </c>
      <c r="C620" s="11" t="s">
        <v>1496</v>
      </c>
      <c r="D620" s="11" t="s">
        <v>1497</v>
      </c>
      <c r="E620" s="11" t="s">
        <v>327</v>
      </c>
      <c r="F620" s="11" t="s">
        <v>2644</v>
      </c>
      <c r="G620" s="37" t="n">
        <v>37260</v>
      </c>
      <c r="H620" s="37" t="n">
        <v>319036.72</v>
      </c>
    </row>
    <row r="621" customFormat="false" ht="15" hidden="false" customHeight="false" outlineLevel="0" collapsed="false">
      <c r="A621" s="11" t="s">
        <v>2645</v>
      </c>
      <c r="B621" s="38" t="n">
        <v>46001</v>
      </c>
      <c r="C621" s="11" t="s">
        <v>1496</v>
      </c>
      <c r="D621" s="11" t="s">
        <v>1497</v>
      </c>
      <c r="E621" s="11" t="s">
        <v>335</v>
      </c>
      <c r="F621" s="11" t="s">
        <v>2646</v>
      </c>
      <c r="G621" s="37" t="n">
        <v>11064</v>
      </c>
      <c r="H621" s="37" t="n">
        <v>330100.72</v>
      </c>
    </row>
    <row r="622" customFormat="false" ht="15" hidden="false" customHeight="false" outlineLevel="0" collapsed="false">
      <c r="A622" s="11" t="s">
        <v>2647</v>
      </c>
      <c r="B622" s="38" t="n">
        <v>46001</v>
      </c>
      <c r="C622" s="11" t="s">
        <v>1500</v>
      </c>
      <c r="D622" s="11" t="s">
        <v>291</v>
      </c>
      <c r="E622" s="11" t="s">
        <v>292</v>
      </c>
      <c r="F622" s="11"/>
      <c r="G622" s="37" t="n">
        <v>-4510.97</v>
      </c>
      <c r="H622" s="37" t="n">
        <v>325589.75</v>
      </c>
    </row>
    <row r="623" customFormat="false" ht="15" hidden="false" customHeight="false" outlineLevel="0" collapsed="false">
      <c r="A623" s="11" t="s">
        <v>2648</v>
      </c>
      <c r="B623" s="38" t="n">
        <v>46001</v>
      </c>
      <c r="C623" s="11" t="s">
        <v>1500</v>
      </c>
      <c r="D623" s="11" t="s">
        <v>272</v>
      </c>
      <c r="E623" s="11" t="s">
        <v>273</v>
      </c>
      <c r="F623" s="11"/>
      <c r="G623" s="37" t="n">
        <v>-3840</v>
      </c>
      <c r="H623" s="37" t="n">
        <v>321749.75</v>
      </c>
    </row>
    <row r="624" customFormat="false" ht="15" hidden="false" customHeight="false" outlineLevel="0" collapsed="false">
      <c r="A624" s="11" t="s">
        <v>2649</v>
      </c>
      <c r="B624" s="38" t="n">
        <v>46001</v>
      </c>
      <c r="C624" s="11" t="s">
        <v>1496</v>
      </c>
      <c r="D624" s="11" t="s">
        <v>1497</v>
      </c>
      <c r="E624" s="11" t="s">
        <v>287</v>
      </c>
      <c r="F624" s="11" t="s">
        <v>2650</v>
      </c>
      <c r="G624" s="37" t="n">
        <v>3288</v>
      </c>
      <c r="H624" s="37" t="n">
        <v>325037.75</v>
      </c>
    </row>
    <row r="625" customFormat="false" ht="15" hidden="false" customHeight="false" outlineLevel="0" collapsed="false">
      <c r="A625" s="11" t="s">
        <v>2651</v>
      </c>
      <c r="B625" s="38" t="n">
        <v>46002</v>
      </c>
      <c r="C625" s="11" t="s">
        <v>1500</v>
      </c>
      <c r="D625" s="11" t="s">
        <v>307</v>
      </c>
      <c r="E625" s="11" t="s">
        <v>313</v>
      </c>
      <c r="F625" s="11" t="s">
        <v>2652</v>
      </c>
      <c r="G625" s="37" t="n">
        <v>-4960.07</v>
      </c>
      <c r="H625" s="37" t="n">
        <v>320077.68</v>
      </c>
    </row>
    <row r="626" customFormat="false" ht="15" hidden="false" customHeight="false" outlineLevel="0" collapsed="false">
      <c r="A626" s="11" t="s">
        <v>2653</v>
      </c>
      <c r="B626" s="38" t="n">
        <v>46002</v>
      </c>
      <c r="C626" s="11" t="s">
        <v>1500</v>
      </c>
      <c r="D626" s="11" t="s">
        <v>307</v>
      </c>
      <c r="E626" s="11" t="s">
        <v>464</v>
      </c>
      <c r="F626" s="11" t="s">
        <v>2654</v>
      </c>
      <c r="G626" s="37" t="n">
        <v>-10269.43</v>
      </c>
      <c r="H626" s="37" t="n">
        <v>309808.25</v>
      </c>
    </row>
    <row r="627" customFormat="false" ht="15" hidden="false" customHeight="false" outlineLevel="0" collapsed="false">
      <c r="A627" s="11" t="s">
        <v>2655</v>
      </c>
      <c r="B627" s="38" t="n">
        <v>46003</v>
      </c>
      <c r="C627" s="11" t="s">
        <v>1496</v>
      </c>
      <c r="D627" s="11" t="s">
        <v>1497</v>
      </c>
      <c r="E627" s="11" t="s">
        <v>335</v>
      </c>
      <c r="F627" s="11" t="s">
        <v>2656</v>
      </c>
      <c r="G627" s="37" t="n">
        <v>4344</v>
      </c>
      <c r="H627" s="37" t="n">
        <v>314152.25</v>
      </c>
    </row>
    <row r="628" customFormat="false" ht="15" hidden="false" customHeight="false" outlineLevel="0" collapsed="false">
      <c r="A628" s="11" t="s">
        <v>2657</v>
      </c>
      <c r="B628" s="38" t="n">
        <v>46003</v>
      </c>
      <c r="C628" s="11" t="s">
        <v>1496</v>
      </c>
      <c r="D628" s="11" t="s">
        <v>1497</v>
      </c>
      <c r="E628" s="11" t="s">
        <v>287</v>
      </c>
      <c r="F628" s="11" t="s">
        <v>2658</v>
      </c>
      <c r="G628" s="37" t="n">
        <v>5988</v>
      </c>
      <c r="H628" s="37" t="n">
        <v>320140.25</v>
      </c>
    </row>
    <row r="629" customFormat="false" ht="15" hidden="false" customHeight="false" outlineLevel="0" collapsed="false">
      <c r="A629" s="11" t="s">
        <v>2659</v>
      </c>
      <c r="B629" s="38" t="n">
        <v>46003</v>
      </c>
      <c r="C629" s="11" t="s">
        <v>1496</v>
      </c>
      <c r="D629" s="11" t="s">
        <v>1497</v>
      </c>
      <c r="E629" s="11" t="s">
        <v>280</v>
      </c>
      <c r="F629" s="11" t="s">
        <v>2660</v>
      </c>
      <c r="G629" s="37" t="n">
        <v>8040</v>
      </c>
      <c r="H629" s="37" t="n">
        <v>328180.25</v>
      </c>
    </row>
    <row r="630" customFormat="false" ht="15" hidden="false" customHeight="false" outlineLevel="0" collapsed="false">
      <c r="A630" s="11" t="s">
        <v>2661</v>
      </c>
      <c r="B630" s="38" t="n">
        <v>46006</v>
      </c>
      <c r="C630" s="11" t="s">
        <v>1500</v>
      </c>
      <c r="D630" s="11" t="s">
        <v>2662</v>
      </c>
      <c r="E630" s="11" t="s">
        <v>384</v>
      </c>
      <c r="F630" s="11"/>
      <c r="G630" s="37" t="n">
        <v>-6200</v>
      </c>
      <c r="H630" s="37" t="n">
        <v>321980.25</v>
      </c>
    </row>
    <row r="631" customFormat="false" ht="15" hidden="false" customHeight="false" outlineLevel="0" collapsed="false">
      <c r="A631" s="11" t="s">
        <v>2663</v>
      </c>
      <c r="B631" s="38" t="n">
        <v>46006</v>
      </c>
      <c r="C631" s="11" t="s">
        <v>1500</v>
      </c>
      <c r="D631" s="11" t="s">
        <v>722</v>
      </c>
      <c r="E631" s="11" t="s">
        <v>384</v>
      </c>
      <c r="F631" s="11"/>
      <c r="G631" s="37" t="n">
        <v>-21000</v>
      </c>
      <c r="H631" s="37" t="n">
        <v>300980.25</v>
      </c>
    </row>
    <row r="632" customFormat="false" ht="15" hidden="false" customHeight="false" outlineLevel="0" collapsed="false">
      <c r="A632" s="11" t="s">
        <v>2664</v>
      </c>
      <c r="B632" s="38" t="n">
        <v>46006</v>
      </c>
      <c r="C632" s="11" t="s">
        <v>1496</v>
      </c>
      <c r="D632" s="11" t="s">
        <v>1497</v>
      </c>
      <c r="E632" s="11" t="s">
        <v>335</v>
      </c>
      <c r="F632" s="11" t="s">
        <v>2665</v>
      </c>
      <c r="G632" s="37" t="n">
        <v>8256</v>
      </c>
      <c r="H632" s="37" t="n">
        <v>309236.25</v>
      </c>
    </row>
    <row r="633" customFormat="false" ht="15" hidden="false" customHeight="false" outlineLevel="0" collapsed="false">
      <c r="A633" s="11" t="s">
        <v>2666</v>
      </c>
      <c r="B633" s="38" t="n">
        <v>46006</v>
      </c>
      <c r="C633" s="11" t="s">
        <v>1496</v>
      </c>
      <c r="D633" s="11" t="s">
        <v>1497</v>
      </c>
      <c r="E633" s="11" t="s">
        <v>323</v>
      </c>
      <c r="F633" s="11" t="s">
        <v>2667</v>
      </c>
      <c r="G633" s="37" t="n">
        <v>3084</v>
      </c>
      <c r="H633" s="37" t="n">
        <v>312320.25</v>
      </c>
    </row>
    <row r="634" customFormat="false" ht="15" hidden="false" customHeight="false" outlineLevel="0" collapsed="false">
      <c r="A634" s="11" t="s">
        <v>2668</v>
      </c>
      <c r="B634" s="38" t="n">
        <v>46006</v>
      </c>
      <c r="C634" s="11" t="s">
        <v>1496</v>
      </c>
      <c r="D634" s="11" t="s">
        <v>1497</v>
      </c>
      <c r="E634" s="11" t="s">
        <v>280</v>
      </c>
      <c r="F634" s="11" t="s">
        <v>2669</v>
      </c>
      <c r="G634" s="37" t="n">
        <v>8796</v>
      </c>
      <c r="H634" s="37" t="n">
        <v>321116.25</v>
      </c>
    </row>
    <row r="635" customFormat="false" ht="15" hidden="false" customHeight="false" outlineLevel="0" collapsed="false">
      <c r="A635" s="11" t="s">
        <v>2670</v>
      </c>
      <c r="B635" s="38" t="n">
        <v>46006</v>
      </c>
      <c r="C635" s="11" t="s">
        <v>1496</v>
      </c>
      <c r="D635" s="11" t="s">
        <v>1497</v>
      </c>
      <c r="E635" s="11" t="s">
        <v>287</v>
      </c>
      <c r="F635" s="11" t="s">
        <v>2671</v>
      </c>
      <c r="G635" s="37" t="n">
        <v>3708</v>
      </c>
      <c r="H635" s="37" t="n">
        <v>324824.25</v>
      </c>
    </row>
    <row r="636" customFormat="false" ht="15" hidden="false" customHeight="false" outlineLevel="0" collapsed="false">
      <c r="A636" s="11" t="s">
        <v>2672</v>
      </c>
      <c r="B636" s="38" t="n">
        <v>46006</v>
      </c>
      <c r="C636" s="11" t="s">
        <v>1500</v>
      </c>
      <c r="D636" s="11" t="s">
        <v>317</v>
      </c>
      <c r="E636" s="11" t="s">
        <v>318</v>
      </c>
      <c r="F636" s="11"/>
      <c r="G636" s="37" t="n">
        <v>-82000</v>
      </c>
      <c r="H636" s="37" t="n">
        <v>242824.25</v>
      </c>
    </row>
    <row r="637" customFormat="false" ht="15" hidden="false" customHeight="false" outlineLevel="0" collapsed="false">
      <c r="A637" s="11" t="s">
        <v>2673</v>
      </c>
      <c r="B637" s="38" t="n">
        <v>46006</v>
      </c>
      <c r="C637" s="11" t="s">
        <v>1496</v>
      </c>
      <c r="D637" s="11" t="s">
        <v>1497</v>
      </c>
      <c r="E637" s="11" t="s">
        <v>335</v>
      </c>
      <c r="F637" s="11" t="s">
        <v>2674</v>
      </c>
      <c r="G637" s="37" t="n">
        <v>8640</v>
      </c>
      <c r="H637" s="37" t="n">
        <v>251464.25</v>
      </c>
    </row>
    <row r="638" customFormat="false" ht="15" hidden="false" customHeight="false" outlineLevel="0" collapsed="false">
      <c r="A638" s="11" t="s">
        <v>2675</v>
      </c>
      <c r="B638" s="38" t="n">
        <v>46006</v>
      </c>
      <c r="C638" s="11" t="s">
        <v>1496</v>
      </c>
      <c r="D638" s="11" t="s">
        <v>1497</v>
      </c>
      <c r="E638" s="11" t="s">
        <v>323</v>
      </c>
      <c r="F638" s="11" t="s">
        <v>2676</v>
      </c>
      <c r="G638" s="37" t="n">
        <v>16776</v>
      </c>
      <c r="H638" s="37" t="n">
        <v>268240.25</v>
      </c>
    </row>
    <row r="639" customFormat="false" ht="15" hidden="false" customHeight="false" outlineLevel="0" collapsed="false">
      <c r="A639" s="11" t="s">
        <v>2677</v>
      </c>
      <c r="B639" s="38" t="n">
        <v>46007</v>
      </c>
      <c r="C639" s="11" t="s">
        <v>1496</v>
      </c>
      <c r="D639" s="11" t="s">
        <v>1497</v>
      </c>
      <c r="E639" s="11" t="s">
        <v>399</v>
      </c>
      <c r="F639" s="11" t="s">
        <v>2678</v>
      </c>
      <c r="G639" s="37" t="n">
        <v>11736</v>
      </c>
      <c r="H639" s="37" t="n">
        <v>279976.25</v>
      </c>
    </row>
    <row r="640" customFormat="false" ht="15" hidden="false" customHeight="false" outlineLevel="0" collapsed="false">
      <c r="A640" s="11" t="s">
        <v>2679</v>
      </c>
      <c r="B640" s="38" t="n">
        <v>46007</v>
      </c>
      <c r="C640" s="11" t="s">
        <v>1496</v>
      </c>
      <c r="D640" s="11" t="s">
        <v>1497</v>
      </c>
      <c r="E640" s="11" t="s">
        <v>323</v>
      </c>
      <c r="F640" s="11" t="s">
        <v>2680</v>
      </c>
      <c r="G640" s="37" t="n">
        <v>6444</v>
      </c>
      <c r="H640" s="37" t="n">
        <v>286420.25</v>
      </c>
    </row>
    <row r="641" customFormat="false" ht="15" hidden="false" customHeight="false" outlineLevel="0" collapsed="false">
      <c r="A641" s="11" t="s">
        <v>2681</v>
      </c>
      <c r="B641" s="38" t="n">
        <v>46007</v>
      </c>
      <c r="C641" s="11" t="s">
        <v>1496</v>
      </c>
      <c r="D641" s="11" t="s">
        <v>1497</v>
      </c>
      <c r="E641" s="11" t="s">
        <v>331</v>
      </c>
      <c r="F641" s="11" t="s">
        <v>2682</v>
      </c>
      <c r="G641" s="37" t="n">
        <v>4848</v>
      </c>
      <c r="H641" s="37" t="n">
        <v>291268.25</v>
      </c>
    </row>
    <row r="642" customFormat="false" ht="15" hidden="false" customHeight="false" outlineLevel="0" collapsed="false">
      <c r="A642" s="11" t="s">
        <v>2683</v>
      </c>
      <c r="B642" s="38" t="n">
        <v>46007</v>
      </c>
      <c r="C642" s="11" t="s">
        <v>1496</v>
      </c>
      <c r="D642" s="11" t="s">
        <v>1497</v>
      </c>
      <c r="E642" s="11" t="s">
        <v>331</v>
      </c>
      <c r="F642" s="11" t="s">
        <v>2684</v>
      </c>
      <c r="G642" s="37" t="n">
        <v>5004</v>
      </c>
      <c r="H642" s="37" t="n">
        <v>296272.25</v>
      </c>
    </row>
    <row r="643" customFormat="false" ht="15" hidden="false" customHeight="false" outlineLevel="0" collapsed="false">
      <c r="A643" s="11" t="s">
        <v>2685</v>
      </c>
      <c r="B643" s="38" t="n">
        <v>46008</v>
      </c>
      <c r="C643" s="11" t="s">
        <v>1496</v>
      </c>
      <c r="D643" s="11" t="s">
        <v>1497</v>
      </c>
      <c r="E643" s="11" t="s">
        <v>331</v>
      </c>
      <c r="F643" s="11" t="s">
        <v>2686</v>
      </c>
      <c r="G643" s="37" t="n">
        <v>3732</v>
      </c>
      <c r="H643" s="37" t="n">
        <v>300004.25</v>
      </c>
    </row>
    <row r="644" customFormat="false" ht="15" hidden="false" customHeight="false" outlineLevel="0" collapsed="false">
      <c r="A644" s="11" t="s">
        <v>2687</v>
      </c>
      <c r="B644" s="38" t="n">
        <v>46008</v>
      </c>
      <c r="C644" s="11" t="s">
        <v>1500</v>
      </c>
      <c r="D644" s="11" t="s">
        <v>291</v>
      </c>
      <c r="E644" s="11" t="s">
        <v>292</v>
      </c>
      <c r="F644" s="11"/>
      <c r="G644" s="37" t="n">
        <v>-5431.43</v>
      </c>
      <c r="H644" s="37" t="n">
        <v>294572.82</v>
      </c>
    </row>
    <row r="645" customFormat="false" ht="15" hidden="false" customHeight="false" outlineLevel="0" collapsed="false">
      <c r="A645" s="11" t="s">
        <v>2688</v>
      </c>
      <c r="B645" s="38" t="n">
        <v>46008</v>
      </c>
      <c r="C645" s="11" t="s">
        <v>1496</v>
      </c>
      <c r="D645" s="11" t="s">
        <v>1497</v>
      </c>
      <c r="E645" s="11" t="s">
        <v>392</v>
      </c>
      <c r="F645" s="11" t="s">
        <v>2689</v>
      </c>
      <c r="G645" s="37" t="n">
        <v>13152</v>
      </c>
      <c r="H645" s="37" t="n">
        <v>307724.82</v>
      </c>
    </row>
    <row r="646" customFormat="false" ht="15" hidden="false" customHeight="false" outlineLevel="0" collapsed="false">
      <c r="A646" s="11" t="s">
        <v>2690</v>
      </c>
      <c r="B646" s="38" t="n">
        <v>46009</v>
      </c>
      <c r="C646" s="11" t="s">
        <v>1500</v>
      </c>
      <c r="D646" s="11" t="s">
        <v>307</v>
      </c>
      <c r="E646" s="11" t="s">
        <v>313</v>
      </c>
      <c r="F646" s="11" t="s">
        <v>2691</v>
      </c>
      <c r="G646" s="37" t="n">
        <v>-4469.74</v>
      </c>
      <c r="H646" s="37" t="n">
        <v>303255.08</v>
      </c>
    </row>
    <row r="647" customFormat="false" ht="15" hidden="false" customHeight="false" outlineLevel="0" collapsed="false">
      <c r="A647" s="11" t="s">
        <v>2692</v>
      </c>
      <c r="B647" s="38" t="n">
        <v>46009</v>
      </c>
      <c r="C647" s="11" t="s">
        <v>1496</v>
      </c>
      <c r="D647" s="11" t="s">
        <v>1497</v>
      </c>
      <c r="E647" s="11" t="s">
        <v>280</v>
      </c>
      <c r="F647" s="11" t="s">
        <v>2693</v>
      </c>
      <c r="G647" s="37" t="n">
        <v>6228</v>
      </c>
      <c r="H647" s="37" t="n">
        <v>309483.08</v>
      </c>
    </row>
    <row r="648" customFormat="false" ht="15" hidden="false" customHeight="false" outlineLevel="0" collapsed="false">
      <c r="A648" s="11" t="s">
        <v>2694</v>
      </c>
      <c r="B648" s="38" t="n">
        <v>46009</v>
      </c>
      <c r="C648" s="11" t="s">
        <v>1500</v>
      </c>
      <c r="D648" s="11" t="s">
        <v>307</v>
      </c>
      <c r="E648" s="11" t="s">
        <v>308</v>
      </c>
      <c r="F648" s="11" t="s">
        <v>2695</v>
      </c>
      <c r="G648" s="37" t="n">
        <v>-29813.93</v>
      </c>
      <c r="H648" s="37" t="n">
        <v>279669.15</v>
      </c>
    </row>
    <row r="649" customFormat="false" ht="15" hidden="false" customHeight="false" outlineLevel="0" collapsed="false">
      <c r="A649" s="11" t="s">
        <v>2696</v>
      </c>
      <c r="B649" s="38" t="n">
        <v>46009</v>
      </c>
      <c r="C649" s="11" t="s">
        <v>1496</v>
      </c>
      <c r="D649" s="11" t="s">
        <v>1497</v>
      </c>
      <c r="E649" s="11" t="s">
        <v>335</v>
      </c>
      <c r="F649" s="11" t="s">
        <v>2697</v>
      </c>
      <c r="G649" s="37" t="n">
        <v>5676</v>
      </c>
      <c r="H649" s="37" t="n">
        <v>285345.15</v>
      </c>
    </row>
    <row r="650" customFormat="false" ht="15" hidden="false" customHeight="false" outlineLevel="0" collapsed="false">
      <c r="A650" s="11" t="s">
        <v>2698</v>
      </c>
      <c r="B650" s="38" t="n">
        <v>46009</v>
      </c>
      <c r="C650" s="11" t="s">
        <v>1496</v>
      </c>
      <c r="D650" s="11" t="s">
        <v>1497</v>
      </c>
      <c r="E650" s="11" t="s">
        <v>392</v>
      </c>
      <c r="F650" s="11" t="s">
        <v>2699</v>
      </c>
      <c r="G650" s="37" t="n">
        <v>14268</v>
      </c>
      <c r="H650" s="37" t="n">
        <v>299613.15</v>
      </c>
    </row>
    <row r="651" customFormat="false" ht="15" hidden="false" customHeight="false" outlineLevel="0" collapsed="false">
      <c r="A651" s="11" t="s">
        <v>2700</v>
      </c>
      <c r="B651" s="38" t="n">
        <v>46010</v>
      </c>
      <c r="C651" s="11" t="s">
        <v>1496</v>
      </c>
      <c r="D651" s="11" t="s">
        <v>1497</v>
      </c>
      <c r="E651" s="11" t="s">
        <v>287</v>
      </c>
      <c r="F651" s="11" t="s">
        <v>2701</v>
      </c>
      <c r="G651" s="37" t="n">
        <v>7932</v>
      </c>
      <c r="H651" s="37" t="n">
        <v>307545.15</v>
      </c>
    </row>
    <row r="652" customFormat="false" ht="15" hidden="false" customHeight="false" outlineLevel="0" collapsed="false">
      <c r="A652" s="11" t="s">
        <v>2702</v>
      </c>
      <c r="B652" s="38" t="n">
        <v>46010</v>
      </c>
      <c r="C652" s="11" t="s">
        <v>1496</v>
      </c>
      <c r="D652" s="11" t="s">
        <v>1497</v>
      </c>
      <c r="E652" s="11" t="s">
        <v>399</v>
      </c>
      <c r="F652" s="11" t="s">
        <v>2703</v>
      </c>
      <c r="G652" s="37" t="n">
        <v>30744</v>
      </c>
      <c r="H652" s="37" t="n">
        <v>338289.15</v>
      </c>
    </row>
    <row r="653" customFormat="false" ht="15" hidden="false" customHeight="false" outlineLevel="0" collapsed="false">
      <c r="A653" s="11" t="s">
        <v>2704</v>
      </c>
      <c r="B653" s="38" t="n">
        <v>46010</v>
      </c>
      <c r="C653" s="11" t="s">
        <v>1496</v>
      </c>
      <c r="D653" s="11" t="s">
        <v>1497</v>
      </c>
      <c r="E653" s="11" t="s">
        <v>298</v>
      </c>
      <c r="F653" s="11" t="s">
        <v>2705</v>
      </c>
      <c r="G653" s="37" t="n">
        <v>7870</v>
      </c>
      <c r="H653" s="37" t="n">
        <v>346159.15</v>
      </c>
    </row>
    <row r="654" customFormat="false" ht="15" hidden="false" customHeight="false" outlineLevel="0" collapsed="false">
      <c r="A654" s="11" t="s">
        <v>2706</v>
      </c>
      <c r="B654" s="38" t="n">
        <v>46010</v>
      </c>
      <c r="C654" s="11" t="s">
        <v>1496</v>
      </c>
      <c r="D654" s="11" t="s">
        <v>1497</v>
      </c>
      <c r="E654" s="11" t="s">
        <v>349</v>
      </c>
      <c r="F654" s="11" t="s">
        <v>2707</v>
      </c>
      <c r="G654" s="37" t="n">
        <v>23916</v>
      </c>
      <c r="H654" s="37" t="n">
        <v>370075.15</v>
      </c>
    </row>
    <row r="655" customFormat="false" ht="15" hidden="false" customHeight="false" outlineLevel="0" collapsed="false">
      <c r="A655" s="11" t="s">
        <v>2708</v>
      </c>
      <c r="B655" s="38" t="n">
        <v>46010</v>
      </c>
      <c r="C655" s="11" t="s">
        <v>1496</v>
      </c>
      <c r="D655" s="11" t="s">
        <v>1497</v>
      </c>
      <c r="E655" s="11" t="s">
        <v>298</v>
      </c>
      <c r="F655" s="11" t="s">
        <v>2709</v>
      </c>
      <c r="G655" s="37" t="n">
        <v>8320</v>
      </c>
      <c r="H655" s="37" t="n">
        <v>378395.15</v>
      </c>
    </row>
    <row r="656" customFormat="false" ht="15" hidden="false" customHeight="false" outlineLevel="0" collapsed="false">
      <c r="A656" s="11" t="s">
        <v>2710</v>
      </c>
      <c r="B656" s="38" t="n">
        <v>46013</v>
      </c>
      <c r="C656" s="11" t="s">
        <v>1496</v>
      </c>
      <c r="D656" s="11" t="s">
        <v>1497</v>
      </c>
      <c r="E656" s="11" t="s">
        <v>280</v>
      </c>
      <c r="F656" s="11" t="s">
        <v>2711</v>
      </c>
      <c r="G656" s="37" t="n">
        <v>11748</v>
      </c>
      <c r="H656" s="37" t="n">
        <v>390143.15</v>
      </c>
    </row>
    <row r="657" customFormat="false" ht="15" hidden="false" customHeight="false" outlineLevel="0" collapsed="false">
      <c r="A657" s="11" t="s">
        <v>2712</v>
      </c>
      <c r="B657" s="38" t="n">
        <v>46013</v>
      </c>
      <c r="C657" s="11" t="s">
        <v>1496</v>
      </c>
      <c r="D657" s="11" t="s">
        <v>1497</v>
      </c>
      <c r="E657" s="11" t="s">
        <v>327</v>
      </c>
      <c r="F657" s="11" t="s">
        <v>2713</v>
      </c>
      <c r="G657" s="37" t="n">
        <v>11412</v>
      </c>
      <c r="H657" s="37" t="n">
        <v>401555.15</v>
      </c>
    </row>
    <row r="658" customFormat="false" ht="15" hidden="false" customHeight="false" outlineLevel="0" collapsed="false">
      <c r="A658" s="11" t="s">
        <v>2714</v>
      </c>
      <c r="B658" s="38" t="n">
        <v>46013</v>
      </c>
      <c r="C658" s="11" t="s">
        <v>1496</v>
      </c>
      <c r="D658" s="11" t="s">
        <v>1497</v>
      </c>
      <c r="E658" s="11" t="s">
        <v>280</v>
      </c>
      <c r="F658" s="11" t="s">
        <v>2715</v>
      </c>
      <c r="G658" s="37" t="n">
        <v>10464</v>
      </c>
      <c r="H658" s="37" t="n">
        <v>412019.15</v>
      </c>
    </row>
    <row r="659" customFormat="false" ht="15" hidden="false" customHeight="false" outlineLevel="0" collapsed="false">
      <c r="A659" s="11" t="s">
        <v>2716</v>
      </c>
      <c r="B659" s="38" t="n">
        <v>46013</v>
      </c>
      <c r="C659" s="11" t="s">
        <v>1496</v>
      </c>
      <c r="D659" s="11" t="s">
        <v>1497</v>
      </c>
      <c r="E659" s="11" t="s">
        <v>287</v>
      </c>
      <c r="F659" s="11" t="s">
        <v>2717</v>
      </c>
      <c r="G659" s="37" t="n">
        <v>8064</v>
      </c>
      <c r="H659" s="37" t="n">
        <v>420083.15</v>
      </c>
    </row>
    <row r="660" customFormat="false" ht="15" hidden="false" customHeight="false" outlineLevel="0" collapsed="false">
      <c r="A660" s="11" t="s">
        <v>2718</v>
      </c>
      <c r="B660" s="38" t="n">
        <v>46013</v>
      </c>
      <c r="C660" s="11" t="s">
        <v>1496</v>
      </c>
      <c r="D660" s="11" t="s">
        <v>1497</v>
      </c>
      <c r="E660" s="11" t="s">
        <v>323</v>
      </c>
      <c r="F660" s="11" t="s">
        <v>2719</v>
      </c>
      <c r="G660" s="37" t="n">
        <v>7380</v>
      </c>
      <c r="H660" s="37" t="n">
        <v>427463.15</v>
      </c>
    </row>
    <row r="661" customFormat="false" ht="15" hidden="false" customHeight="false" outlineLevel="0" collapsed="false">
      <c r="A661" s="11" t="s">
        <v>2720</v>
      </c>
      <c r="B661" s="38" t="n">
        <v>46013</v>
      </c>
      <c r="C661" s="11" t="s">
        <v>1496</v>
      </c>
      <c r="D661" s="11" t="s">
        <v>1497</v>
      </c>
      <c r="E661" s="11" t="s">
        <v>327</v>
      </c>
      <c r="F661" s="11" t="s">
        <v>2721</v>
      </c>
      <c r="G661" s="37" t="n">
        <v>14160</v>
      </c>
      <c r="H661" s="37" t="n">
        <v>441623.15</v>
      </c>
    </row>
    <row r="662" customFormat="false" ht="15" hidden="false" customHeight="false" outlineLevel="0" collapsed="false">
      <c r="A662" s="11" t="s">
        <v>2722</v>
      </c>
      <c r="B662" s="38" t="n">
        <v>46014</v>
      </c>
      <c r="C662" s="11" t="s">
        <v>1496</v>
      </c>
      <c r="D662" s="11" t="s">
        <v>1497</v>
      </c>
      <c r="E662" s="11" t="s">
        <v>335</v>
      </c>
      <c r="F662" s="11" t="s">
        <v>2723</v>
      </c>
      <c r="G662" s="37" t="n">
        <v>4248</v>
      </c>
      <c r="H662" s="37" t="n">
        <v>445871.15</v>
      </c>
    </row>
    <row r="663" customFormat="false" ht="15" hidden="false" customHeight="false" outlineLevel="0" collapsed="false">
      <c r="A663" s="11" t="s">
        <v>2724</v>
      </c>
      <c r="B663" s="38" t="n">
        <v>46015</v>
      </c>
      <c r="C663" s="11" t="s">
        <v>1500</v>
      </c>
      <c r="D663" s="11" t="s">
        <v>307</v>
      </c>
      <c r="E663" s="11" t="s">
        <v>414</v>
      </c>
      <c r="F663" s="11" t="s">
        <v>2725</v>
      </c>
      <c r="G663" s="37" t="n">
        <v>-22099.28</v>
      </c>
      <c r="H663" s="37" t="n">
        <v>423771.87</v>
      </c>
    </row>
    <row r="664" customFormat="false" ht="15" hidden="false" customHeight="false" outlineLevel="0" collapsed="false">
      <c r="A664" s="11" t="s">
        <v>2726</v>
      </c>
      <c r="B664" s="38" t="n">
        <v>46015</v>
      </c>
      <c r="C664" s="11" t="s">
        <v>1500</v>
      </c>
      <c r="D664" s="11" t="s">
        <v>291</v>
      </c>
      <c r="E664" s="11" t="s">
        <v>292</v>
      </c>
      <c r="F664" s="11"/>
      <c r="G664" s="37" t="n">
        <v>-1439.7</v>
      </c>
      <c r="H664" s="37" t="n">
        <v>422332.17</v>
      </c>
    </row>
    <row r="665" customFormat="false" ht="15" hidden="false" customHeight="false" outlineLevel="0" collapsed="false">
      <c r="A665" s="11" t="s">
        <v>2727</v>
      </c>
      <c r="B665" s="38" t="n">
        <v>46015</v>
      </c>
      <c r="C665" s="11" t="s">
        <v>1500</v>
      </c>
      <c r="D665" s="11" t="s">
        <v>383</v>
      </c>
      <c r="E665" s="11" t="s">
        <v>384</v>
      </c>
      <c r="F665" s="11" t="s">
        <v>2728</v>
      </c>
      <c r="G665" s="37" t="n">
        <v>-81340.83</v>
      </c>
      <c r="H665" s="37" t="n">
        <v>340991.34</v>
      </c>
    </row>
    <row r="666" customFormat="false" ht="15" hidden="false" customHeight="false" outlineLevel="0" collapsed="false">
      <c r="A666" s="11" t="s">
        <v>2729</v>
      </c>
      <c r="B666" s="38" t="n">
        <v>46015</v>
      </c>
      <c r="C666" s="11" t="s">
        <v>1496</v>
      </c>
      <c r="D666" s="11" t="s">
        <v>1497</v>
      </c>
      <c r="E666" s="11" t="s">
        <v>349</v>
      </c>
      <c r="F666" s="11" t="s">
        <v>2730</v>
      </c>
      <c r="G666" s="37" t="n">
        <v>12636</v>
      </c>
      <c r="H666" s="37" t="n">
        <v>353627.34</v>
      </c>
    </row>
    <row r="667" customFormat="false" ht="15" hidden="false" customHeight="false" outlineLevel="0" collapsed="false">
      <c r="A667" s="11" t="s">
        <v>2731</v>
      </c>
      <c r="B667" s="38" t="n">
        <v>46015</v>
      </c>
      <c r="C667" s="11" t="s">
        <v>1496</v>
      </c>
      <c r="D667" s="11" t="s">
        <v>1497</v>
      </c>
      <c r="E667" s="11" t="s">
        <v>349</v>
      </c>
      <c r="F667" s="11" t="s">
        <v>2732</v>
      </c>
      <c r="G667" s="37" t="n">
        <v>15240</v>
      </c>
      <c r="H667" s="37" t="n">
        <v>368867.34</v>
      </c>
    </row>
    <row r="668" customFormat="false" ht="15" hidden="false" customHeight="false" outlineLevel="0" collapsed="false">
      <c r="A668" s="11" t="s">
        <v>2733</v>
      </c>
      <c r="B668" s="38" t="n">
        <v>46017</v>
      </c>
      <c r="C668" s="11" t="s">
        <v>1496</v>
      </c>
      <c r="D668" s="11" t="s">
        <v>1497</v>
      </c>
      <c r="E668" s="11" t="s">
        <v>298</v>
      </c>
      <c r="F668" s="11" t="s">
        <v>2734</v>
      </c>
      <c r="G668" s="37" t="n">
        <v>8700</v>
      </c>
      <c r="H668" s="37" t="n">
        <v>377567.34</v>
      </c>
    </row>
    <row r="669" customFormat="false" ht="15" hidden="false" customHeight="false" outlineLevel="0" collapsed="false">
      <c r="A669" s="11" t="s">
        <v>2735</v>
      </c>
      <c r="B669" s="38" t="n">
        <v>46020</v>
      </c>
      <c r="C669" s="11" t="s">
        <v>1496</v>
      </c>
      <c r="D669" s="11" t="s">
        <v>1497</v>
      </c>
      <c r="E669" s="11" t="s">
        <v>335</v>
      </c>
      <c r="F669" s="11" t="s">
        <v>2736</v>
      </c>
      <c r="G669" s="37" t="n">
        <v>5604</v>
      </c>
      <c r="H669" s="37" t="n">
        <v>383171.34</v>
      </c>
    </row>
    <row r="670" customFormat="false" ht="15" hidden="false" customHeight="false" outlineLevel="0" collapsed="false">
      <c r="A670" s="11" t="s">
        <v>2737</v>
      </c>
      <c r="B670" s="38" t="n">
        <v>46020</v>
      </c>
      <c r="C670" s="11" t="s">
        <v>1496</v>
      </c>
      <c r="D670" s="11" t="s">
        <v>1497</v>
      </c>
      <c r="E670" s="11" t="s">
        <v>335</v>
      </c>
      <c r="F670" s="11" t="s">
        <v>2738</v>
      </c>
      <c r="G670" s="37" t="n">
        <v>7752</v>
      </c>
      <c r="H670" s="37" t="n">
        <v>390923.34</v>
      </c>
    </row>
    <row r="671" customFormat="false" ht="15" hidden="false" customHeight="false" outlineLevel="0" collapsed="false">
      <c r="A671" s="11" t="s">
        <v>2739</v>
      </c>
      <c r="B671" s="38" t="n">
        <v>46020</v>
      </c>
      <c r="C671" s="11" t="s">
        <v>1496</v>
      </c>
      <c r="D671" s="11" t="s">
        <v>1497</v>
      </c>
      <c r="E671" s="11" t="s">
        <v>280</v>
      </c>
      <c r="F671" s="11" t="s">
        <v>2740</v>
      </c>
      <c r="G671" s="37" t="n">
        <v>7404</v>
      </c>
      <c r="H671" s="37" t="n">
        <v>398327.34</v>
      </c>
    </row>
    <row r="672" customFormat="false" ht="15" hidden="false" customHeight="false" outlineLevel="0" collapsed="false">
      <c r="A672" s="11" t="s">
        <v>2741</v>
      </c>
      <c r="B672" s="38" t="n">
        <v>46020</v>
      </c>
      <c r="C672" s="11" t="s">
        <v>1496</v>
      </c>
      <c r="D672" s="11" t="s">
        <v>1497</v>
      </c>
      <c r="E672" s="11" t="s">
        <v>349</v>
      </c>
      <c r="F672" s="11" t="s">
        <v>2742</v>
      </c>
      <c r="G672" s="37" t="n">
        <v>21192</v>
      </c>
      <c r="H672" s="37" t="n">
        <v>419519.34</v>
      </c>
    </row>
    <row r="673" customFormat="false" ht="15" hidden="false" customHeight="false" outlineLevel="0" collapsed="false">
      <c r="A673" s="11" t="s">
        <v>2743</v>
      </c>
      <c r="B673" s="38" t="n">
        <v>46020</v>
      </c>
      <c r="C673" s="11" t="s">
        <v>1496</v>
      </c>
      <c r="D673" s="11" t="s">
        <v>1497</v>
      </c>
      <c r="E673" s="11" t="s">
        <v>349</v>
      </c>
      <c r="F673" s="11" t="s">
        <v>2744</v>
      </c>
      <c r="G673" s="37" t="n">
        <v>14616</v>
      </c>
      <c r="H673" s="37" t="n">
        <v>434135.34</v>
      </c>
    </row>
    <row r="674" customFormat="false" ht="15" hidden="false" customHeight="false" outlineLevel="0" collapsed="false">
      <c r="A674" s="11" t="s">
        <v>2745</v>
      </c>
      <c r="B674" s="38" t="n">
        <v>46020</v>
      </c>
      <c r="C674" s="11" t="s">
        <v>1496</v>
      </c>
      <c r="D674" s="11" t="s">
        <v>1497</v>
      </c>
      <c r="E674" s="11" t="s">
        <v>331</v>
      </c>
      <c r="F674" s="11" t="s">
        <v>2746</v>
      </c>
      <c r="G674" s="37" t="n">
        <v>5892</v>
      </c>
      <c r="H674" s="37" t="n">
        <v>440027.34</v>
      </c>
    </row>
    <row r="675" customFormat="false" ht="15" hidden="false" customHeight="false" outlineLevel="0" collapsed="false">
      <c r="A675" s="11" t="s">
        <v>2747</v>
      </c>
      <c r="B675" s="38" t="n">
        <v>46020</v>
      </c>
      <c r="C675" s="11" t="s">
        <v>1496</v>
      </c>
      <c r="D675" s="11" t="s">
        <v>1497</v>
      </c>
      <c r="E675" s="11" t="s">
        <v>287</v>
      </c>
      <c r="F675" s="11" t="s">
        <v>2748</v>
      </c>
      <c r="G675" s="37" t="n">
        <v>5640</v>
      </c>
      <c r="H675" s="37" t="n">
        <v>445667.34</v>
      </c>
    </row>
    <row r="676" customFormat="false" ht="15" hidden="false" customHeight="false" outlineLevel="0" collapsed="false">
      <c r="A676" s="11" t="s">
        <v>2749</v>
      </c>
      <c r="B676" s="38" t="n">
        <v>46020</v>
      </c>
      <c r="C676" s="11" t="s">
        <v>1496</v>
      </c>
      <c r="D676" s="11" t="s">
        <v>1497</v>
      </c>
      <c r="E676" s="11" t="s">
        <v>298</v>
      </c>
      <c r="F676" s="11" t="s">
        <v>2750</v>
      </c>
      <c r="G676" s="37" t="n">
        <v>4600</v>
      </c>
      <c r="H676" s="37" t="n">
        <v>450267.34</v>
      </c>
    </row>
    <row r="677" customFormat="false" ht="15" hidden="false" customHeight="false" outlineLevel="0" collapsed="false">
      <c r="A677" s="11" t="s">
        <v>2751</v>
      </c>
      <c r="B677" s="38" t="n">
        <v>46020</v>
      </c>
      <c r="C677" s="11" t="s">
        <v>1496</v>
      </c>
      <c r="D677" s="11" t="s">
        <v>1497</v>
      </c>
      <c r="E677" s="11" t="s">
        <v>280</v>
      </c>
      <c r="F677" s="11" t="s">
        <v>2752</v>
      </c>
      <c r="G677" s="37" t="n">
        <v>4680</v>
      </c>
      <c r="H677" s="37" t="n">
        <v>454947.34</v>
      </c>
    </row>
    <row r="678" customFormat="false" ht="15" hidden="false" customHeight="false" outlineLevel="0" collapsed="false">
      <c r="A678" s="11" t="s">
        <v>2753</v>
      </c>
      <c r="B678" s="38" t="n">
        <v>46020</v>
      </c>
      <c r="C678" s="11" t="s">
        <v>1496</v>
      </c>
      <c r="D678" s="11" t="s">
        <v>1497</v>
      </c>
      <c r="E678" s="11" t="s">
        <v>280</v>
      </c>
      <c r="F678" s="11" t="s">
        <v>2754</v>
      </c>
      <c r="G678" s="37" t="n">
        <v>10668</v>
      </c>
      <c r="H678" s="37" t="n">
        <v>465615.34</v>
      </c>
    </row>
    <row r="679" customFormat="false" ht="15" hidden="false" customHeight="false" outlineLevel="0" collapsed="false">
      <c r="A679" s="11" t="s">
        <v>2755</v>
      </c>
      <c r="B679" s="38" t="n">
        <v>46021</v>
      </c>
      <c r="C679" s="11" t="s">
        <v>1496</v>
      </c>
      <c r="D679" s="11" t="s">
        <v>1497</v>
      </c>
      <c r="E679" s="11" t="s">
        <v>287</v>
      </c>
      <c r="F679" s="11" t="s">
        <v>2756</v>
      </c>
      <c r="G679" s="37" t="n">
        <v>2652</v>
      </c>
      <c r="H679" s="37" t="n">
        <v>468267.34</v>
      </c>
    </row>
    <row r="680" customFormat="false" ht="15" hidden="false" customHeight="false" outlineLevel="0" collapsed="false">
      <c r="A680" s="11" t="s">
        <v>2757</v>
      </c>
      <c r="B680" s="38" t="n">
        <v>46022</v>
      </c>
      <c r="C680" s="11" t="s">
        <v>1500</v>
      </c>
      <c r="D680" s="11" t="s">
        <v>307</v>
      </c>
      <c r="E680" s="11" t="s">
        <v>308</v>
      </c>
      <c r="F680" s="11" t="s">
        <v>2758</v>
      </c>
      <c r="G680" s="37" t="n">
        <v>-34200.85</v>
      </c>
      <c r="H680" s="37" t="n">
        <v>434066.49</v>
      </c>
    </row>
    <row r="681" customFormat="false" ht="15" hidden="false" customHeight="false" outlineLevel="0" collapsed="false">
      <c r="A681" s="11" t="s">
        <v>2759</v>
      </c>
      <c r="B681" s="38" t="n">
        <v>46022</v>
      </c>
      <c r="C681" s="11" t="s">
        <v>1500</v>
      </c>
      <c r="D681" s="11" t="s">
        <v>307</v>
      </c>
      <c r="E681" s="11" t="s">
        <v>420</v>
      </c>
      <c r="F681" s="11" t="s">
        <v>2760</v>
      </c>
      <c r="G681" s="37" t="n">
        <v>-22000</v>
      </c>
      <c r="H681" s="37" t="n">
        <v>412066.49</v>
      </c>
    </row>
    <row r="682" customFormat="false" ht="15" hidden="false" customHeight="false" outlineLevel="0" collapsed="false">
      <c r="A682" s="11" t="s">
        <v>2761</v>
      </c>
      <c r="B682" s="38" t="n">
        <v>46022</v>
      </c>
      <c r="C682" s="11" t="s">
        <v>1500</v>
      </c>
      <c r="D682" s="11" t="s">
        <v>307</v>
      </c>
      <c r="E682" s="11" t="s">
        <v>420</v>
      </c>
      <c r="F682" s="11" t="s">
        <v>2762</v>
      </c>
      <c r="G682" s="37" t="n">
        <v>-98302.19</v>
      </c>
      <c r="H682" s="37" t="n">
        <v>313764.3</v>
      </c>
    </row>
    <row r="683" customFormat="false" ht="15" hidden="false" customHeight="false" outlineLevel="0" collapsed="false">
      <c r="A683" s="11" t="s">
        <v>2763</v>
      </c>
      <c r="B683" s="38" t="n">
        <v>46022</v>
      </c>
      <c r="C683" s="11" t="s">
        <v>1500</v>
      </c>
      <c r="D683" s="11" t="s">
        <v>1634</v>
      </c>
      <c r="E683" s="11" t="s">
        <v>425</v>
      </c>
      <c r="F683" s="11"/>
      <c r="G683" s="37" t="n">
        <v>-101500</v>
      </c>
      <c r="H683" s="37" t="n">
        <v>212264.3</v>
      </c>
    </row>
    <row r="684" customFormat="false" ht="15" hidden="false" customHeight="false" outlineLevel="0" collapsed="false">
      <c r="A684" s="11" t="s">
        <v>2764</v>
      </c>
      <c r="B684" s="38" t="n">
        <v>46022</v>
      </c>
      <c r="C684" s="11" t="s">
        <v>1500</v>
      </c>
      <c r="D684" s="11" t="s">
        <v>307</v>
      </c>
      <c r="E684" s="11" t="s">
        <v>313</v>
      </c>
      <c r="F684" s="11" t="s">
        <v>2765</v>
      </c>
      <c r="G684" s="37" t="n">
        <v>-4295.14</v>
      </c>
      <c r="H684" s="37" t="n">
        <v>207969.16</v>
      </c>
    </row>
    <row r="685" customFormat="false" ht="15" hidden="false" customHeight="false" outlineLevel="0" collapsed="false">
      <c r="A685" s="11" t="s">
        <v>2766</v>
      </c>
      <c r="B685" s="38" t="n">
        <v>46022</v>
      </c>
      <c r="C685" s="11" t="s">
        <v>1500</v>
      </c>
      <c r="D685" s="11" t="s">
        <v>2767</v>
      </c>
      <c r="E685" s="11" t="s">
        <v>425</v>
      </c>
      <c r="F685" s="11"/>
      <c r="G685" s="37" t="n">
        <v>-68000</v>
      </c>
      <c r="H685" s="37" t="n">
        <v>139969.16</v>
      </c>
    </row>
    <row r="686" customFormat="false" ht="15" hidden="false" customHeight="false" outlineLevel="0" collapsed="false">
      <c r="A686" s="11" t="s">
        <v>2768</v>
      </c>
      <c r="B686" s="38" t="n">
        <v>46022</v>
      </c>
      <c r="C686" s="11" t="s">
        <v>1500</v>
      </c>
      <c r="D686" s="11" t="s">
        <v>291</v>
      </c>
      <c r="E686" s="11" t="s">
        <v>292</v>
      </c>
      <c r="F686" s="11"/>
      <c r="G686" s="37" t="n">
        <v>-1830.6</v>
      </c>
      <c r="H686" s="37" t="n">
        <v>138138.56</v>
      </c>
    </row>
    <row r="687" customFormat="false" ht="15" hidden="false" customHeight="false" outlineLevel="0" collapsed="false">
      <c r="A687" s="11" t="s">
        <v>2769</v>
      </c>
      <c r="B687" s="38" t="n">
        <v>46022</v>
      </c>
      <c r="C687" s="11" t="s">
        <v>1496</v>
      </c>
      <c r="D687" s="11" t="s">
        <v>1497</v>
      </c>
      <c r="E687" s="11" t="s">
        <v>335</v>
      </c>
      <c r="F687" s="11" t="s">
        <v>2770</v>
      </c>
      <c r="G687" s="37" t="n">
        <v>9348</v>
      </c>
      <c r="H687" s="37" t="n">
        <v>147486.56</v>
      </c>
    </row>
    <row r="688" customFormat="false" ht="15" hidden="false" customHeight="false" outlineLevel="0" collapsed="false">
      <c r="A688" s="11" t="s">
        <v>2771</v>
      </c>
      <c r="B688" s="38" t="n">
        <v>46024</v>
      </c>
      <c r="C688" s="11" t="s">
        <v>1496</v>
      </c>
      <c r="D688" s="11" t="s">
        <v>1497</v>
      </c>
      <c r="E688" s="11" t="s">
        <v>280</v>
      </c>
      <c r="F688" s="11" t="s">
        <v>2772</v>
      </c>
      <c r="G688" s="37" t="n">
        <v>4296</v>
      </c>
      <c r="H688" s="37" t="n">
        <v>151782.56</v>
      </c>
    </row>
    <row r="689" customFormat="false" ht="15" hidden="false" customHeight="false" outlineLevel="0" collapsed="false">
      <c r="A689" s="11" t="s">
        <v>2773</v>
      </c>
      <c r="B689" s="38" t="n">
        <v>46024</v>
      </c>
      <c r="C689" s="11" t="s">
        <v>1500</v>
      </c>
      <c r="D689" s="11" t="s">
        <v>1503</v>
      </c>
      <c r="E689" s="11" t="s">
        <v>847</v>
      </c>
      <c r="F689" s="11"/>
      <c r="G689" s="37" t="n">
        <v>-23400</v>
      </c>
      <c r="H689" s="37" t="n">
        <v>128382.56</v>
      </c>
    </row>
    <row r="690" customFormat="false" ht="15" hidden="false" customHeight="false" outlineLevel="0" collapsed="false">
      <c r="A690" s="11" t="s">
        <v>2774</v>
      </c>
      <c r="B690" s="38" t="n">
        <v>46024</v>
      </c>
      <c r="C690" s="11" t="s">
        <v>1496</v>
      </c>
      <c r="D690" s="11" t="s">
        <v>1497</v>
      </c>
      <c r="E690" s="11" t="s">
        <v>335</v>
      </c>
      <c r="F690" s="11" t="s">
        <v>2775</v>
      </c>
      <c r="G690" s="37" t="n">
        <v>3720</v>
      </c>
      <c r="H690" s="37" t="n">
        <v>132102.56</v>
      </c>
    </row>
    <row r="691" customFormat="false" ht="15" hidden="false" customHeight="false" outlineLevel="0" collapsed="false">
      <c r="A691" s="11" t="s">
        <v>2776</v>
      </c>
      <c r="B691" s="38" t="n">
        <v>46024</v>
      </c>
      <c r="C691" s="11" t="s">
        <v>1500</v>
      </c>
      <c r="D691" s="11" t="s">
        <v>1501</v>
      </c>
      <c r="E691" s="11" t="s">
        <v>853</v>
      </c>
      <c r="F691" s="11"/>
      <c r="G691" s="37" t="n">
        <v>-7800</v>
      </c>
      <c r="H691" s="37" t="n">
        <v>124302.56</v>
      </c>
    </row>
    <row r="692" customFormat="false" ht="15" hidden="false" customHeight="false" outlineLevel="0" collapsed="false">
      <c r="A692" s="11" t="s">
        <v>2777</v>
      </c>
      <c r="B692" s="38" t="n">
        <v>46024</v>
      </c>
      <c r="C692" s="11" t="s">
        <v>1496</v>
      </c>
      <c r="D692" s="11" t="s">
        <v>1497</v>
      </c>
      <c r="E692" s="11" t="s">
        <v>335</v>
      </c>
      <c r="F692" s="11" t="s">
        <v>2778</v>
      </c>
      <c r="G692" s="37" t="n">
        <v>5484</v>
      </c>
      <c r="H692" s="37" t="n">
        <v>129786.56</v>
      </c>
    </row>
    <row r="693" customFormat="false" ht="15" hidden="false" customHeight="false" outlineLevel="0" collapsed="false">
      <c r="A693" s="11" t="s">
        <v>2779</v>
      </c>
      <c r="B693" s="38" t="n">
        <v>46024</v>
      </c>
      <c r="C693" s="11" t="s">
        <v>1496</v>
      </c>
      <c r="D693" s="11" t="s">
        <v>1497</v>
      </c>
      <c r="E693" s="11" t="s">
        <v>331</v>
      </c>
      <c r="F693" s="11" t="s">
        <v>2780</v>
      </c>
      <c r="G693" s="37" t="n">
        <v>8892</v>
      </c>
      <c r="H693" s="37" t="n">
        <v>138678.56</v>
      </c>
    </row>
    <row r="694" customFormat="false" ht="15" hidden="false" customHeight="false" outlineLevel="0" collapsed="false">
      <c r="A694" s="11" t="s">
        <v>2781</v>
      </c>
      <c r="B694" s="38" t="n">
        <v>46024</v>
      </c>
      <c r="C694" s="11" t="s">
        <v>1496</v>
      </c>
      <c r="D694" s="11" t="s">
        <v>1497</v>
      </c>
      <c r="E694" s="11" t="s">
        <v>810</v>
      </c>
      <c r="F694" s="11" t="s">
        <v>2782</v>
      </c>
      <c r="G694" s="37" t="n">
        <v>43200</v>
      </c>
      <c r="H694" s="37" t="n">
        <v>181878.56</v>
      </c>
    </row>
    <row r="695" customFormat="false" ht="15" hidden="false" customHeight="false" outlineLevel="0" collapsed="false">
      <c r="A695" s="11" t="s">
        <v>2783</v>
      </c>
      <c r="B695" s="38" t="n">
        <v>46024</v>
      </c>
      <c r="C695" s="11" t="s">
        <v>1496</v>
      </c>
      <c r="D695" s="11" t="s">
        <v>1497</v>
      </c>
      <c r="E695" s="11" t="s">
        <v>597</v>
      </c>
      <c r="F695" s="11" t="s">
        <v>2784</v>
      </c>
      <c r="G695" s="37" t="n">
        <v>140400</v>
      </c>
      <c r="H695" s="37" t="n">
        <v>322278.56</v>
      </c>
    </row>
    <row r="696" customFormat="false" ht="15" hidden="false" customHeight="false" outlineLevel="0" collapsed="false">
      <c r="A696" s="11" t="s">
        <v>2785</v>
      </c>
      <c r="B696" s="38" t="n">
        <v>46027</v>
      </c>
      <c r="C696" s="11" t="s">
        <v>1500</v>
      </c>
      <c r="D696" s="11" t="s">
        <v>469</v>
      </c>
      <c r="E696" s="11" t="s">
        <v>470</v>
      </c>
      <c r="F696" s="11"/>
      <c r="G696" s="37" t="n">
        <v>-8900</v>
      </c>
      <c r="H696" s="37" t="n">
        <v>313378.56</v>
      </c>
    </row>
    <row r="697" customFormat="false" ht="15" hidden="false" customHeight="false" outlineLevel="0" collapsed="false">
      <c r="A697" s="11" t="s">
        <v>2786</v>
      </c>
      <c r="B697" s="38" t="n">
        <v>46027</v>
      </c>
      <c r="C697" s="11" t="s">
        <v>1496</v>
      </c>
      <c r="D697" s="11" t="s">
        <v>1497</v>
      </c>
      <c r="E697" s="11" t="s">
        <v>280</v>
      </c>
      <c r="F697" s="11" t="s">
        <v>2787</v>
      </c>
      <c r="G697" s="37" t="n">
        <v>6984</v>
      </c>
      <c r="H697" s="37" t="n">
        <v>320362.56</v>
      </c>
    </row>
    <row r="698" customFormat="false" ht="15" hidden="false" customHeight="false" outlineLevel="0" collapsed="false">
      <c r="A698" s="11" t="s">
        <v>2788</v>
      </c>
      <c r="B698" s="38" t="n">
        <v>46027</v>
      </c>
      <c r="C698" s="11" t="s">
        <v>1496</v>
      </c>
      <c r="D698" s="11" t="s">
        <v>1497</v>
      </c>
      <c r="E698" s="11" t="s">
        <v>287</v>
      </c>
      <c r="F698" s="11" t="s">
        <v>2789</v>
      </c>
      <c r="G698" s="37" t="n">
        <v>5424</v>
      </c>
      <c r="H698" s="37" t="n">
        <v>325786.56</v>
      </c>
    </row>
    <row r="699" customFormat="false" ht="15" hidden="false" customHeight="false" outlineLevel="0" collapsed="false">
      <c r="A699" s="11" t="s">
        <v>2790</v>
      </c>
      <c r="B699" s="38" t="n">
        <v>46027</v>
      </c>
      <c r="C699" s="11" t="s">
        <v>1496</v>
      </c>
      <c r="D699" s="11" t="s">
        <v>1497</v>
      </c>
      <c r="E699" s="11" t="s">
        <v>298</v>
      </c>
      <c r="F699" s="11" t="s">
        <v>2791</v>
      </c>
      <c r="G699" s="37" t="n">
        <v>14780</v>
      </c>
      <c r="H699" s="37" t="n">
        <v>340566.56</v>
      </c>
    </row>
    <row r="700" customFormat="false" ht="15" hidden="false" customHeight="false" outlineLevel="0" collapsed="false">
      <c r="A700" s="11" t="s">
        <v>2792</v>
      </c>
      <c r="B700" s="38" t="n">
        <v>46027</v>
      </c>
      <c r="C700" s="11" t="s">
        <v>1496</v>
      </c>
      <c r="D700" s="11" t="s">
        <v>1497</v>
      </c>
      <c r="E700" s="11" t="s">
        <v>298</v>
      </c>
      <c r="F700" s="11" t="s">
        <v>2793</v>
      </c>
      <c r="G700" s="37" t="n">
        <v>12990</v>
      </c>
      <c r="H700" s="37" t="n">
        <v>353556.56</v>
      </c>
    </row>
    <row r="701" customFormat="false" ht="15" hidden="false" customHeight="false" outlineLevel="0" collapsed="false">
      <c r="A701" s="11" t="s">
        <v>2794</v>
      </c>
      <c r="B701" s="38" t="n">
        <v>46027</v>
      </c>
      <c r="C701" s="11" t="s">
        <v>1496</v>
      </c>
      <c r="D701" s="11" t="s">
        <v>1497</v>
      </c>
      <c r="E701" s="11" t="s">
        <v>280</v>
      </c>
      <c r="F701" s="11" t="s">
        <v>2795</v>
      </c>
      <c r="G701" s="37" t="n">
        <v>6816</v>
      </c>
      <c r="H701" s="37" t="n">
        <v>360372.56</v>
      </c>
    </row>
    <row r="702" customFormat="false" ht="15" hidden="false" customHeight="false" outlineLevel="0" collapsed="false">
      <c r="A702" s="11" t="s">
        <v>2796</v>
      </c>
      <c r="B702" s="38" t="n">
        <v>46027</v>
      </c>
      <c r="C702" s="11" t="s">
        <v>1500</v>
      </c>
      <c r="D702" s="11" t="s">
        <v>448</v>
      </c>
      <c r="E702" s="11" t="s">
        <v>449</v>
      </c>
      <c r="F702" s="11"/>
      <c r="G702" s="37" t="n">
        <v>-2880</v>
      </c>
      <c r="H702" s="37" t="n">
        <v>357492.56</v>
      </c>
    </row>
    <row r="703" customFormat="false" ht="15" hidden="false" customHeight="false" outlineLevel="0" collapsed="false">
      <c r="A703" s="11" t="s">
        <v>2797</v>
      </c>
      <c r="B703" s="38" t="n">
        <v>46027</v>
      </c>
      <c r="C703" s="11" t="s">
        <v>1496</v>
      </c>
      <c r="D703" s="11" t="s">
        <v>1497</v>
      </c>
      <c r="E703" s="11" t="s">
        <v>335</v>
      </c>
      <c r="F703" s="11" t="s">
        <v>2798</v>
      </c>
      <c r="G703" s="37" t="n">
        <v>4860</v>
      </c>
      <c r="H703" s="37" t="n">
        <v>362352.56</v>
      </c>
    </row>
    <row r="704" customFormat="false" ht="15" hidden="false" customHeight="false" outlineLevel="0" collapsed="false">
      <c r="A704" s="11" t="s">
        <v>2799</v>
      </c>
      <c r="B704" s="38" t="n">
        <v>46027</v>
      </c>
      <c r="C704" s="11" t="s">
        <v>1496</v>
      </c>
      <c r="D704" s="11" t="s">
        <v>1497</v>
      </c>
      <c r="E704" s="11" t="s">
        <v>349</v>
      </c>
      <c r="F704" s="11" t="s">
        <v>2800</v>
      </c>
      <c r="G704" s="37" t="n">
        <v>5856</v>
      </c>
      <c r="H704" s="37" t="n">
        <v>368208.56</v>
      </c>
    </row>
    <row r="705" customFormat="false" ht="15" hidden="false" customHeight="false" outlineLevel="0" collapsed="false">
      <c r="A705" s="11" t="s">
        <v>2801</v>
      </c>
      <c r="B705" s="38" t="n">
        <v>46028</v>
      </c>
      <c r="C705" s="11" t="s">
        <v>1496</v>
      </c>
      <c r="D705" s="11" t="s">
        <v>1497</v>
      </c>
      <c r="E705" s="11" t="s">
        <v>287</v>
      </c>
      <c r="F705" s="11" t="s">
        <v>2802</v>
      </c>
      <c r="G705" s="37" t="n">
        <v>2352</v>
      </c>
      <c r="H705" s="37" t="n">
        <v>370560.56</v>
      </c>
    </row>
    <row r="706" customFormat="false" ht="15" hidden="false" customHeight="false" outlineLevel="0" collapsed="false">
      <c r="A706" s="11" t="s">
        <v>2803</v>
      </c>
      <c r="B706" s="38" t="n">
        <v>46028</v>
      </c>
      <c r="C706" s="11" t="s">
        <v>1496</v>
      </c>
      <c r="D706" s="11" t="s">
        <v>1497</v>
      </c>
      <c r="E706" s="11" t="s">
        <v>392</v>
      </c>
      <c r="F706" s="11" t="s">
        <v>2804</v>
      </c>
      <c r="G706" s="37" t="n">
        <v>6552</v>
      </c>
      <c r="H706" s="37" t="n">
        <v>377112.56</v>
      </c>
    </row>
    <row r="707" customFormat="false" ht="15" hidden="false" customHeight="false" outlineLevel="0" collapsed="false">
      <c r="A707" s="11" t="s">
        <v>2805</v>
      </c>
      <c r="B707" s="38" t="n">
        <v>46029</v>
      </c>
      <c r="C707" s="11" t="s">
        <v>1500</v>
      </c>
      <c r="D707" s="11" t="s">
        <v>291</v>
      </c>
      <c r="E707" s="11" t="s">
        <v>292</v>
      </c>
      <c r="F707" s="11"/>
      <c r="G707" s="37" t="n">
        <v>-3812.5</v>
      </c>
      <c r="H707" s="37" t="n">
        <v>373300.06</v>
      </c>
    </row>
    <row r="708" customFormat="false" ht="15" hidden="false" customHeight="false" outlineLevel="0" collapsed="false">
      <c r="A708" s="11" t="s">
        <v>2806</v>
      </c>
      <c r="B708" s="38" t="n">
        <v>46029</v>
      </c>
      <c r="C708" s="11" t="s">
        <v>1496</v>
      </c>
      <c r="D708" s="11" t="s">
        <v>1497</v>
      </c>
      <c r="E708" s="11" t="s">
        <v>287</v>
      </c>
      <c r="F708" s="11" t="s">
        <v>2807</v>
      </c>
      <c r="G708" s="37" t="n">
        <v>8856</v>
      </c>
      <c r="H708" s="37" t="n">
        <v>382156.06</v>
      </c>
    </row>
    <row r="709" customFormat="false" ht="15" hidden="false" customHeight="false" outlineLevel="0" collapsed="false">
      <c r="A709" s="11" t="s">
        <v>2808</v>
      </c>
      <c r="B709" s="38" t="n">
        <v>46029</v>
      </c>
      <c r="C709" s="11" t="s">
        <v>1496</v>
      </c>
      <c r="D709" s="11" t="s">
        <v>1497</v>
      </c>
      <c r="E709" s="11" t="s">
        <v>349</v>
      </c>
      <c r="F709" s="11" t="s">
        <v>2809</v>
      </c>
      <c r="G709" s="37" t="n">
        <v>12000</v>
      </c>
      <c r="H709" s="37" t="n">
        <v>394156.06</v>
      </c>
    </row>
    <row r="710" customFormat="false" ht="15" hidden="false" customHeight="false" outlineLevel="0" collapsed="false">
      <c r="A710" s="11" t="s">
        <v>2810</v>
      </c>
      <c r="B710" s="38" t="n">
        <v>46029</v>
      </c>
      <c r="C710" s="11" t="s">
        <v>1496</v>
      </c>
      <c r="D710" s="11" t="s">
        <v>1497</v>
      </c>
      <c r="E710" s="11" t="s">
        <v>335</v>
      </c>
      <c r="F710" s="11" t="s">
        <v>2811</v>
      </c>
      <c r="G710" s="37" t="n">
        <v>13452</v>
      </c>
      <c r="H710" s="37" t="n">
        <v>407608.06</v>
      </c>
    </row>
    <row r="711" customFormat="false" ht="15" hidden="false" customHeight="false" outlineLevel="0" collapsed="false">
      <c r="A711" s="11" t="s">
        <v>2812</v>
      </c>
      <c r="B711" s="38" t="n">
        <v>46030</v>
      </c>
      <c r="C711" s="11" t="s">
        <v>1500</v>
      </c>
      <c r="D711" s="11" t="s">
        <v>480</v>
      </c>
      <c r="E711" s="11" t="s">
        <v>481</v>
      </c>
      <c r="F711" s="11"/>
      <c r="G711" s="37" t="n">
        <v>-14160</v>
      </c>
      <c r="H711" s="37" t="n">
        <v>393448.06</v>
      </c>
    </row>
    <row r="712" customFormat="false" ht="15" hidden="false" customHeight="false" outlineLevel="0" collapsed="false">
      <c r="A712" s="11" t="s">
        <v>2813</v>
      </c>
      <c r="B712" s="38" t="n">
        <v>46030</v>
      </c>
      <c r="C712" s="11" t="s">
        <v>1500</v>
      </c>
      <c r="D712" s="11" t="s">
        <v>307</v>
      </c>
      <c r="E712" s="11" t="s">
        <v>313</v>
      </c>
      <c r="F712" s="11" t="s">
        <v>2814</v>
      </c>
      <c r="G712" s="37" t="n">
        <v>-4517.23</v>
      </c>
      <c r="H712" s="37" t="n">
        <v>388930.83</v>
      </c>
    </row>
    <row r="713" customFormat="false" ht="15" hidden="false" customHeight="false" outlineLevel="0" collapsed="false">
      <c r="A713" s="11" t="s">
        <v>2815</v>
      </c>
      <c r="B713" s="38" t="n">
        <v>46030</v>
      </c>
      <c r="C713" s="11" t="s">
        <v>1496</v>
      </c>
      <c r="D713" s="11" t="s">
        <v>1497</v>
      </c>
      <c r="E713" s="11" t="s">
        <v>327</v>
      </c>
      <c r="F713" s="11" t="s">
        <v>2816</v>
      </c>
      <c r="G713" s="37" t="n">
        <v>25944</v>
      </c>
      <c r="H713" s="37" t="n">
        <v>414874.83</v>
      </c>
    </row>
    <row r="714" customFormat="false" ht="15" hidden="false" customHeight="false" outlineLevel="0" collapsed="false">
      <c r="A714" s="11" t="s">
        <v>2817</v>
      </c>
      <c r="B714" s="38" t="n">
        <v>46030</v>
      </c>
      <c r="C714" s="11" t="s">
        <v>1500</v>
      </c>
      <c r="D714" s="11" t="s">
        <v>307</v>
      </c>
      <c r="E714" s="11" t="s">
        <v>464</v>
      </c>
      <c r="F714" s="11" t="s">
        <v>2818</v>
      </c>
      <c r="G714" s="37" t="n">
        <v>-11347.39</v>
      </c>
      <c r="H714" s="37" t="n">
        <v>403527.44</v>
      </c>
    </row>
    <row r="715" customFormat="false" ht="15" hidden="false" customHeight="false" outlineLevel="0" collapsed="false">
      <c r="A715" s="11" t="s">
        <v>2819</v>
      </c>
      <c r="B715" s="38" t="n">
        <v>46030</v>
      </c>
      <c r="C715" s="11" t="s">
        <v>1500</v>
      </c>
      <c r="D715" s="11" t="s">
        <v>307</v>
      </c>
      <c r="E715" s="11" t="s">
        <v>458</v>
      </c>
      <c r="F715" s="11" t="s">
        <v>2820</v>
      </c>
      <c r="G715" s="37" t="n">
        <v>-28082</v>
      </c>
      <c r="H715" s="37" t="n">
        <v>375445.44</v>
      </c>
    </row>
    <row r="716" customFormat="false" ht="15" hidden="false" customHeight="false" outlineLevel="0" collapsed="false">
      <c r="A716" s="11" t="s">
        <v>2821</v>
      </c>
      <c r="B716" s="38" t="n">
        <v>46031</v>
      </c>
      <c r="C716" s="11" t="s">
        <v>1496</v>
      </c>
      <c r="D716" s="11" t="s">
        <v>1497</v>
      </c>
      <c r="E716" s="11" t="s">
        <v>335</v>
      </c>
      <c r="F716" s="11" t="s">
        <v>2822</v>
      </c>
      <c r="G716" s="37" t="n">
        <v>4656</v>
      </c>
      <c r="H716" s="37" t="n">
        <v>380101.44</v>
      </c>
    </row>
    <row r="717" customFormat="false" ht="15" hidden="false" customHeight="false" outlineLevel="0" collapsed="false">
      <c r="A717" s="11" t="s">
        <v>2823</v>
      </c>
      <c r="B717" s="38" t="n">
        <v>46034</v>
      </c>
      <c r="C717" s="11" t="s">
        <v>1496</v>
      </c>
      <c r="D717" s="11" t="s">
        <v>1497</v>
      </c>
      <c r="E717" s="11" t="s">
        <v>280</v>
      </c>
      <c r="F717" s="11" t="s">
        <v>2824</v>
      </c>
      <c r="G717" s="37" t="n">
        <v>6480</v>
      </c>
      <c r="H717" s="37" t="n">
        <v>386581.44</v>
      </c>
    </row>
    <row r="718" customFormat="false" ht="15" hidden="false" customHeight="false" outlineLevel="0" collapsed="false">
      <c r="A718" s="11" t="s">
        <v>2825</v>
      </c>
      <c r="B718" s="38" t="n">
        <v>46034</v>
      </c>
      <c r="C718" s="11" t="s">
        <v>1496</v>
      </c>
      <c r="D718" s="11" t="s">
        <v>1497</v>
      </c>
      <c r="E718" s="11" t="s">
        <v>280</v>
      </c>
      <c r="F718" s="11" t="s">
        <v>2826</v>
      </c>
      <c r="G718" s="37" t="n">
        <v>7344</v>
      </c>
      <c r="H718" s="37" t="n">
        <v>393925.44</v>
      </c>
    </row>
    <row r="719" customFormat="false" ht="15" hidden="false" customHeight="false" outlineLevel="0" collapsed="false">
      <c r="A719" s="11" t="s">
        <v>2827</v>
      </c>
      <c r="B719" s="38" t="n">
        <v>46034</v>
      </c>
      <c r="C719" s="11" t="s">
        <v>1496</v>
      </c>
      <c r="D719" s="11" t="s">
        <v>1497</v>
      </c>
      <c r="E719" s="11" t="s">
        <v>280</v>
      </c>
      <c r="F719" s="11" t="s">
        <v>2828</v>
      </c>
      <c r="G719" s="37" t="n">
        <v>11976</v>
      </c>
      <c r="H719" s="37" t="n">
        <v>405901.44</v>
      </c>
    </row>
    <row r="720" customFormat="false" ht="15" hidden="false" customHeight="false" outlineLevel="0" collapsed="false">
      <c r="A720" s="11" t="s">
        <v>2829</v>
      </c>
      <c r="B720" s="38" t="n">
        <v>46034</v>
      </c>
      <c r="C720" s="11" t="s">
        <v>1496</v>
      </c>
      <c r="D720" s="11" t="s">
        <v>1497</v>
      </c>
      <c r="E720" s="11" t="s">
        <v>287</v>
      </c>
      <c r="F720" s="11" t="s">
        <v>2830</v>
      </c>
      <c r="G720" s="37" t="n">
        <v>3072</v>
      </c>
      <c r="H720" s="37" t="n">
        <v>408973.44</v>
      </c>
    </row>
    <row r="721" customFormat="false" ht="15" hidden="false" customHeight="false" outlineLevel="0" collapsed="false">
      <c r="A721" s="11" t="s">
        <v>2831</v>
      </c>
      <c r="B721" s="38" t="n">
        <v>46034</v>
      </c>
      <c r="C721" s="11" t="s">
        <v>1496</v>
      </c>
      <c r="D721" s="11" t="s">
        <v>1497</v>
      </c>
      <c r="E721" s="11" t="s">
        <v>280</v>
      </c>
      <c r="F721" s="11" t="s">
        <v>2832</v>
      </c>
      <c r="G721" s="37" t="n">
        <v>6864</v>
      </c>
      <c r="H721" s="37" t="n">
        <v>415837.44</v>
      </c>
    </row>
    <row r="722" customFormat="false" ht="15" hidden="false" customHeight="false" outlineLevel="0" collapsed="false">
      <c r="A722" s="11" t="s">
        <v>2833</v>
      </c>
      <c r="B722" s="38" t="n">
        <v>46034</v>
      </c>
      <c r="C722" s="11" t="s">
        <v>1500</v>
      </c>
      <c r="D722" s="11" t="s">
        <v>272</v>
      </c>
      <c r="E722" s="11" t="s">
        <v>273</v>
      </c>
      <c r="F722" s="11"/>
      <c r="G722" s="37" t="n">
        <v>-3840</v>
      </c>
      <c r="H722" s="37" t="n">
        <v>411997.44</v>
      </c>
    </row>
    <row r="723" customFormat="false" ht="15" hidden="false" customHeight="false" outlineLevel="0" collapsed="false">
      <c r="A723" s="11" t="s">
        <v>2834</v>
      </c>
      <c r="B723" s="38" t="n">
        <v>46034</v>
      </c>
      <c r="C723" s="11" t="s">
        <v>1496</v>
      </c>
      <c r="D723" s="11" t="s">
        <v>1497</v>
      </c>
      <c r="E723" s="11" t="s">
        <v>349</v>
      </c>
      <c r="F723" s="11" t="s">
        <v>2835</v>
      </c>
      <c r="G723" s="37" t="n">
        <v>18372</v>
      </c>
      <c r="H723" s="37" t="n">
        <v>430369.44</v>
      </c>
    </row>
    <row r="724" customFormat="false" ht="15" hidden="false" customHeight="false" outlineLevel="0" collapsed="false">
      <c r="A724" s="11" t="s">
        <v>2836</v>
      </c>
      <c r="B724" s="38" t="n">
        <v>46034</v>
      </c>
      <c r="C724" s="11" t="s">
        <v>1496</v>
      </c>
      <c r="D724" s="11" t="s">
        <v>1497</v>
      </c>
      <c r="E724" s="11" t="s">
        <v>392</v>
      </c>
      <c r="F724" s="11" t="s">
        <v>2837</v>
      </c>
      <c r="G724" s="37" t="n">
        <v>10212</v>
      </c>
      <c r="H724" s="37" t="n">
        <v>440581.44</v>
      </c>
    </row>
    <row r="725" customFormat="false" ht="15" hidden="false" customHeight="false" outlineLevel="0" collapsed="false">
      <c r="A725" s="11" t="s">
        <v>2838</v>
      </c>
      <c r="B725" s="38" t="n">
        <v>46035</v>
      </c>
      <c r="C725" s="11" t="s">
        <v>1496</v>
      </c>
      <c r="D725" s="11" t="s">
        <v>1497</v>
      </c>
      <c r="E725" s="11" t="s">
        <v>399</v>
      </c>
      <c r="F725" s="11" t="s">
        <v>2839</v>
      </c>
      <c r="G725" s="37" t="n">
        <v>14736</v>
      </c>
      <c r="H725" s="37" t="n">
        <v>455317.44</v>
      </c>
    </row>
    <row r="726" customFormat="false" ht="15" hidden="false" customHeight="false" outlineLevel="0" collapsed="false">
      <c r="A726" s="11" t="s">
        <v>2840</v>
      </c>
      <c r="B726" s="38" t="n">
        <v>46035</v>
      </c>
      <c r="C726" s="11" t="s">
        <v>1496</v>
      </c>
      <c r="D726" s="11" t="s">
        <v>1497</v>
      </c>
      <c r="E726" s="11" t="s">
        <v>323</v>
      </c>
      <c r="F726" s="11" t="s">
        <v>2841</v>
      </c>
      <c r="G726" s="37" t="n">
        <v>4200</v>
      </c>
      <c r="H726" s="37" t="n">
        <v>459517.44</v>
      </c>
    </row>
    <row r="727" customFormat="false" ht="15" hidden="false" customHeight="false" outlineLevel="0" collapsed="false">
      <c r="A727" s="11" t="s">
        <v>2842</v>
      </c>
      <c r="B727" s="38" t="n">
        <v>46035</v>
      </c>
      <c r="C727" s="11" t="s">
        <v>1496</v>
      </c>
      <c r="D727" s="11" t="s">
        <v>1497</v>
      </c>
      <c r="E727" s="11" t="s">
        <v>331</v>
      </c>
      <c r="F727" s="11" t="s">
        <v>2843</v>
      </c>
      <c r="G727" s="37" t="n">
        <v>4944</v>
      </c>
      <c r="H727" s="37" t="n">
        <v>464461.44</v>
      </c>
    </row>
    <row r="728" customFormat="false" ht="15" hidden="false" customHeight="false" outlineLevel="0" collapsed="false">
      <c r="A728" s="11" t="s">
        <v>2844</v>
      </c>
      <c r="B728" s="38" t="n">
        <v>46036</v>
      </c>
      <c r="C728" s="11" t="s">
        <v>1496</v>
      </c>
      <c r="D728" s="11" t="s">
        <v>1497</v>
      </c>
      <c r="E728" s="11" t="s">
        <v>392</v>
      </c>
      <c r="F728" s="11" t="s">
        <v>2845</v>
      </c>
      <c r="G728" s="37" t="n">
        <v>12888</v>
      </c>
      <c r="H728" s="37" t="n">
        <v>477349.44</v>
      </c>
    </row>
    <row r="729" customFormat="false" ht="15" hidden="false" customHeight="false" outlineLevel="0" collapsed="false">
      <c r="A729" s="11" t="s">
        <v>2846</v>
      </c>
      <c r="B729" s="38" t="n">
        <v>46036</v>
      </c>
      <c r="C729" s="11" t="s">
        <v>1496</v>
      </c>
      <c r="D729" s="11" t="s">
        <v>1497</v>
      </c>
      <c r="E729" s="11" t="s">
        <v>327</v>
      </c>
      <c r="F729" s="11" t="s">
        <v>2847</v>
      </c>
      <c r="G729" s="37" t="n">
        <v>28644</v>
      </c>
      <c r="H729" s="37" t="n">
        <v>505993.44</v>
      </c>
    </row>
    <row r="730" customFormat="false" ht="15" hidden="false" customHeight="false" outlineLevel="0" collapsed="false">
      <c r="A730" s="11" t="s">
        <v>2848</v>
      </c>
      <c r="B730" s="38" t="n">
        <v>46036</v>
      </c>
      <c r="C730" s="11" t="s">
        <v>1500</v>
      </c>
      <c r="D730" s="11" t="s">
        <v>291</v>
      </c>
      <c r="E730" s="11" t="s">
        <v>292</v>
      </c>
      <c r="F730" s="11"/>
      <c r="G730" s="37" t="n">
        <v>-4390.09</v>
      </c>
      <c r="H730" s="37" t="n">
        <v>501603.35</v>
      </c>
    </row>
    <row r="731" customFormat="false" ht="15" hidden="false" customHeight="false" outlineLevel="0" collapsed="false">
      <c r="A731" s="11" t="s">
        <v>2849</v>
      </c>
      <c r="B731" s="38" t="n">
        <v>46037</v>
      </c>
      <c r="C731" s="11" t="s">
        <v>1500</v>
      </c>
      <c r="D731" s="11" t="s">
        <v>307</v>
      </c>
      <c r="E731" s="11" t="s">
        <v>308</v>
      </c>
      <c r="F731" s="11" t="s">
        <v>2850</v>
      </c>
      <c r="G731" s="37" t="n">
        <v>-31197.97</v>
      </c>
      <c r="H731" s="37" t="n">
        <v>470405.38</v>
      </c>
    </row>
    <row r="732" customFormat="false" ht="15" hidden="false" customHeight="false" outlineLevel="0" collapsed="false">
      <c r="A732" s="11" t="s">
        <v>2851</v>
      </c>
      <c r="B732" s="38" t="n">
        <v>46037</v>
      </c>
      <c r="C732" s="11" t="s">
        <v>1496</v>
      </c>
      <c r="D732" s="11" t="s">
        <v>1497</v>
      </c>
      <c r="E732" s="11" t="s">
        <v>327</v>
      </c>
      <c r="F732" s="11" t="s">
        <v>2852</v>
      </c>
      <c r="G732" s="37" t="n">
        <v>14544</v>
      </c>
      <c r="H732" s="37" t="n">
        <v>484949.38</v>
      </c>
    </row>
    <row r="733" customFormat="false" ht="15" hidden="false" customHeight="false" outlineLevel="0" collapsed="false">
      <c r="A733" s="11" t="s">
        <v>2853</v>
      </c>
      <c r="B733" s="38" t="n">
        <v>46037</v>
      </c>
      <c r="C733" s="11" t="s">
        <v>1500</v>
      </c>
      <c r="D733" s="11" t="s">
        <v>307</v>
      </c>
      <c r="E733" s="11" t="s">
        <v>313</v>
      </c>
      <c r="F733" s="11" t="s">
        <v>2854</v>
      </c>
      <c r="G733" s="37" t="n">
        <v>-4244.45</v>
      </c>
      <c r="H733" s="37" t="n">
        <v>480704.93</v>
      </c>
    </row>
    <row r="734" customFormat="false" ht="15" hidden="false" customHeight="false" outlineLevel="0" collapsed="false">
      <c r="A734" s="11" t="s">
        <v>2855</v>
      </c>
      <c r="B734" s="38" t="n">
        <v>46037</v>
      </c>
      <c r="C734" s="11" t="s">
        <v>1496</v>
      </c>
      <c r="D734" s="11" t="s">
        <v>1497</v>
      </c>
      <c r="E734" s="11" t="s">
        <v>331</v>
      </c>
      <c r="F734" s="11" t="s">
        <v>2856</v>
      </c>
      <c r="G734" s="37" t="n">
        <v>8496</v>
      </c>
      <c r="H734" s="37" t="n">
        <v>489200.93</v>
      </c>
    </row>
    <row r="735" customFormat="false" ht="15" hidden="false" customHeight="false" outlineLevel="0" collapsed="false">
      <c r="A735" s="11" t="s">
        <v>2857</v>
      </c>
      <c r="B735" s="38" t="n">
        <v>46037</v>
      </c>
      <c r="C735" s="11" t="s">
        <v>1496</v>
      </c>
      <c r="D735" s="11" t="s">
        <v>1497</v>
      </c>
      <c r="E735" s="11" t="s">
        <v>335</v>
      </c>
      <c r="F735" s="11" t="s">
        <v>2858</v>
      </c>
      <c r="G735" s="37" t="n">
        <v>6552</v>
      </c>
      <c r="H735" s="37" t="n">
        <v>495752.93</v>
      </c>
    </row>
    <row r="736" customFormat="false" ht="15" hidden="false" customHeight="false" outlineLevel="0" collapsed="false">
      <c r="A736" s="11" t="s">
        <v>2859</v>
      </c>
      <c r="B736" s="38" t="n">
        <v>46037</v>
      </c>
      <c r="C736" s="11" t="s">
        <v>1496</v>
      </c>
      <c r="D736" s="11" t="s">
        <v>1497</v>
      </c>
      <c r="E736" s="11" t="s">
        <v>298</v>
      </c>
      <c r="F736" s="11" t="s">
        <v>2860</v>
      </c>
      <c r="G736" s="37" t="n">
        <v>8400</v>
      </c>
      <c r="H736" s="37" t="n">
        <v>504152.93</v>
      </c>
    </row>
    <row r="737" customFormat="false" ht="15" hidden="false" customHeight="false" outlineLevel="0" collapsed="false">
      <c r="A737" s="11" t="s">
        <v>2861</v>
      </c>
      <c r="B737" s="38" t="n">
        <v>46037</v>
      </c>
      <c r="C737" s="11" t="s">
        <v>1500</v>
      </c>
      <c r="D737" s="11" t="s">
        <v>317</v>
      </c>
      <c r="E737" s="11" t="s">
        <v>318</v>
      </c>
      <c r="F737" s="11"/>
      <c r="G737" s="37" t="n">
        <v>-134000</v>
      </c>
      <c r="H737" s="37" t="n">
        <v>370152.93</v>
      </c>
    </row>
    <row r="738" customFormat="false" ht="15" hidden="false" customHeight="false" outlineLevel="0" collapsed="false">
      <c r="A738" s="11" t="s">
        <v>2862</v>
      </c>
      <c r="B738" s="38" t="n">
        <v>46038</v>
      </c>
      <c r="C738" s="11" t="s">
        <v>1496</v>
      </c>
      <c r="D738" s="11" t="s">
        <v>1497</v>
      </c>
      <c r="E738" s="11" t="s">
        <v>335</v>
      </c>
      <c r="F738" s="11" t="s">
        <v>2863</v>
      </c>
      <c r="G738" s="37" t="n">
        <v>6456</v>
      </c>
      <c r="H738" s="37" t="n">
        <v>376608.93</v>
      </c>
    </row>
    <row r="739" customFormat="false" ht="15" hidden="false" customHeight="false" outlineLevel="0" collapsed="false">
      <c r="A739" s="11" t="s">
        <v>2864</v>
      </c>
      <c r="B739" s="38" t="n">
        <v>46041</v>
      </c>
      <c r="C739" s="11" t="s">
        <v>1496</v>
      </c>
      <c r="D739" s="11" t="s">
        <v>1497</v>
      </c>
      <c r="E739" s="11" t="s">
        <v>280</v>
      </c>
      <c r="F739" s="11" t="s">
        <v>2865</v>
      </c>
      <c r="G739" s="37" t="n">
        <v>12036</v>
      </c>
      <c r="H739" s="37" t="n">
        <v>388644.93</v>
      </c>
    </row>
    <row r="740" customFormat="false" ht="15" hidden="false" customHeight="false" outlineLevel="0" collapsed="false">
      <c r="A740" s="11" t="s">
        <v>2866</v>
      </c>
      <c r="B740" s="38" t="n">
        <v>46041</v>
      </c>
      <c r="C740" s="11" t="s">
        <v>1496</v>
      </c>
      <c r="D740" s="11" t="s">
        <v>1497</v>
      </c>
      <c r="E740" s="11" t="s">
        <v>331</v>
      </c>
      <c r="F740" s="11" t="s">
        <v>2867</v>
      </c>
      <c r="G740" s="37" t="n">
        <v>14460</v>
      </c>
      <c r="H740" s="37" t="n">
        <v>403104.93</v>
      </c>
    </row>
    <row r="741" customFormat="false" ht="15" hidden="false" customHeight="false" outlineLevel="0" collapsed="false">
      <c r="A741" s="11" t="s">
        <v>2868</v>
      </c>
      <c r="B741" s="38" t="n">
        <v>46041</v>
      </c>
      <c r="C741" s="11" t="s">
        <v>1496</v>
      </c>
      <c r="D741" s="11" t="s">
        <v>1497</v>
      </c>
      <c r="E741" s="11" t="s">
        <v>280</v>
      </c>
      <c r="F741" s="11" t="s">
        <v>2869</v>
      </c>
      <c r="G741" s="37" t="n">
        <v>13500</v>
      </c>
      <c r="H741" s="37" t="n">
        <v>416604.93</v>
      </c>
    </row>
    <row r="742" customFormat="false" ht="15" hidden="false" customHeight="false" outlineLevel="0" collapsed="false">
      <c r="A742" s="11" t="s">
        <v>2870</v>
      </c>
      <c r="B742" s="38" t="n">
        <v>46041</v>
      </c>
      <c r="C742" s="11" t="s">
        <v>1496</v>
      </c>
      <c r="D742" s="11" t="s">
        <v>1497</v>
      </c>
      <c r="E742" s="11" t="s">
        <v>287</v>
      </c>
      <c r="F742" s="11" t="s">
        <v>2871</v>
      </c>
      <c r="G742" s="37" t="n">
        <v>6576</v>
      </c>
      <c r="H742" s="37" t="n">
        <v>423180.93</v>
      </c>
    </row>
    <row r="743" customFormat="false" ht="15" hidden="false" customHeight="false" outlineLevel="0" collapsed="false">
      <c r="A743" s="11" t="s">
        <v>2872</v>
      </c>
      <c r="B743" s="38" t="n">
        <v>46041</v>
      </c>
      <c r="C743" s="11" t="s">
        <v>1496</v>
      </c>
      <c r="D743" s="11" t="s">
        <v>1497</v>
      </c>
      <c r="E743" s="11" t="s">
        <v>280</v>
      </c>
      <c r="F743" s="11" t="s">
        <v>2873</v>
      </c>
      <c r="G743" s="37" t="n">
        <v>9048</v>
      </c>
      <c r="H743" s="37" t="n">
        <v>432228.93</v>
      </c>
    </row>
    <row r="744" customFormat="false" ht="15" hidden="false" customHeight="false" outlineLevel="0" collapsed="false">
      <c r="A744" s="11" t="s">
        <v>2874</v>
      </c>
      <c r="B744" s="38" t="n">
        <v>46041</v>
      </c>
      <c r="C744" s="11" t="s">
        <v>1496</v>
      </c>
      <c r="D744" s="11" t="s">
        <v>1497</v>
      </c>
      <c r="E744" s="11" t="s">
        <v>298</v>
      </c>
      <c r="F744" s="11" t="s">
        <v>2875</v>
      </c>
      <c r="G744" s="37" t="n">
        <v>8650</v>
      </c>
      <c r="H744" s="37" t="n">
        <v>440878.93</v>
      </c>
    </row>
    <row r="745" customFormat="false" ht="15" hidden="false" customHeight="false" outlineLevel="0" collapsed="false">
      <c r="A745" s="11" t="s">
        <v>2876</v>
      </c>
      <c r="B745" s="38" t="n">
        <v>46042</v>
      </c>
      <c r="C745" s="11" t="s">
        <v>1496</v>
      </c>
      <c r="D745" s="11" t="s">
        <v>1497</v>
      </c>
      <c r="E745" s="11" t="s">
        <v>335</v>
      </c>
      <c r="F745" s="11" t="s">
        <v>2877</v>
      </c>
      <c r="G745" s="37" t="n">
        <v>2724</v>
      </c>
      <c r="H745" s="37" t="n">
        <v>443602.93</v>
      </c>
    </row>
    <row r="746" customFormat="false" ht="15" hidden="false" customHeight="false" outlineLevel="0" collapsed="false">
      <c r="A746" s="11" t="s">
        <v>2878</v>
      </c>
      <c r="B746" s="38" t="n">
        <v>46042</v>
      </c>
      <c r="C746" s="11" t="s">
        <v>1496</v>
      </c>
      <c r="D746" s="11" t="s">
        <v>1497</v>
      </c>
      <c r="E746" s="11" t="s">
        <v>287</v>
      </c>
      <c r="F746" s="11" t="s">
        <v>2879</v>
      </c>
      <c r="G746" s="37" t="n">
        <v>4380</v>
      </c>
      <c r="H746" s="37" t="n">
        <v>447982.93</v>
      </c>
    </row>
    <row r="747" customFormat="false" ht="15" hidden="false" customHeight="false" outlineLevel="0" collapsed="false">
      <c r="A747" s="11" t="s">
        <v>2880</v>
      </c>
      <c r="B747" s="38" t="n">
        <v>46043</v>
      </c>
      <c r="C747" s="11" t="s">
        <v>1500</v>
      </c>
      <c r="D747" s="11" t="s">
        <v>291</v>
      </c>
      <c r="E747" s="11" t="s">
        <v>292</v>
      </c>
      <c r="F747" s="11"/>
      <c r="G747" s="37" t="n">
        <v>-4533.02</v>
      </c>
      <c r="H747" s="37" t="n">
        <v>443449.91</v>
      </c>
    </row>
    <row r="748" customFormat="false" ht="15" hidden="false" customHeight="false" outlineLevel="0" collapsed="false">
      <c r="A748" s="11" t="s">
        <v>2881</v>
      </c>
      <c r="B748" s="38" t="n">
        <v>46043</v>
      </c>
      <c r="C748" s="11" t="s">
        <v>1496</v>
      </c>
      <c r="D748" s="11" t="s">
        <v>1497</v>
      </c>
      <c r="E748" s="11" t="s">
        <v>323</v>
      </c>
      <c r="F748" s="11" t="s">
        <v>2882</v>
      </c>
      <c r="G748" s="37" t="n">
        <v>2532</v>
      </c>
      <c r="H748" s="37" t="n">
        <v>445981.91</v>
      </c>
    </row>
    <row r="749" customFormat="false" ht="15" hidden="false" customHeight="false" outlineLevel="0" collapsed="false">
      <c r="A749" s="11" t="s">
        <v>2883</v>
      </c>
      <c r="B749" s="38" t="n">
        <v>46044</v>
      </c>
      <c r="C749" s="11" t="s">
        <v>1496</v>
      </c>
      <c r="D749" s="11" t="s">
        <v>1497</v>
      </c>
      <c r="E749" s="11" t="s">
        <v>327</v>
      </c>
      <c r="F749" s="11" t="s">
        <v>2884</v>
      </c>
      <c r="G749" s="37" t="n">
        <v>11736</v>
      </c>
      <c r="H749" s="37" t="n">
        <v>457717.91</v>
      </c>
    </row>
    <row r="750" customFormat="false" ht="15" hidden="false" customHeight="false" outlineLevel="0" collapsed="false">
      <c r="A750" s="11" t="s">
        <v>2885</v>
      </c>
      <c r="B750" s="38" t="n">
        <v>46044</v>
      </c>
      <c r="C750" s="11" t="s">
        <v>1500</v>
      </c>
      <c r="D750" s="11" t="s">
        <v>307</v>
      </c>
      <c r="E750" s="11" t="s">
        <v>313</v>
      </c>
      <c r="F750" s="11" t="s">
        <v>2886</v>
      </c>
      <c r="G750" s="37" t="n">
        <v>-4312.64</v>
      </c>
      <c r="H750" s="37" t="n">
        <v>453405.27</v>
      </c>
    </row>
    <row r="751" customFormat="false" ht="15" hidden="false" customHeight="false" outlineLevel="0" collapsed="false">
      <c r="A751" s="11" t="s">
        <v>2887</v>
      </c>
      <c r="B751" s="38" t="n">
        <v>46044</v>
      </c>
      <c r="C751" s="11" t="s">
        <v>1496</v>
      </c>
      <c r="D751" s="11" t="s">
        <v>1497</v>
      </c>
      <c r="E751" s="11" t="s">
        <v>280</v>
      </c>
      <c r="F751" s="11" t="s">
        <v>2888</v>
      </c>
      <c r="G751" s="37" t="n">
        <v>8712</v>
      </c>
      <c r="H751" s="37" t="n">
        <v>462117.27</v>
      </c>
    </row>
    <row r="752" customFormat="false" ht="15" hidden="false" customHeight="false" outlineLevel="0" collapsed="false">
      <c r="A752" s="11" t="s">
        <v>2889</v>
      </c>
      <c r="B752" s="38" t="n">
        <v>46044</v>
      </c>
      <c r="C752" s="11" t="s">
        <v>1496</v>
      </c>
      <c r="D752" s="11" t="s">
        <v>1497</v>
      </c>
      <c r="E752" s="11" t="s">
        <v>280</v>
      </c>
      <c r="F752" s="11" t="s">
        <v>2890</v>
      </c>
      <c r="G752" s="37" t="n">
        <v>12096</v>
      </c>
      <c r="H752" s="37" t="n">
        <v>474213.27</v>
      </c>
    </row>
    <row r="753" customFormat="false" ht="15" hidden="false" customHeight="false" outlineLevel="0" collapsed="false">
      <c r="A753" s="11" t="s">
        <v>2891</v>
      </c>
      <c r="B753" s="38" t="n">
        <v>46048</v>
      </c>
      <c r="C753" s="11" t="s">
        <v>1500</v>
      </c>
      <c r="D753" s="11" t="s">
        <v>383</v>
      </c>
      <c r="E753" s="11" t="s">
        <v>384</v>
      </c>
      <c r="F753" s="11" t="s">
        <v>2892</v>
      </c>
      <c r="G753" s="37" t="n">
        <v>-58429.76</v>
      </c>
      <c r="H753" s="37" t="n">
        <v>415783.51</v>
      </c>
    </row>
    <row r="754" customFormat="false" ht="15" hidden="false" customHeight="false" outlineLevel="0" collapsed="false">
      <c r="A754" s="11" t="s">
        <v>2893</v>
      </c>
      <c r="B754" s="38" t="n">
        <v>46048</v>
      </c>
      <c r="C754" s="11" t="s">
        <v>1496</v>
      </c>
      <c r="D754" s="11" t="s">
        <v>1497</v>
      </c>
      <c r="E754" s="11" t="s">
        <v>331</v>
      </c>
      <c r="F754" s="11" t="s">
        <v>2894</v>
      </c>
      <c r="G754" s="37" t="n">
        <v>14820</v>
      </c>
      <c r="H754" s="37" t="n">
        <v>430603.51</v>
      </c>
    </row>
    <row r="755" customFormat="false" ht="15" hidden="false" customHeight="false" outlineLevel="0" collapsed="false">
      <c r="A755" s="11" t="s">
        <v>2895</v>
      </c>
      <c r="B755" s="38" t="n">
        <v>46048</v>
      </c>
      <c r="C755" s="11" t="s">
        <v>1496</v>
      </c>
      <c r="D755" s="11" t="s">
        <v>1497</v>
      </c>
      <c r="E755" s="11" t="s">
        <v>335</v>
      </c>
      <c r="F755" s="11" t="s">
        <v>2896</v>
      </c>
      <c r="G755" s="37" t="n">
        <v>8388</v>
      </c>
      <c r="H755" s="37" t="n">
        <v>438991.51</v>
      </c>
    </row>
    <row r="756" customFormat="false" ht="15" hidden="false" customHeight="false" outlineLevel="0" collapsed="false">
      <c r="A756" s="11" t="s">
        <v>2897</v>
      </c>
      <c r="B756" s="38" t="n">
        <v>46048</v>
      </c>
      <c r="C756" s="11" t="s">
        <v>1496</v>
      </c>
      <c r="D756" s="11" t="s">
        <v>1497</v>
      </c>
      <c r="E756" s="11" t="s">
        <v>331</v>
      </c>
      <c r="F756" s="11" t="s">
        <v>2898</v>
      </c>
      <c r="G756" s="37" t="n">
        <v>13932</v>
      </c>
      <c r="H756" s="37" t="n">
        <v>452923.51</v>
      </c>
    </row>
    <row r="757" customFormat="false" ht="15" hidden="false" customHeight="false" outlineLevel="0" collapsed="false">
      <c r="A757" s="11" t="s">
        <v>2899</v>
      </c>
      <c r="B757" s="38" t="n">
        <v>46048</v>
      </c>
      <c r="C757" s="11" t="s">
        <v>1496</v>
      </c>
      <c r="D757" s="11" t="s">
        <v>1497</v>
      </c>
      <c r="E757" s="11" t="s">
        <v>349</v>
      </c>
      <c r="F757" s="11" t="s">
        <v>2900</v>
      </c>
      <c r="G757" s="37" t="n">
        <v>11580</v>
      </c>
      <c r="H757" s="37" t="n">
        <v>464503.51</v>
      </c>
    </row>
    <row r="758" customFormat="false" ht="15" hidden="false" customHeight="false" outlineLevel="0" collapsed="false">
      <c r="A758" s="11" t="s">
        <v>2901</v>
      </c>
      <c r="B758" s="38" t="n">
        <v>46048</v>
      </c>
      <c r="C758" s="11" t="s">
        <v>1496</v>
      </c>
      <c r="D758" s="11" t="s">
        <v>1497</v>
      </c>
      <c r="E758" s="11" t="s">
        <v>327</v>
      </c>
      <c r="F758" s="11" t="s">
        <v>2902</v>
      </c>
      <c r="G758" s="37" t="n">
        <v>7308</v>
      </c>
      <c r="H758" s="37" t="n">
        <v>471811.51</v>
      </c>
    </row>
    <row r="759" customFormat="false" ht="15" hidden="false" customHeight="false" outlineLevel="0" collapsed="false">
      <c r="A759" s="11" t="s">
        <v>2903</v>
      </c>
      <c r="B759" s="38" t="n">
        <v>46049</v>
      </c>
      <c r="C759" s="11" t="s">
        <v>1496</v>
      </c>
      <c r="D759" s="11" t="s">
        <v>1497</v>
      </c>
      <c r="E759" s="11" t="s">
        <v>349</v>
      </c>
      <c r="F759" s="11" t="s">
        <v>2904</v>
      </c>
      <c r="G759" s="37" t="n">
        <v>9936</v>
      </c>
      <c r="H759" s="37" t="n">
        <v>481747.51</v>
      </c>
    </row>
    <row r="760" customFormat="false" ht="15" hidden="false" customHeight="false" outlineLevel="0" collapsed="false">
      <c r="A760" s="11" t="s">
        <v>2905</v>
      </c>
      <c r="B760" s="38" t="n">
        <v>46050</v>
      </c>
      <c r="C760" s="11" t="s">
        <v>1500</v>
      </c>
      <c r="D760" s="11" t="s">
        <v>291</v>
      </c>
      <c r="E760" s="11" t="s">
        <v>292</v>
      </c>
      <c r="F760" s="11"/>
      <c r="G760" s="37" t="n">
        <v>-4745.11</v>
      </c>
      <c r="H760" s="37" t="n">
        <v>477002.4</v>
      </c>
    </row>
    <row r="761" customFormat="false" ht="15" hidden="false" customHeight="false" outlineLevel="0" collapsed="false">
      <c r="A761" s="11" t="s">
        <v>2906</v>
      </c>
      <c r="B761" s="38" t="n">
        <v>46051</v>
      </c>
      <c r="C761" s="11" t="s">
        <v>1500</v>
      </c>
      <c r="D761" s="11" t="s">
        <v>307</v>
      </c>
      <c r="E761" s="11" t="s">
        <v>414</v>
      </c>
      <c r="F761" s="11" t="s">
        <v>2907</v>
      </c>
      <c r="G761" s="37" t="n">
        <v>-17644.97</v>
      </c>
      <c r="H761" s="37" t="n">
        <v>459357.43</v>
      </c>
    </row>
    <row r="762" customFormat="false" ht="15" hidden="false" customHeight="false" outlineLevel="0" collapsed="false">
      <c r="A762" s="11" t="s">
        <v>2908</v>
      </c>
      <c r="B762" s="38" t="n">
        <v>46051</v>
      </c>
      <c r="C762" s="11" t="s">
        <v>1496</v>
      </c>
      <c r="D762" s="11" t="s">
        <v>1497</v>
      </c>
      <c r="E762" s="11" t="s">
        <v>331</v>
      </c>
      <c r="F762" s="11" t="s">
        <v>2909</v>
      </c>
      <c r="G762" s="37" t="n">
        <v>18108</v>
      </c>
      <c r="H762" s="37" t="n">
        <v>477465.43</v>
      </c>
    </row>
    <row r="763" customFormat="false" ht="15" hidden="false" customHeight="false" outlineLevel="0" collapsed="false">
      <c r="A763" s="11" t="s">
        <v>2910</v>
      </c>
      <c r="B763" s="38" t="n">
        <v>46051</v>
      </c>
      <c r="C763" s="11" t="s">
        <v>1500</v>
      </c>
      <c r="D763" s="11" t="s">
        <v>307</v>
      </c>
      <c r="E763" s="11" t="s">
        <v>308</v>
      </c>
      <c r="F763" s="11" t="s">
        <v>2911</v>
      </c>
      <c r="G763" s="37" t="n">
        <v>-30661.18</v>
      </c>
      <c r="H763" s="37" t="n">
        <v>446804.25</v>
      </c>
    </row>
    <row r="764" customFormat="false" ht="15" hidden="false" customHeight="false" outlineLevel="0" collapsed="false">
      <c r="A764" s="11" t="s">
        <v>2912</v>
      </c>
      <c r="B764" s="38" t="n">
        <v>46051</v>
      </c>
      <c r="C764" s="11" t="s">
        <v>1500</v>
      </c>
      <c r="D764" s="11" t="s">
        <v>307</v>
      </c>
      <c r="E764" s="11" t="s">
        <v>420</v>
      </c>
      <c r="F764" s="11" t="s">
        <v>2913</v>
      </c>
      <c r="G764" s="37" t="n">
        <v>-109260.3</v>
      </c>
      <c r="H764" s="37" t="n">
        <v>337543.95</v>
      </c>
    </row>
    <row r="765" customFormat="false" ht="15" hidden="false" customHeight="false" outlineLevel="0" collapsed="false">
      <c r="A765" s="11" t="s">
        <v>2914</v>
      </c>
      <c r="B765" s="38" t="n">
        <v>46051</v>
      </c>
      <c r="C765" s="11" t="s">
        <v>1496</v>
      </c>
      <c r="D765" s="11" t="s">
        <v>1497</v>
      </c>
      <c r="E765" s="11" t="s">
        <v>349</v>
      </c>
      <c r="F765" s="11" t="s">
        <v>2915</v>
      </c>
      <c r="G765" s="37" t="n">
        <v>18432</v>
      </c>
      <c r="H765" s="37" t="n">
        <v>355975.95</v>
      </c>
    </row>
    <row r="766" customFormat="false" ht="15" hidden="false" customHeight="false" outlineLevel="0" collapsed="false">
      <c r="A766" s="11" t="s">
        <v>2916</v>
      </c>
      <c r="B766" s="38" t="n">
        <v>46051</v>
      </c>
      <c r="C766" s="11" t="s">
        <v>1500</v>
      </c>
      <c r="D766" s="11" t="s">
        <v>307</v>
      </c>
      <c r="E766" s="11" t="s">
        <v>313</v>
      </c>
      <c r="F766" s="11" t="s">
        <v>2917</v>
      </c>
      <c r="G766" s="37" t="n">
        <v>-4817.96</v>
      </c>
      <c r="H766" s="37" t="n">
        <v>351157.99</v>
      </c>
    </row>
    <row r="767" customFormat="false" ht="15" hidden="false" customHeight="false" outlineLevel="0" collapsed="false">
      <c r="A767" s="11" t="s">
        <v>2918</v>
      </c>
      <c r="B767" s="38" t="n">
        <v>46052</v>
      </c>
      <c r="C767" s="11" t="s">
        <v>1500</v>
      </c>
      <c r="D767" s="11" t="s">
        <v>1634</v>
      </c>
      <c r="E767" s="11" t="s">
        <v>425</v>
      </c>
      <c r="F767" s="11"/>
      <c r="G767" s="37" t="n">
        <v>-106000</v>
      </c>
      <c r="H767" s="37" t="n">
        <v>245157.99</v>
      </c>
    </row>
    <row r="768" customFormat="false" ht="15" hidden="false" customHeight="false" outlineLevel="0" collapsed="false">
      <c r="A768" s="11" t="s">
        <v>2919</v>
      </c>
      <c r="B768" s="38" t="n">
        <v>46052</v>
      </c>
      <c r="C768" s="11" t="s">
        <v>1496</v>
      </c>
      <c r="D768" s="11" t="s">
        <v>1497</v>
      </c>
      <c r="E768" s="11" t="s">
        <v>349</v>
      </c>
      <c r="F768" s="11" t="s">
        <v>2920</v>
      </c>
      <c r="G768" s="37" t="n">
        <v>9924</v>
      </c>
      <c r="H768" s="37" t="n">
        <v>255081.99</v>
      </c>
    </row>
    <row r="769" customFormat="false" ht="15" hidden="false" customHeight="false" outlineLevel="0" collapsed="false">
      <c r="A769" s="11" t="s">
        <v>2921</v>
      </c>
      <c r="B769" s="38" t="n">
        <v>46055</v>
      </c>
      <c r="C769" s="11" t="s">
        <v>1496</v>
      </c>
      <c r="D769" s="11" t="s">
        <v>1497</v>
      </c>
      <c r="E769" s="11" t="s">
        <v>323</v>
      </c>
      <c r="F769" s="11" t="s">
        <v>2922</v>
      </c>
      <c r="G769" s="37" t="n">
        <v>11832</v>
      </c>
      <c r="H769" s="37" t="n">
        <v>266913.99</v>
      </c>
    </row>
    <row r="770" customFormat="false" ht="15" hidden="false" customHeight="false" outlineLevel="0" collapsed="false">
      <c r="A770" s="11" t="s">
        <v>2923</v>
      </c>
      <c r="B770" s="38" t="n">
        <v>46055</v>
      </c>
      <c r="C770" s="11" t="s">
        <v>1496</v>
      </c>
      <c r="D770" s="11" t="s">
        <v>1497</v>
      </c>
      <c r="E770" s="11" t="s">
        <v>298</v>
      </c>
      <c r="F770" s="11" t="s">
        <v>2924</v>
      </c>
      <c r="G770" s="37" t="n">
        <v>10640</v>
      </c>
      <c r="H770" s="37" t="n">
        <v>277553.99</v>
      </c>
    </row>
    <row r="771" customFormat="false" ht="15" hidden="false" customHeight="false" outlineLevel="0" collapsed="false">
      <c r="A771" s="11" t="s">
        <v>2925</v>
      </c>
      <c r="B771" s="38" t="n">
        <v>46055</v>
      </c>
      <c r="C771" s="11" t="s">
        <v>1496</v>
      </c>
      <c r="D771" s="11" t="s">
        <v>1497</v>
      </c>
      <c r="E771" s="11" t="s">
        <v>399</v>
      </c>
      <c r="F771" s="11" t="s">
        <v>2926</v>
      </c>
      <c r="G771" s="37" t="n">
        <v>20664</v>
      </c>
      <c r="H771" s="37" t="n">
        <v>298217.99</v>
      </c>
    </row>
    <row r="772" customFormat="false" ht="15" hidden="false" customHeight="false" outlineLevel="0" collapsed="false">
      <c r="A772" s="11" t="s">
        <v>2927</v>
      </c>
      <c r="B772" s="38" t="n">
        <v>46055</v>
      </c>
      <c r="C772" s="11" t="s">
        <v>1496</v>
      </c>
      <c r="D772" s="11" t="s">
        <v>1497</v>
      </c>
      <c r="E772" s="11" t="s">
        <v>349</v>
      </c>
      <c r="F772" s="11" t="s">
        <v>2928</v>
      </c>
      <c r="G772" s="37" t="n">
        <v>11472</v>
      </c>
      <c r="H772" s="37" t="n">
        <v>309689.99</v>
      </c>
    </row>
    <row r="773" customFormat="false" ht="15" hidden="false" customHeight="false" outlineLevel="0" collapsed="false">
      <c r="A773" s="11" t="s">
        <v>2929</v>
      </c>
      <c r="B773" s="38" t="n">
        <v>46055</v>
      </c>
      <c r="C773" s="11" t="s">
        <v>1496</v>
      </c>
      <c r="D773" s="11" t="s">
        <v>1497</v>
      </c>
      <c r="E773" s="11" t="s">
        <v>327</v>
      </c>
      <c r="F773" s="11" t="s">
        <v>2930</v>
      </c>
      <c r="G773" s="37" t="n">
        <v>29904</v>
      </c>
      <c r="H773" s="37" t="n">
        <v>339593.99</v>
      </c>
    </row>
    <row r="774" customFormat="false" ht="15" hidden="false" customHeight="false" outlineLevel="0" collapsed="false">
      <c r="A774" s="11" t="s">
        <v>2931</v>
      </c>
      <c r="B774" s="38" t="n">
        <v>46055</v>
      </c>
      <c r="C774" s="11" t="s">
        <v>1496</v>
      </c>
      <c r="D774" s="11" t="s">
        <v>1497</v>
      </c>
      <c r="E774" s="11" t="s">
        <v>327</v>
      </c>
      <c r="F774" s="11" t="s">
        <v>2932</v>
      </c>
      <c r="G774" s="37" t="n">
        <v>9720</v>
      </c>
      <c r="H774" s="37" t="n">
        <v>349313.99</v>
      </c>
    </row>
    <row r="775" customFormat="false" ht="15" hidden="false" customHeight="false" outlineLevel="0" collapsed="false">
      <c r="A775" s="11" t="s">
        <v>2933</v>
      </c>
      <c r="B775" s="38" t="n">
        <v>46055</v>
      </c>
      <c r="C775" s="11" t="s">
        <v>1496</v>
      </c>
      <c r="D775" s="11" t="s">
        <v>1497</v>
      </c>
      <c r="E775" s="11" t="s">
        <v>323</v>
      </c>
      <c r="F775" s="11" t="s">
        <v>2934</v>
      </c>
      <c r="G775" s="37" t="n">
        <v>6132</v>
      </c>
      <c r="H775" s="37" t="n">
        <v>355445.99</v>
      </c>
    </row>
    <row r="776" customFormat="false" ht="15" hidden="false" customHeight="false" outlineLevel="0" collapsed="false">
      <c r="A776" s="11" t="s">
        <v>2935</v>
      </c>
      <c r="B776" s="38" t="n">
        <v>46056</v>
      </c>
      <c r="C776" s="11" t="s">
        <v>1500</v>
      </c>
      <c r="D776" s="11" t="s">
        <v>448</v>
      </c>
      <c r="E776" s="11" t="s">
        <v>449</v>
      </c>
      <c r="F776" s="11"/>
      <c r="G776" s="37" t="n">
        <v>-2880</v>
      </c>
      <c r="H776" s="37" t="n">
        <v>352565.99</v>
      </c>
    </row>
    <row r="777" customFormat="false" ht="15" hidden="false" customHeight="false" outlineLevel="0" collapsed="false">
      <c r="A777" s="11" t="s">
        <v>2936</v>
      </c>
      <c r="B777" s="38" t="n">
        <v>46057</v>
      </c>
      <c r="C777" s="11" t="s">
        <v>1500</v>
      </c>
      <c r="D777" s="11" t="s">
        <v>291</v>
      </c>
      <c r="E777" s="11" t="s">
        <v>292</v>
      </c>
      <c r="F777" s="11"/>
      <c r="G777" s="37" t="n">
        <v>-5570.62</v>
      </c>
      <c r="H777" s="37" t="n">
        <v>346995.37</v>
      </c>
    </row>
    <row r="778" customFormat="false" ht="15" hidden="false" customHeight="false" outlineLevel="0" collapsed="false">
      <c r="A778" s="11" t="s">
        <v>2937</v>
      </c>
      <c r="B778" s="38" t="n">
        <v>46057</v>
      </c>
      <c r="C778" s="11" t="s">
        <v>1496</v>
      </c>
      <c r="D778" s="11" t="s">
        <v>1497</v>
      </c>
      <c r="E778" s="11" t="s">
        <v>323</v>
      </c>
      <c r="F778" s="11" t="s">
        <v>2938</v>
      </c>
      <c r="G778" s="37" t="n">
        <v>3636</v>
      </c>
      <c r="H778" s="37" t="n">
        <v>350631.37</v>
      </c>
    </row>
    <row r="779" customFormat="false" ht="15" hidden="false" customHeight="false" outlineLevel="0" collapsed="false">
      <c r="A779" s="11" t="s">
        <v>2939</v>
      </c>
      <c r="B779" s="38" t="n">
        <v>46058</v>
      </c>
      <c r="C779" s="11" t="s">
        <v>1500</v>
      </c>
      <c r="D779" s="11" t="s">
        <v>307</v>
      </c>
      <c r="E779" s="11" t="s">
        <v>464</v>
      </c>
      <c r="F779" s="11" t="s">
        <v>2940</v>
      </c>
      <c r="G779" s="37" t="n">
        <v>-11999.04</v>
      </c>
      <c r="H779" s="37" t="n">
        <v>338632.33</v>
      </c>
    </row>
    <row r="780" customFormat="false" ht="15" hidden="false" customHeight="false" outlineLevel="0" collapsed="false">
      <c r="A780" s="11" t="s">
        <v>2941</v>
      </c>
      <c r="B780" s="38" t="n">
        <v>46058</v>
      </c>
      <c r="C780" s="11" t="s">
        <v>1500</v>
      </c>
      <c r="D780" s="11" t="s">
        <v>307</v>
      </c>
      <c r="E780" s="11" t="s">
        <v>313</v>
      </c>
      <c r="F780" s="11" t="s">
        <v>2942</v>
      </c>
      <c r="G780" s="37" t="n">
        <v>-4867.67</v>
      </c>
      <c r="H780" s="37" t="n">
        <v>333764.66</v>
      </c>
    </row>
    <row r="781" customFormat="false" ht="15" hidden="false" customHeight="false" outlineLevel="0" collapsed="false">
      <c r="A781" s="11" t="s">
        <v>2943</v>
      </c>
      <c r="B781" s="38" t="n">
        <v>46058</v>
      </c>
      <c r="C781" s="11" t="s">
        <v>1500</v>
      </c>
      <c r="D781" s="11" t="s">
        <v>469</v>
      </c>
      <c r="E781" s="11" t="s">
        <v>470</v>
      </c>
      <c r="F781" s="11"/>
      <c r="G781" s="37" t="n">
        <v>-8900</v>
      </c>
      <c r="H781" s="37" t="n">
        <v>324864.66</v>
      </c>
    </row>
    <row r="782" customFormat="false" ht="15" hidden="false" customHeight="false" outlineLevel="0" collapsed="false">
      <c r="A782" s="11" t="s">
        <v>2944</v>
      </c>
      <c r="B782" s="38" t="n">
        <v>46058</v>
      </c>
      <c r="C782" s="11" t="s">
        <v>1496</v>
      </c>
      <c r="D782" s="11" t="s">
        <v>1497</v>
      </c>
      <c r="E782" s="11" t="s">
        <v>335</v>
      </c>
      <c r="F782" s="11" t="s">
        <v>2945</v>
      </c>
      <c r="G782" s="37" t="n">
        <v>1344</v>
      </c>
      <c r="H782" s="37" t="n">
        <v>326208.66</v>
      </c>
    </row>
    <row r="783" customFormat="false" ht="15" hidden="false" customHeight="false" outlineLevel="0" collapsed="false">
      <c r="A783" s="11" t="s">
        <v>2946</v>
      </c>
      <c r="B783" s="38" t="n">
        <v>46058</v>
      </c>
      <c r="C783" s="11" t="s">
        <v>1500</v>
      </c>
      <c r="D783" s="11" t="s">
        <v>307</v>
      </c>
      <c r="E783" s="11" t="s">
        <v>458</v>
      </c>
      <c r="F783" s="11" t="s">
        <v>2947</v>
      </c>
      <c r="G783" s="37" t="n">
        <v>-26639.68</v>
      </c>
      <c r="H783" s="37" t="n">
        <v>299568.98</v>
      </c>
    </row>
    <row r="784" customFormat="false" ht="15" hidden="false" customHeight="false" outlineLevel="0" collapsed="false">
      <c r="A784" s="11" t="s">
        <v>2948</v>
      </c>
      <c r="B784" s="38" t="n">
        <v>46058</v>
      </c>
      <c r="C784" s="11" t="s">
        <v>1496</v>
      </c>
      <c r="D784" s="11" t="s">
        <v>1497</v>
      </c>
      <c r="E784" s="11" t="s">
        <v>287</v>
      </c>
      <c r="F784" s="11" t="s">
        <v>2949</v>
      </c>
      <c r="G784" s="37" t="n">
        <v>3360</v>
      </c>
      <c r="H784" s="37" t="n">
        <v>302928.98</v>
      </c>
    </row>
    <row r="785" customFormat="false" ht="15" hidden="false" customHeight="false" outlineLevel="0" collapsed="false">
      <c r="A785" s="11" t="s">
        <v>2950</v>
      </c>
      <c r="B785" s="38" t="n">
        <v>46058</v>
      </c>
      <c r="C785" s="11" t="s">
        <v>1496</v>
      </c>
      <c r="D785" s="11" t="s">
        <v>1497</v>
      </c>
      <c r="E785" s="11" t="s">
        <v>298</v>
      </c>
      <c r="F785" s="11" t="s">
        <v>2951</v>
      </c>
      <c r="G785" s="37" t="n">
        <v>9120</v>
      </c>
      <c r="H785" s="37" t="n">
        <v>312048.98</v>
      </c>
    </row>
    <row r="786" customFormat="false" ht="15" hidden="false" customHeight="false" outlineLevel="0" collapsed="false">
      <c r="A786" s="11" t="s">
        <v>2952</v>
      </c>
      <c r="B786" s="38" t="n">
        <v>46059</v>
      </c>
      <c r="C786" s="11" t="s">
        <v>1496</v>
      </c>
      <c r="D786" s="11" t="s">
        <v>1497</v>
      </c>
      <c r="E786" s="11" t="s">
        <v>349</v>
      </c>
      <c r="F786" s="11" t="s">
        <v>2953</v>
      </c>
      <c r="G786" s="37" t="n">
        <v>13320</v>
      </c>
      <c r="H786" s="37" t="n">
        <v>325368.98</v>
      </c>
    </row>
    <row r="787" customFormat="false" ht="15" hidden="false" customHeight="false" outlineLevel="0" collapsed="false">
      <c r="A787" s="11" t="s">
        <v>2954</v>
      </c>
      <c r="B787" s="38" t="n">
        <v>46059</v>
      </c>
      <c r="C787" s="11" t="s">
        <v>1496</v>
      </c>
      <c r="D787" s="11" t="s">
        <v>1497</v>
      </c>
      <c r="E787" s="11" t="s">
        <v>280</v>
      </c>
      <c r="F787" s="11" t="s">
        <v>2955</v>
      </c>
      <c r="G787" s="37" t="n">
        <v>8100</v>
      </c>
      <c r="H787" s="37" t="n">
        <v>333468.98</v>
      </c>
    </row>
    <row r="788" customFormat="false" ht="15" hidden="false" customHeight="false" outlineLevel="0" collapsed="false">
      <c r="A788" s="11" t="s">
        <v>2956</v>
      </c>
      <c r="B788" s="38" t="n">
        <v>46062</v>
      </c>
      <c r="C788" s="11" t="s">
        <v>1496</v>
      </c>
      <c r="D788" s="11" t="s">
        <v>1497</v>
      </c>
      <c r="E788" s="11" t="s">
        <v>335</v>
      </c>
      <c r="F788" s="11" t="s">
        <v>2957</v>
      </c>
      <c r="G788" s="37" t="n">
        <v>10224</v>
      </c>
      <c r="H788" s="37" t="n">
        <v>343692.98</v>
      </c>
    </row>
    <row r="789" customFormat="false" ht="15" hidden="false" customHeight="false" outlineLevel="0" collapsed="false">
      <c r="A789" s="11" t="s">
        <v>2958</v>
      </c>
      <c r="B789" s="38" t="n">
        <v>46062</v>
      </c>
      <c r="C789" s="11" t="s">
        <v>1500</v>
      </c>
      <c r="D789" s="11" t="s">
        <v>480</v>
      </c>
      <c r="E789" s="11" t="s">
        <v>481</v>
      </c>
      <c r="F789" s="11"/>
      <c r="G789" s="37" t="n">
        <v>-14160</v>
      </c>
      <c r="H789" s="37" t="n">
        <v>329532.98</v>
      </c>
    </row>
    <row r="790" customFormat="false" ht="15" hidden="false" customHeight="false" outlineLevel="0" collapsed="false">
      <c r="A790" s="11" t="s">
        <v>2959</v>
      </c>
      <c r="B790" s="38" t="n">
        <v>46062</v>
      </c>
      <c r="C790" s="11" t="s">
        <v>1496</v>
      </c>
      <c r="D790" s="11" t="s">
        <v>1497</v>
      </c>
      <c r="E790" s="11" t="s">
        <v>327</v>
      </c>
      <c r="F790" s="11" t="s">
        <v>2960</v>
      </c>
      <c r="G790" s="37" t="n">
        <v>16968</v>
      </c>
      <c r="H790" s="37" t="n">
        <v>346500.98</v>
      </c>
    </row>
    <row r="791" customFormat="false" ht="15" hidden="false" customHeight="false" outlineLevel="0" collapsed="false">
      <c r="A791" s="11" t="s">
        <v>2961</v>
      </c>
      <c r="B791" s="38" t="n">
        <v>46062</v>
      </c>
      <c r="C791" s="11" t="s">
        <v>1496</v>
      </c>
      <c r="D791" s="11" t="s">
        <v>1497</v>
      </c>
      <c r="E791" s="11" t="s">
        <v>280</v>
      </c>
      <c r="F791" s="11" t="s">
        <v>2962</v>
      </c>
      <c r="G791" s="37" t="n">
        <v>6552</v>
      </c>
      <c r="H791" s="37" t="n">
        <v>353052.98</v>
      </c>
    </row>
    <row r="792" customFormat="false" ht="15" hidden="false" customHeight="false" outlineLevel="0" collapsed="false">
      <c r="A792" s="11" t="s">
        <v>2963</v>
      </c>
      <c r="B792" s="38" t="n">
        <v>46062</v>
      </c>
      <c r="C792" s="11" t="s">
        <v>1496</v>
      </c>
      <c r="D792" s="11" t="s">
        <v>1497</v>
      </c>
      <c r="E792" s="11" t="s">
        <v>327</v>
      </c>
      <c r="F792" s="11" t="s">
        <v>2964</v>
      </c>
      <c r="G792" s="37" t="n">
        <v>17460</v>
      </c>
      <c r="H792" s="37" t="n">
        <v>370512.98</v>
      </c>
    </row>
    <row r="793" customFormat="false" ht="15" hidden="false" customHeight="false" outlineLevel="0" collapsed="false">
      <c r="A793" s="11" t="s">
        <v>2965</v>
      </c>
      <c r="B793" s="38" t="n">
        <v>46062</v>
      </c>
      <c r="C793" s="11" t="s">
        <v>1496</v>
      </c>
      <c r="D793" s="11" t="s">
        <v>1497</v>
      </c>
      <c r="E793" s="11" t="s">
        <v>280</v>
      </c>
      <c r="F793" s="11" t="s">
        <v>2966</v>
      </c>
      <c r="G793" s="37" t="n">
        <v>5244</v>
      </c>
      <c r="H793" s="37" t="n">
        <v>375756.98</v>
      </c>
    </row>
    <row r="794" customFormat="false" ht="15" hidden="false" customHeight="false" outlineLevel="0" collapsed="false">
      <c r="A794" s="11" t="s">
        <v>2967</v>
      </c>
      <c r="B794" s="38" t="n">
        <v>46062</v>
      </c>
      <c r="C794" s="11" t="s">
        <v>1496</v>
      </c>
      <c r="D794" s="11" t="s">
        <v>1497</v>
      </c>
      <c r="E794" s="11" t="s">
        <v>280</v>
      </c>
      <c r="F794" s="11" t="s">
        <v>2968</v>
      </c>
      <c r="G794" s="37" t="n">
        <v>9660</v>
      </c>
      <c r="H794" s="37" t="n">
        <v>385416.98</v>
      </c>
    </row>
    <row r="795" customFormat="false" ht="15" hidden="false" customHeight="false" outlineLevel="0" collapsed="false">
      <c r="A795" s="11" t="s">
        <v>2969</v>
      </c>
      <c r="B795" s="38" t="n">
        <v>46062</v>
      </c>
      <c r="C795" s="11" t="s">
        <v>1496</v>
      </c>
      <c r="D795" s="11" t="s">
        <v>1497</v>
      </c>
      <c r="E795" s="11" t="s">
        <v>335</v>
      </c>
      <c r="F795" s="11" t="s">
        <v>2970</v>
      </c>
      <c r="G795" s="37" t="n">
        <v>5664</v>
      </c>
      <c r="H795" s="37" t="n">
        <v>391080.98</v>
      </c>
    </row>
    <row r="796" customFormat="false" ht="15" hidden="false" customHeight="false" outlineLevel="0" collapsed="false">
      <c r="A796" s="11" t="s">
        <v>2971</v>
      </c>
      <c r="B796" s="38" t="n">
        <v>46062</v>
      </c>
      <c r="C796" s="11" t="s">
        <v>1496</v>
      </c>
      <c r="D796" s="11" t="s">
        <v>1497</v>
      </c>
      <c r="E796" s="11" t="s">
        <v>349</v>
      </c>
      <c r="F796" s="11" t="s">
        <v>2972</v>
      </c>
      <c r="G796" s="37" t="n">
        <v>29772</v>
      </c>
      <c r="H796" s="37" t="n">
        <v>420852.98</v>
      </c>
    </row>
    <row r="797" customFormat="false" ht="15" hidden="false" customHeight="false" outlineLevel="0" collapsed="false">
      <c r="A797" s="11" t="s">
        <v>2973</v>
      </c>
      <c r="B797" s="38" t="n">
        <v>46063</v>
      </c>
      <c r="C797" s="11" t="s">
        <v>1500</v>
      </c>
      <c r="D797" s="11" t="s">
        <v>272</v>
      </c>
      <c r="E797" s="11" t="s">
        <v>273</v>
      </c>
      <c r="F797" s="11"/>
      <c r="G797" s="37" t="n">
        <v>-3840</v>
      </c>
      <c r="H797" s="37" t="n">
        <v>417012.98</v>
      </c>
    </row>
    <row r="798" customFormat="false" ht="15" hidden="false" customHeight="false" outlineLevel="0" collapsed="false">
      <c r="A798" s="11" t="s">
        <v>2974</v>
      </c>
      <c r="B798" s="38" t="n">
        <v>46063</v>
      </c>
      <c r="C798" s="11" t="s">
        <v>1496</v>
      </c>
      <c r="D798" s="11" t="s">
        <v>1497</v>
      </c>
      <c r="E798" s="11" t="s">
        <v>335</v>
      </c>
      <c r="F798" s="11" t="s">
        <v>2975</v>
      </c>
      <c r="G798" s="37" t="n">
        <v>9720</v>
      </c>
      <c r="H798" s="37" t="n">
        <v>426732.98</v>
      </c>
    </row>
    <row r="799" customFormat="false" ht="15" hidden="false" customHeight="false" outlineLevel="0" collapsed="false">
      <c r="A799" s="11" t="s">
        <v>2976</v>
      </c>
      <c r="B799" s="38" t="n">
        <v>46064</v>
      </c>
      <c r="C799" s="11" t="s">
        <v>1500</v>
      </c>
      <c r="D799" s="11" t="s">
        <v>291</v>
      </c>
      <c r="E799" s="11" t="s">
        <v>292</v>
      </c>
      <c r="F799" s="11"/>
      <c r="G799" s="37" t="n">
        <v>-3827.36</v>
      </c>
      <c r="H799" s="37" t="n">
        <v>422905.62</v>
      </c>
    </row>
    <row r="800" customFormat="false" ht="15" hidden="false" customHeight="false" outlineLevel="0" collapsed="false">
      <c r="A800" s="11" t="s">
        <v>2977</v>
      </c>
      <c r="B800" s="38" t="n">
        <v>46065</v>
      </c>
      <c r="C800" s="11" t="s">
        <v>1500</v>
      </c>
      <c r="D800" s="11" t="s">
        <v>307</v>
      </c>
      <c r="E800" s="11" t="s">
        <v>313</v>
      </c>
      <c r="F800" s="11" t="s">
        <v>2978</v>
      </c>
      <c r="G800" s="37" t="n">
        <v>-4416.36</v>
      </c>
      <c r="H800" s="37" t="n">
        <v>418489.26</v>
      </c>
    </row>
    <row r="801" customFormat="false" ht="15" hidden="false" customHeight="false" outlineLevel="0" collapsed="false">
      <c r="A801" s="11" t="s">
        <v>2979</v>
      </c>
      <c r="B801" s="38" t="n">
        <v>46066</v>
      </c>
      <c r="C801" s="11" t="s">
        <v>1496</v>
      </c>
      <c r="D801" s="11" t="s">
        <v>1497</v>
      </c>
      <c r="E801" s="11" t="s">
        <v>335</v>
      </c>
      <c r="F801" s="11" t="s">
        <v>2980</v>
      </c>
      <c r="G801" s="37" t="n">
        <v>3000</v>
      </c>
      <c r="H801" s="37" t="n">
        <v>421489.26</v>
      </c>
    </row>
    <row r="802" customFormat="false" ht="15" hidden="false" customHeight="false" outlineLevel="0" collapsed="false">
      <c r="A802" s="11" t="s">
        <v>2981</v>
      </c>
      <c r="B802" s="38" t="n">
        <v>46066</v>
      </c>
      <c r="C802" s="11" t="s">
        <v>1496</v>
      </c>
      <c r="D802" s="11" t="s">
        <v>1497</v>
      </c>
      <c r="E802" s="11" t="s">
        <v>327</v>
      </c>
      <c r="F802" s="11" t="s">
        <v>2982</v>
      </c>
      <c r="G802" s="37" t="n">
        <v>31788</v>
      </c>
      <c r="H802" s="37" t="n">
        <v>453277.26</v>
      </c>
    </row>
    <row r="803" customFormat="false" ht="15" hidden="false" customHeight="false" outlineLevel="0" collapsed="false">
      <c r="A803" s="11" t="s">
        <v>2983</v>
      </c>
      <c r="B803" s="38" t="n">
        <v>46069</v>
      </c>
      <c r="C803" s="11" t="s">
        <v>1496</v>
      </c>
      <c r="D803" s="11" t="s">
        <v>1497</v>
      </c>
      <c r="E803" s="11" t="s">
        <v>327</v>
      </c>
      <c r="F803" s="11" t="s">
        <v>2984</v>
      </c>
      <c r="G803" s="37" t="n">
        <v>12360</v>
      </c>
      <c r="H803" s="37" t="n">
        <v>465637.26</v>
      </c>
    </row>
    <row r="804" customFormat="false" ht="15" hidden="false" customHeight="false" outlineLevel="0" collapsed="false">
      <c r="A804" s="11" t="s">
        <v>2985</v>
      </c>
      <c r="B804" s="38" t="n">
        <v>46069</v>
      </c>
      <c r="C804" s="11" t="s">
        <v>1496</v>
      </c>
      <c r="D804" s="11" t="s">
        <v>1497</v>
      </c>
      <c r="E804" s="11" t="s">
        <v>392</v>
      </c>
      <c r="F804" s="11" t="s">
        <v>2986</v>
      </c>
      <c r="G804" s="37" t="n">
        <v>13056</v>
      </c>
      <c r="H804" s="37" t="n">
        <v>478693.26</v>
      </c>
    </row>
    <row r="805" customFormat="false" ht="15" hidden="false" customHeight="false" outlineLevel="0" collapsed="false">
      <c r="A805" s="11" t="s">
        <v>2987</v>
      </c>
      <c r="B805" s="38" t="n">
        <v>46069</v>
      </c>
      <c r="C805" s="11" t="s">
        <v>1496</v>
      </c>
      <c r="D805" s="11" t="s">
        <v>1497</v>
      </c>
      <c r="E805" s="11" t="s">
        <v>298</v>
      </c>
      <c r="F805" s="11" t="s">
        <v>2988</v>
      </c>
      <c r="G805" s="37" t="n">
        <v>6210</v>
      </c>
      <c r="H805" s="37" t="n">
        <v>484903.26</v>
      </c>
    </row>
    <row r="806" customFormat="false" ht="15" hidden="false" customHeight="false" outlineLevel="0" collapsed="false">
      <c r="A806" s="11" t="s">
        <v>2989</v>
      </c>
      <c r="B806" s="38" t="n">
        <v>46069</v>
      </c>
      <c r="C806" s="11" t="s">
        <v>1496</v>
      </c>
      <c r="D806" s="11" t="s">
        <v>1497</v>
      </c>
      <c r="E806" s="11" t="s">
        <v>331</v>
      </c>
      <c r="F806" s="11" t="s">
        <v>2990</v>
      </c>
      <c r="G806" s="37" t="n">
        <v>9840</v>
      </c>
      <c r="H806" s="37" t="n">
        <v>494743.26</v>
      </c>
    </row>
    <row r="807" customFormat="false" ht="15" hidden="false" customHeight="false" outlineLevel="0" collapsed="false">
      <c r="A807" s="11" t="s">
        <v>2991</v>
      </c>
      <c r="B807" s="38" t="n">
        <v>46069</v>
      </c>
      <c r="C807" s="11" t="s">
        <v>1496</v>
      </c>
      <c r="D807" s="11" t="s">
        <v>1497</v>
      </c>
      <c r="E807" s="11" t="s">
        <v>335</v>
      </c>
      <c r="F807" s="11" t="s">
        <v>2992</v>
      </c>
      <c r="G807" s="37" t="n">
        <v>8580</v>
      </c>
      <c r="H807" s="37" t="n">
        <v>503323.26</v>
      </c>
    </row>
    <row r="808" customFormat="false" ht="15" hidden="false" customHeight="false" outlineLevel="0" collapsed="false">
      <c r="A808" s="11" t="s">
        <v>2993</v>
      </c>
      <c r="B808" s="38" t="n">
        <v>46069</v>
      </c>
      <c r="C808" s="11" t="s">
        <v>1496</v>
      </c>
      <c r="D808" s="11" t="s">
        <v>1497</v>
      </c>
      <c r="E808" s="11" t="s">
        <v>280</v>
      </c>
      <c r="F808" s="11" t="s">
        <v>2994</v>
      </c>
      <c r="G808" s="37" t="n">
        <v>11676</v>
      </c>
      <c r="H808" s="37" t="n">
        <v>514999.26</v>
      </c>
    </row>
    <row r="809" customFormat="false" ht="15" hidden="false" customHeight="false" outlineLevel="0" collapsed="false">
      <c r="A809" s="11" t="s">
        <v>2995</v>
      </c>
      <c r="B809" s="38" t="n">
        <v>46069</v>
      </c>
      <c r="C809" s="11" t="s">
        <v>1500</v>
      </c>
      <c r="D809" s="11" t="s">
        <v>317</v>
      </c>
      <c r="E809" s="11" t="s">
        <v>318</v>
      </c>
      <c r="F809" s="11"/>
      <c r="G809" s="37" t="n">
        <v>-86000</v>
      </c>
      <c r="H809" s="37" t="n">
        <v>428999.26</v>
      </c>
    </row>
    <row r="810" customFormat="false" ht="15" hidden="false" customHeight="false" outlineLevel="0" collapsed="false">
      <c r="A810" s="11" t="s">
        <v>2996</v>
      </c>
      <c r="B810" s="38" t="n">
        <v>46069</v>
      </c>
      <c r="C810" s="11" t="s">
        <v>1496</v>
      </c>
      <c r="D810" s="11" t="s">
        <v>1497</v>
      </c>
      <c r="E810" s="11" t="s">
        <v>280</v>
      </c>
      <c r="F810" s="11" t="s">
        <v>2997</v>
      </c>
      <c r="G810" s="37" t="n">
        <v>3588</v>
      </c>
      <c r="H810" s="37" t="n">
        <v>432587.26</v>
      </c>
    </row>
    <row r="811" customFormat="false" ht="15" hidden="false" customHeight="false" outlineLevel="0" collapsed="false">
      <c r="A811" s="11" t="s">
        <v>2998</v>
      </c>
      <c r="B811" s="38" t="n">
        <v>46070</v>
      </c>
      <c r="C811" s="11" t="s">
        <v>1496</v>
      </c>
      <c r="D811" s="11" t="s">
        <v>1497</v>
      </c>
      <c r="E811" s="11" t="s">
        <v>331</v>
      </c>
      <c r="F811" s="11" t="s">
        <v>2999</v>
      </c>
      <c r="G811" s="37" t="n">
        <v>11316</v>
      </c>
      <c r="H811" s="37" t="n">
        <v>443903.26</v>
      </c>
    </row>
    <row r="812" customFormat="false" ht="15" hidden="false" customHeight="false" outlineLevel="0" collapsed="false">
      <c r="A812" s="11" t="s">
        <v>3000</v>
      </c>
      <c r="B812" s="38" t="n">
        <v>46070</v>
      </c>
      <c r="C812" s="11" t="s">
        <v>1496</v>
      </c>
      <c r="D812" s="11" t="s">
        <v>1497</v>
      </c>
      <c r="E812" s="11" t="s">
        <v>392</v>
      </c>
      <c r="F812" s="11" t="s">
        <v>3001</v>
      </c>
      <c r="G812" s="37" t="n">
        <v>10872</v>
      </c>
      <c r="H812" s="37" t="n">
        <v>454775.26</v>
      </c>
    </row>
    <row r="813" customFormat="false" ht="15" hidden="false" customHeight="false" outlineLevel="0" collapsed="false">
      <c r="A813" s="11" t="s">
        <v>3002</v>
      </c>
      <c r="B813" s="38" t="n">
        <v>46071</v>
      </c>
      <c r="C813" s="11" t="s">
        <v>1500</v>
      </c>
      <c r="D813" s="11" t="s">
        <v>291</v>
      </c>
      <c r="E813" s="11" t="s">
        <v>292</v>
      </c>
      <c r="F813" s="11"/>
      <c r="G813" s="37" t="n">
        <v>-4935.46</v>
      </c>
      <c r="H813" s="37" t="n">
        <v>449839.8</v>
      </c>
    </row>
    <row r="814" customFormat="false" ht="15" hidden="false" customHeight="false" outlineLevel="0" collapsed="false">
      <c r="A814" s="11" t="s">
        <v>3003</v>
      </c>
      <c r="B814" s="38" t="n">
        <v>46071</v>
      </c>
      <c r="C814" s="11" t="s">
        <v>1496</v>
      </c>
      <c r="D814" s="11" t="s">
        <v>1497</v>
      </c>
      <c r="E814" s="11" t="s">
        <v>298</v>
      </c>
      <c r="F814" s="11" t="s">
        <v>3004</v>
      </c>
      <c r="G814" s="37" t="n">
        <v>4990</v>
      </c>
      <c r="H814" s="37" t="n">
        <v>454829.8</v>
      </c>
    </row>
    <row r="815" customFormat="false" ht="15" hidden="false" customHeight="false" outlineLevel="0" collapsed="false">
      <c r="A815" s="11" t="s">
        <v>3005</v>
      </c>
      <c r="B815" s="38" t="n">
        <v>46072</v>
      </c>
      <c r="C815" s="11" t="s">
        <v>1496</v>
      </c>
      <c r="D815" s="11" t="s">
        <v>1497</v>
      </c>
      <c r="E815" s="11" t="s">
        <v>323</v>
      </c>
      <c r="F815" s="11" t="s">
        <v>3006</v>
      </c>
      <c r="G815" s="37" t="n">
        <v>7488</v>
      </c>
      <c r="H815" s="37" t="n">
        <v>462317.8</v>
      </c>
    </row>
    <row r="816" customFormat="false" ht="15" hidden="false" customHeight="false" outlineLevel="0" collapsed="false">
      <c r="A816" s="11" t="s">
        <v>3007</v>
      </c>
      <c r="B816" s="38" t="n">
        <v>46072</v>
      </c>
      <c r="C816" s="11" t="s">
        <v>1496</v>
      </c>
      <c r="D816" s="11" t="s">
        <v>1497</v>
      </c>
      <c r="E816" s="11" t="s">
        <v>287</v>
      </c>
      <c r="F816" s="11" t="s">
        <v>3008</v>
      </c>
      <c r="G816" s="37" t="n">
        <v>8568</v>
      </c>
      <c r="H816" s="37" t="n">
        <v>470885.8</v>
      </c>
    </row>
    <row r="817" customFormat="false" ht="15" hidden="false" customHeight="false" outlineLevel="0" collapsed="false">
      <c r="A817" s="11" t="s">
        <v>3009</v>
      </c>
      <c r="B817" s="38" t="n">
        <v>46072</v>
      </c>
      <c r="C817" s="11" t="s">
        <v>1500</v>
      </c>
      <c r="D817" s="11" t="s">
        <v>307</v>
      </c>
      <c r="E817" s="11" t="s">
        <v>308</v>
      </c>
      <c r="F817" s="11" t="s">
        <v>3010</v>
      </c>
      <c r="G817" s="37" t="n">
        <v>-29144.88</v>
      </c>
      <c r="H817" s="37" t="n">
        <v>441740.92</v>
      </c>
    </row>
    <row r="818" customFormat="false" ht="15" hidden="false" customHeight="false" outlineLevel="0" collapsed="false">
      <c r="A818" s="11" t="s">
        <v>3011</v>
      </c>
      <c r="B818" s="38" t="n">
        <v>46072</v>
      </c>
      <c r="C818" s="11" t="s">
        <v>1500</v>
      </c>
      <c r="D818" s="11" t="s">
        <v>307</v>
      </c>
      <c r="E818" s="11" t="s">
        <v>313</v>
      </c>
      <c r="F818" s="11" t="s">
        <v>3012</v>
      </c>
      <c r="G818" s="37" t="n">
        <v>-4724.57</v>
      </c>
      <c r="H818" s="37" t="n">
        <v>437016.35</v>
      </c>
    </row>
    <row r="819" customFormat="false" ht="15" hidden="false" customHeight="false" outlineLevel="0" collapsed="false">
      <c r="A819" s="11" t="s">
        <v>3013</v>
      </c>
      <c r="B819" s="38" t="n">
        <v>46073</v>
      </c>
      <c r="C819" s="11" t="s">
        <v>1496</v>
      </c>
      <c r="D819" s="11" t="s">
        <v>1497</v>
      </c>
      <c r="E819" s="11" t="s">
        <v>335</v>
      </c>
      <c r="F819" s="11" t="s">
        <v>3014</v>
      </c>
      <c r="G819" s="37" t="n">
        <v>13584</v>
      </c>
      <c r="H819" s="37" t="n">
        <v>450600.35</v>
      </c>
    </row>
    <row r="820" customFormat="false" ht="15" hidden="false" customHeight="false" outlineLevel="0" collapsed="false">
      <c r="A820" s="11" t="s">
        <v>3015</v>
      </c>
      <c r="B820" s="38" t="n">
        <v>46073</v>
      </c>
      <c r="C820" s="11" t="s">
        <v>1496</v>
      </c>
      <c r="D820" s="11" t="s">
        <v>1497</v>
      </c>
      <c r="E820" s="11" t="s">
        <v>327</v>
      </c>
      <c r="F820" s="11" t="s">
        <v>3016</v>
      </c>
      <c r="G820" s="37" t="n">
        <v>12324</v>
      </c>
      <c r="H820" s="37" t="n">
        <v>462924.35</v>
      </c>
    </row>
    <row r="821" customFormat="false" ht="15" hidden="false" customHeight="false" outlineLevel="0" collapsed="false">
      <c r="A821" s="11" t="s">
        <v>3017</v>
      </c>
      <c r="B821" s="38" t="n">
        <v>46073</v>
      </c>
      <c r="C821" s="11" t="s">
        <v>1496</v>
      </c>
      <c r="D821" s="11" t="s">
        <v>1497</v>
      </c>
      <c r="E821" s="11" t="s">
        <v>331</v>
      </c>
      <c r="F821" s="11" t="s">
        <v>3018</v>
      </c>
      <c r="G821" s="37" t="n">
        <v>16500</v>
      </c>
      <c r="H821" s="37" t="n">
        <v>479424.35</v>
      </c>
    </row>
    <row r="822" customFormat="false" ht="15" hidden="false" customHeight="false" outlineLevel="0" collapsed="false">
      <c r="A822" s="11" t="s">
        <v>3019</v>
      </c>
      <c r="B822" s="38" t="n">
        <v>46076</v>
      </c>
      <c r="C822" s="11" t="s">
        <v>1496</v>
      </c>
      <c r="D822" s="11" t="s">
        <v>1497</v>
      </c>
      <c r="E822" s="11" t="s">
        <v>323</v>
      </c>
      <c r="F822" s="11" t="s">
        <v>3020</v>
      </c>
      <c r="G822" s="37" t="n">
        <v>8316</v>
      </c>
      <c r="H822" s="37" t="n">
        <v>487740.35</v>
      </c>
    </row>
    <row r="823" customFormat="false" ht="15" hidden="false" customHeight="false" outlineLevel="0" collapsed="false">
      <c r="A823" s="11" t="s">
        <v>3021</v>
      </c>
      <c r="B823" s="38" t="n">
        <v>46076</v>
      </c>
      <c r="C823" s="11" t="s">
        <v>1496</v>
      </c>
      <c r="D823" s="11" t="s">
        <v>1497</v>
      </c>
      <c r="E823" s="11" t="s">
        <v>331</v>
      </c>
      <c r="F823" s="11" t="s">
        <v>3022</v>
      </c>
      <c r="G823" s="37" t="n">
        <v>9456</v>
      </c>
      <c r="H823" s="37" t="n">
        <v>497196.35</v>
      </c>
    </row>
    <row r="824" customFormat="false" ht="15" hidden="false" customHeight="false" outlineLevel="0" collapsed="false">
      <c r="A824" s="11" t="s">
        <v>3023</v>
      </c>
      <c r="B824" s="38" t="n">
        <v>46076</v>
      </c>
      <c r="C824" s="11" t="s">
        <v>1496</v>
      </c>
      <c r="D824" s="11" t="s">
        <v>1497</v>
      </c>
      <c r="E824" s="11" t="s">
        <v>280</v>
      </c>
      <c r="F824" s="11" t="s">
        <v>3024</v>
      </c>
      <c r="G824" s="37" t="n">
        <v>6792</v>
      </c>
      <c r="H824" s="37" t="n">
        <v>503988.35</v>
      </c>
    </row>
    <row r="825" customFormat="false" ht="15" hidden="false" customHeight="false" outlineLevel="0" collapsed="false">
      <c r="A825" s="11" t="s">
        <v>3025</v>
      </c>
      <c r="B825" s="38" t="n">
        <v>46077</v>
      </c>
      <c r="C825" s="11" t="s">
        <v>1496</v>
      </c>
      <c r="D825" s="11" t="s">
        <v>1497</v>
      </c>
      <c r="E825" s="11" t="s">
        <v>335</v>
      </c>
      <c r="F825" s="11" t="s">
        <v>3026</v>
      </c>
      <c r="G825" s="37" t="n">
        <v>8436</v>
      </c>
      <c r="H825" s="37" t="n">
        <v>512424.35</v>
      </c>
    </row>
    <row r="826" customFormat="false" ht="15" hidden="false" customHeight="false" outlineLevel="0" collapsed="false">
      <c r="A826" s="11" t="s">
        <v>3027</v>
      </c>
      <c r="B826" s="38" t="n">
        <v>46077</v>
      </c>
      <c r="C826" s="11" t="s">
        <v>1500</v>
      </c>
      <c r="D826" s="11" t="s">
        <v>383</v>
      </c>
      <c r="E826" s="11" t="s">
        <v>384</v>
      </c>
      <c r="F826" s="11" t="s">
        <v>3028</v>
      </c>
      <c r="G826" s="37" t="n">
        <v>-56431.53</v>
      </c>
      <c r="H826" s="37" t="n">
        <v>455992.82</v>
      </c>
    </row>
    <row r="827" customFormat="false" ht="15" hidden="false" customHeight="false" outlineLevel="0" collapsed="false">
      <c r="A827" s="11" t="s">
        <v>3029</v>
      </c>
      <c r="B827" s="38" t="n">
        <v>46078</v>
      </c>
      <c r="C827" s="11" t="s">
        <v>1496</v>
      </c>
      <c r="D827" s="11" t="s">
        <v>1497</v>
      </c>
      <c r="E827" s="11" t="s">
        <v>287</v>
      </c>
      <c r="F827" s="11" t="s">
        <v>3030</v>
      </c>
      <c r="G827" s="37" t="n">
        <v>3912</v>
      </c>
      <c r="H827" s="37" t="n">
        <v>459904.82</v>
      </c>
    </row>
    <row r="828" customFormat="false" ht="15" hidden="false" customHeight="false" outlineLevel="0" collapsed="false">
      <c r="A828" s="11" t="s">
        <v>3031</v>
      </c>
      <c r="B828" s="38" t="n">
        <v>46078</v>
      </c>
      <c r="C828" s="11" t="s">
        <v>1496</v>
      </c>
      <c r="D828" s="11" t="s">
        <v>1497</v>
      </c>
      <c r="E828" s="11" t="s">
        <v>327</v>
      </c>
      <c r="F828" s="11" t="s">
        <v>3032</v>
      </c>
      <c r="G828" s="37" t="n">
        <v>33600</v>
      </c>
      <c r="H828" s="37" t="n">
        <v>493504.82</v>
      </c>
    </row>
    <row r="829" customFormat="false" ht="15" hidden="false" customHeight="false" outlineLevel="0" collapsed="false">
      <c r="A829" s="11" t="s">
        <v>3033</v>
      </c>
      <c r="B829" s="38" t="n">
        <v>46078</v>
      </c>
      <c r="C829" s="11" t="s">
        <v>1496</v>
      </c>
      <c r="D829" s="11" t="s">
        <v>1497</v>
      </c>
      <c r="E829" s="11" t="s">
        <v>287</v>
      </c>
      <c r="F829" s="11" t="s">
        <v>3034</v>
      </c>
      <c r="G829" s="37" t="n">
        <v>2688</v>
      </c>
      <c r="H829" s="37" t="n">
        <v>496192.82</v>
      </c>
    </row>
    <row r="830" customFormat="false" ht="15" hidden="false" customHeight="false" outlineLevel="0" collapsed="false">
      <c r="A830" s="11" t="s">
        <v>3035</v>
      </c>
      <c r="B830" s="38" t="n">
        <v>46078</v>
      </c>
      <c r="C830" s="11" t="s">
        <v>1496</v>
      </c>
      <c r="D830" s="11" t="s">
        <v>1497</v>
      </c>
      <c r="E830" s="11" t="s">
        <v>335</v>
      </c>
      <c r="F830" s="11" t="s">
        <v>3036</v>
      </c>
      <c r="G830" s="37" t="n">
        <v>9084</v>
      </c>
      <c r="H830" s="37" t="n">
        <v>505276.82</v>
      </c>
    </row>
    <row r="831" customFormat="false" ht="15" hidden="false" customHeight="false" outlineLevel="0" collapsed="false">
      <c r="A831" s="11" t="s">
        <v>3037</v>
      </c>
      <c r="B831" s="38" t="n">
        <v>46078</v>
      </c>
      <c r="C831" s="11" t="s">
        <v>1500</v>
      </c>
      <c r="D831" s="11" t="s">
        <v>291</v>
      </c>
      <c r="E831" s="11" t="s">
        <v>292</v>
      </c>
      <c r="F831" s="11"/>
      <c r="G831" s="37" t="n">
        <v>-5471.14</v>
      </c>
      <c r="H831" s="37" t="n">
        <v>499805.68</v>
      </c>
    </row>
    <row r="832" customFormat="false" ht="15" hidden="false" customHeight="false" outlineLevel="0" collapsed="false">
      <c r="A832" s="11" t="s">
        <v>3038</v>
      </c>
      <c r="B832" s="38" t="n">
        <v>46078</v>
      </c>
      <c r="C832" s="11" t="s">
        <v>1496</v>
      </c>
      <c r="D832" s="11" t="s">
        <v>1497</v>
      </c>
      <c r="E832" s="11" t="s">
        <v>287</v>
      </c>
      <c r="F832" s="11" t="s">
        <v>3039</v>
      </c>
      <c r="G832" s="37" t="n">
        <v>3012</v>
      </c>
      <c r="H832" s="37" t="n">
        <v>502817.68</v>
      </c>
    </row>
    <row r="833" customFormat="false" ht="15" hidden="false" customHeight="false" outlineLevel="0" collapsed="false">
      <c r="A833" s="11" t="s">
        <v>3040</v>
      </c>
      <c r="B833" s="38" t="n">
        <v>46078</v>
      </c>
      <c r="C833" s="11" t="s">
        <v>1496</v>
      </c>
      <c r="D833" s="11" t="s">
        <v>1497</v>
      </c>
      <c r="E833" s="11" t="s">
        <v>287</v>
      </c>
      <c r="F833" s="11" t="s">
        <v>3041</v>
      </c>
      <c r="G833" s="37" t="n">
        <v>4452</v>
      </c>
      <c r="H833" s="37" t="n">
        <v>507269.68</v>
      </c>
    </row>
    <row r="834" customFormat="false" ht="15" hidden="false" customHeight="false" outlineLevel="0" collapsed="false">
      <c r="A834" s="11" t="s">
        <v>3042</v>
      </c>
      <c r="B834" s="38" t="n">
        <v>46079</v>
      </c>
      <c r="C834" s="11" t="s">
        <v>1496</v>
      </c>
      <c r="D834" s="11" t="s">
        <v>1497</v>
      </c>
      <c r="E834" s="11" t="s">
        <v>280</v>
      </c>
      <c r="F834" s="11" t="s">
        <v>3043</v>
      </c>
      <c r="G834" s="37" t="n">
        <v>4848</v>
      </c>
      <c r="H834" s="37" t="n">
        <v>512117.68</v>
      </c>
    </row>
    <row r="835" customFormat="false" ht="15" hidden="false" customHeight="false" outlineLevel="0" collapsed="false">
      <c r="A835" s="11" t="s">
        <v>3044</v>
      </c>
      <c r="B835" s="38" t="n">
        <v>46079</v>
      </c>
      <c r="C835" s="11" t="s">
        <v>1496</v>
      </c>
      <c r="D835" s="11" t="s">
        <v>1497</v>
      </c>
      <c r="E835" s="11" t="s">
        <v>399</v>
      </c>
      <c r="F835" s="11" t="s">
        <v>3045</v>
      </c>
      <c r="G835" s="37" t="n">
        <v>21816</v>
      </c>
      <c r="H835" s="37" t="n">
        <v>533933.68</v>
      </c>
    </row>
    <row r="836" customFormat="false" ht="15" hidden="false" customHeight="false" outlineLevel="0" collapsed="false">
      <c r="A836" s="11" t="s">
        <v>3046</v>
      </c>
      <c r="B836" s="38" t="n">
        <v>46079</v>
      </c>
      <c r="C836" s="11" t="s">
        <v>1500</v>
      </c>
      <c r="D836" s="11" t="s">
        <v>307</v>
      </c>
      <c r="E836" s="11" t="s">
        <v>313</v>
      </c>
      <c r="F836" s="11" t="s">
        <v>3047</v>
      </c>
      <c r="G836" s="37" t="n">
        <v>-4804.26</v>
      </c>
      <c r="H836" s="37" t="n">
        <v>529129.42</v>
      </c>
    </row>
    <row r="837" customFormat="false" ht="15" hidden="false" customHeight="false" outlineLevel="0" collapsed="false">
      <c r="A837" s="11" t="s">
        <v>3048</v>
      </c>
      <c r="B837" s="38" t="n">
        <v>46079</v>
      </c>
      <c r="C837" s="11" t="s">
        <v>1500</v>
      </c>
      <c r="D837" s="11" t="s">
        <v>307</v>
      </c>
      <c r="E837" s="11" t="s">
        <v>414</v>
      </c>
      <c r="F837" s="11" t="s">
        <v>3049</v>
      </c>
      <c r="G837" s="37" t="n">
        <v>-16418.46</v>
      </c>
      <c r="H837" s="37" t="n">
        <v>512710.96</v>
      </c>
    </row>
    <row r="838" customFormat="false" ht="15" hidden="false" customHeight="false" outlineLevel="0" collapsed="false">
      <c r="A838" s="11" t="s">
        <v>3050</v>
      </c>
      <c r="B838" s="38" t="n">
        <v>46080</v>
      </c>
      <c r="C838" s="11" t="s">
        <v>1500</v>
      </c>
      <c r="D838" s="11" t="s">
        <v>1634</v>
      </c>
      <c r="E838" s="11" t="s">
        <v>425</v>
      </c>
      <c r="F838" s="11"/>
      <c r="G838" s="37" t="n">
        <v>-106000</v>
      </c>
      <c r="H838" s="37" t="n">
        <v>406710.96</v>
      </c>
    </row>
    <row r="839" customFormat="false" ht="15" hidden="false" customHeight="false" outlineLevel="0" collapsed="false">
      <c r="A839" s="11" t="s">
        <v>3051</v>
      </c>
      <c r="B839" s="38" t="n">
        <v>46080</v>
      </c>
      <c r="C839" s="11" t="s">
        <v>1496</v>
      </c>
      <c r="D839" s="11" t="s">
        <v>1497</v>
      </c>
      <c r="E839" s="11" t="s">
        <v>327</v>
      </c>
      <c r="F839" s="11" t="s">
        <v>3052</v>
      </c>
      <c r="G839" s="37" t="n">
        <v>19236</v>
      </c>
      <c r="H839" s="37" t="n">
        <v>425946.96</v>
      </c>
    </row>
    <row r="840" customFormat="false" ht="15" hidden="false" customHeight="false" outlineLevel="0" collapsed="false">
      <c r="A840" s="11" t="s">
        <v>3053</v>
      </c>
      <c r="B840" s="38" t="n">
        <v>46080</v>
      </c>
      <c r="C840" s="11" t="s">
        <v>1496</v>
      </c>
      <c r="D840" s="11" t="s">
        <v>1497</v>
      </c>
      <c r="E840" s="11" t="s">
        <v>335</v>
      </c>
      <c r="F840" s="11" t="s">
        <v>3054</v>
      </c>
      <c r="G840" s="37" t="n">
        <v>5844</v>
      </c>
      <c r="H840" s="37" t="n">
        <v>431790.96</v>
      </c>
    </row>
    <row r="841" customFormat="false" ht="15" hidden="false" customHeight="false" outlineLevel="0" collapsed="false">
      <c r="A841" s="11" t="s">
        <v>3055</v>
      </c>
      <c r="B841" s="38" t="n">
        <v>46080</v>
      </c>
      <c r="C841" s="11" t="s">
        <v>1496</v>
      </c>
      <c r="D841" s="11" t="s">
        <v>1497</v>
      </c>
      <c r="E841" s="11" t="s">
        <v>298</v>
      </c>
      <c r="F841" s="11" t="s">
        <v>3056</v>
      </c>
      <c r="G841" s="37" t="n">
        <v>15090</v>
      </c>
      <c r="H841" s="37" t="n">
        <v>446880.96</v>
      </c>
    </row>
    <row r="842" customFormat="false" ht="15" hidden="false" customHeight="false" outlineLevel="0" collapsed="false">
      <c r="A842" s="11" t="s">
        <v>3057</v>
      </c>
      <c r="B842" s="38" t="n">
        <v>46083</v>
      </c>
      <c r="C842" s="11" t="s">
        <v>1496</v>
      </c>
      <c r="D842" s="11" t="s">
        <v>1497</v>
      </c>
      <c r="E842" s="11" t="s">
        <v>280</v>
      </c>
      <c r="F842" s="11" t="s">
        <v>3058</v>
      </c>
      <c r="G842" s="37" t="n">
        <v>8124</v>
      </c>
      <c r="H842" s="37" t="n">
        <v>455004.96</v>
      </c>
    </row>
    <row r="843" customFormat="false" ht="15" hidden="false" customHeight="false" outlineLevel="0" collapsed="false">
      <c r="A843" s="11" t="s">
        <v>3059</v>
      </c>
      <c r="B843" s="38" t="n">
        <v>46083</v>
      </c>
      <c r="C843" s="11" t="s">
        <v>1496</v>
      </c>
      <c r="D843" s="11" t="s">
        <v>1497</v>
      </c>
      <c r="E843" s="11" t="s">
        <v>349</v>
      </c>
      <c r="F843" s="11" t="s">
        <v>3060</v>
      </c>
      <c r="G843" s="37" t="n">
        <v>12744</v>
      </c>
      <c r="H843" s="37" t="n">
        <v>467748.96</v>
      </c>
    </row>
    <row r="844" customFormat="false" ht="15" hidden="false" customHeight="false" outlineLevel="0" collapsed="false">
      <c r="A844" s="11" t="s">
        <v>3061</v>
      </c>
      <c r="B844" s="38" t="n">
        <v>46083</v>
      </c>
      <c r="C844" s="11" t="s">
        <v>1496</v>
      </c>
      <c r="D844" s="11" t="s">
        <v>1497</v>
      </c>
      <c r="E844" s="11" t="s">
        <v>280</v>
      </c>
      <c r="F844" s="11" t="s">
        <v>3062</v>
      </c>
      <c r="G844" s="37" t="n">
        <v>6780</v>
      </c>
      <c r="H844" s="37" t="n">
        <v>474528.96</v>
      </c>
    </row>
    <row r="845" customFormat="false" ht="15" hidden="false" customHeight="false" outlineLevel="0" collapsed="false">
      <c r="A845" s="11" t="s">
        <v>3063</v>
      </c>
      <c r="B845" s="38" t="n">
        <v>46083</v>
      </c>
      <c r="C845" s="11" t="s">
        <v>1496</v>
      </c>
      <c r="D845" s="11" t="s">
        <v>1497</v>
      </c>
      <c r="E845" s="11" t="s">
        <v>335</v>
      </c>
      <c r="F845" s="11" t="s">
        <v>3064</v>
      </c>
      <c r="G845" s="37" t="n">
        <v>10248</v>
      </c>
      <c r="H845" s="37" t="n">
        <v>484776.96</v>
      </c>
    </row>
    <row r="846" customFormat="false" ht="15" hidden="false" customHeight="false" outlineLevel="0" collapsed="false">
      <c r="A846" s="11" t="s">
        <v>3065</v>
      </c>
      <c r="B846" s="38" t="n">
        <v>46084</v>
      </c>
      <c r="C846" s="11" t="s">
        <v>1500</v>
      </c>
      <c r="D846" s="11" t="s">
        <v>448</v>
      </c>
      <c r="E846" s="11" t="s">
        <v>449</v>
      </c>
      <c r="F846" s="11"/>
      <c r="G846" s="37" t="n">
        <v>-2880</v>
      </c>
      <c r="H846" s="37" t="n">
        <v>481896.96</v>
      </c>
    </row>
    <row r="847" customFormat="false" ht="15" hidden="false" customHeight="false" outlineLevel="0" collapsed="false">
      <c r="A847" s="11" t="s">
        <v>3066</v>
      </c>
      <c r="B847" s="38" t="n">
        <v>46084</v>
      </c>
      <c r="C847" s="11" t="s">
        <v>1496</v>
      </c>
      <c r="D847" s="11" t="s">
        <v>1497</v>
      </c>
      <c r="E847" s="11" t="s">
        <v>327</v>
      </c>
      <c r="F847" s="11" t="s">
        <v>3067</v>
      </c>
      <c r="G847" s="37" t="n">
        <v>29460</v>
      </c>
      <c r="H847" s="37" t="n">
        <v>511356.96</v>
      </c>
    </row>
    <row r="848" customFormat="false" ht="15" hidden="false" customHeight="false" outlineLevel="0" collapsed="false">
      <c r="A848" s="11" t="s">
        <v>3068</v>
      </c>
      <c r="B848" s="38" t="n">
        <v>46085</v>
      </c>
      <c r="C848" s="11" t="s">
        <v>1496</v>
      </c>
      <c r="D848" s="11" t="s">
        <v>1497</v>
      </c>
      <c r="E848" s="11" t="s">
        <v>323</v>
      </c>
      <c r="F848" s="11" t="s">
        <v>3069</v>
      </c>
      <c r="G848" s="37" t="n">
        <v>10188</v>
      </c>
      <c r="H848" s="37" t="n">
        <v>521544.96</v>
      </c>
    </row>
    <row r="849" customFormat="false" ht="15" hidden="false" customHeight="false" outlineLevel="0" collapsed="false">
      <c r="A849" s="11" t="s">
        <v>3070</v>
      </c>
      <c r="B849" s="38" t="n">
        <v>46085</v>
      </c>
      <c r="C849" s="11" t="s">
        <v>1500</v>
      </c>
      <c r="D849" s="11" t="s">
        <v>291</v>
      </c>
      <c r="E849" s="11" t="s">
        <v>292</v>
      </c>
      <c r="F849" s="11"/>
      <c r="G849" s="37" t="n">
        <v>-5126.92</v>
      </c>
      <c r="H849" s="37" t="n">
        <v>516418.04</v>
      </c>
    </row>
    <row r="850" customFormat="false" ht="15" hidden="false" customHeight="false" outlineLevel="0" collapsed="false">
      <c r="A850" s="11" t="s">
        <v>3071</v>
      </c>
      <c r="B850" s="38" t="n">
        <v>46086</v>
      </c>
      <c r="C850" s="11" t="s">
        <v>1496</v>
      </c>
      <c r="D850" s="11" t="s">
        <v>1497</v>
      </c>
      <c r="E850" s="11" t="s">
        <v>280</v>
      </c>
      <c r="F850" s="11" t="s">
        <v>3072</v>
      </c>
      <c r="G850" s="37" t="n">
        <v>9228</v>
      </c>
      <c r="H850" s="37" t="n">
        <v>525646.04</v>
      </c>
    </row>
    <row r="851" customFormat="false" ht="15" hidden="false" customHeight="false" outlineLevel="0" collapsed="false">
      <c r="A851" s="11" t="s">
        <v>3073</v>
      </c>
      <c r="B851" s="38" t="n">
        <v>46086</v>
      </c>
      <c r="C851" s="11" t="s">
        <v>1500</v>
      </c>
      <c r="D851" s="11" t="s">
        <v>307</v>
      </c>
      <c r="E851" s="11" t="s">
        <v>313</v>
      </c>
      <c r="F851" s="11" t="s">
        <v>3074</v>
      </c>
      <c r="G851" s="37" t="n">
        <v>-4747.68</v>
      </c>
      <c r="H851" s="37" t="n">
        <v>520898.36</v>
      </c>
    </row>
    <row r="852" customFormat="false" ht="15" hidden="false" customHeight="false" outlineLevel="0" collapsed="false">
      <c r="A852" s="11" t="s">
        <v>3075</v>
      </c>
      <c r="B852" s="38" t="n">
        <v>46086</v>
      </c>
      <c r="C852" s="11" t="s">
        <v>1496</v>
      </c>
      <c r="D852" s="11" t="s">
        <v>1497</v>
      </c>
      <c r="E852" s="11" t="s">
        <v>349</v>
      </c>
      <c r="F852" s="11" t="s">
        <v>3076</v>
      </c>
      <c r="G852" s="37" t="n">
        <v>25716</v>
      </c>
      <c r="H852" s="37" t="n">
        <v>546614.36</v>
      </c>
    </row>
    <row r="853" customFormat="false" ht="15" hidden="false" customHeight="false" outlineLevel="0" collapsed="false">
      <c r="A853" s="11" t="s">
        <v>3077</v>
      </c>
      <c r="B853" s="38" t="n">
        <v>46086</v>
      </c>
      <c r="C853" s="11" t="s">
        <v>1500</v>
      </c>
      <c r="D853" s="11" t="s">
        <v>469</v>
      </c>
      <c r="E853" s="11" t="s">
        <v>470</v>
      </c>
      <c r="F853" s="11"/>
      <c r="G853" s="37" t="n">
        <v>-8900</v>
      </c>
      <c r="H853" s="37" t="n">
        <v>537714.36</v>
      </c>
    </row>
    <row r="854" customFormat="false" ht="15" hidden="false" customHeight="false" outlineLevel="0" collapsed="false">
      <c r="A854" s="11" t="s">
        <v>3078</v>
      </c>
      <c r="B854" s="38" t="n">
        <v>46086</v>
      </c>
      <c r="C854" s="11" t="s">
        <v>1500</v>
      </c>
      <c r="D854" s="11" t="s">
        <v>307</v>
      </c>
      <c r="E854" s="11" t="s">
        <v>308</v>
      </c>
      <c r="F854" s="11" t="s">
        <v>3079</v>
      </c>
      <c r="G854" s="37" t="n">
        <v>-32660.24</v>
      </c>
      <c r="H854" s="37" t="n">
        <v>505054.12</v>
      </c>
    </row>
    <row r="855" customFormat="false" ht="15" hidden="false" customHeight="false" outlineLevel="0" collapsed="false">
      <c r="A855" s="11" t="s">
        <v>3080</v>
      </c>
      <c r="B855" s="38" t="n">
        <v>46086</v>
      </c>
      <c r="C855" s="11" t="s">
        <v>1496</v>
      </c>
      <c r="D855" s="11" t="s">
        <v>1497</v>
      </c>
      <c r="E855" s="11" t="s">
        <v>392</v>
      </c>
      <c r="F855" s="11" t="s">
        <v>3081</v>
      </c>
      <c r="G855" s="37" t="n">
        <v>15264</v>
      </c>
      <c r="H855" s="37" t="n">
        <v>520318.12</v>
      </c>
    </row>
    <row r="856" customFormat="false" ht="15" hidden="false" customHeight="false" outlineLevel="0" collapsed="false">
      <c r="A856" s="11" t="s">
        <v>3082</v>
      </c>
      <c r="B856" s="38" t="n">
        <v>46086</v>
      </c>
      <c r="C856" s="11" t="s">
        <v>1500</v>
      </c>
      <c r="D856" s="11" t="s">
        <v>307</v>
      </c>
      <c r="E856" s="11" t="s">
        <v>420</v>
      </c>
      <c r="F856" s="11" t="s">
        <v>3083</v>
      </c>
      <c r="G856" s="37" t="n">
        <v>-106441.79</v>
      </c>
      <c r="H856" s="37" t="n">
        <v>413876.33</v>
      </c>
    </row>
    <row r="857" customFormat="false" ht="15" hidden="false" customHeight="false" outlineLevel="0" collapsed="false">
      <c r="A857" s="11" t="s">
        <v>3084</v>
      </c>
      <c r="B857" s="38" t="n">
        <v>46087</v>
      </c>
      <c r="C857" s="11" t="s">
        <v>1496</v>
      </c>
      <c r="D857" s="11" t="s">
        <v>1497</v>
      </c>
      <c r="E857" s="11" t="s">
        <v>287</v>
      </c>
      <c r="F857" s="11" t="s">
        <v>3085</v>
      </c>
      <c r="G857" s="37" t="n">
        <v>2796</v>
      </c>
      <c r="H857" s="37" t="n">
        <v>416672.33</v>
      </c>
    </row>
    <row r="858" customFormat="false" ht="15" hidden="false" customHeight="false" outlineLevel="0" collapsed="false">
      <c r="A858" s="11" t="s">
        <v>3086</v>
      </c>
      <c r="B858" s="38" t="n">
        <v>46087</v>
      </c>
      <c r="C858" s="11" t="s">
        <v>1496</v>
      </c>
      <c r="D858" s="11" t="s">
        <v>1497</v>
      </c>
      <c r="E858" s="11" t="s">
        <v>335</v>
      </c>
      <c r="F858" s="11" t="s">
        <v>3087</v>
      </c>
      <c r="G858" s="37" t="n">
        <v>10800</v>
      </c>
      <c r="H858" s="37" t="n">
        <v>427472.33</v>
      </c>
    </row>
    <row r="859" customFormat="false" ht="15" hidden="false" customHeight="false" outlineLevel="0" collapsed="false">
      <c r="A859" s="11" t="s">
        <v>3088</v>
      </c>
      <c r="B859" s="38" t="n">
        <v>46087</v>
      </c>
      <c r="C859" s="11" t="s">
        <v>1496</v>
      </c>
      <c r="D859" s="11" t="s">
        <v>1497</v>
      </c>
      <c r="E859" s="11" t="s">
        <v>335</v>
      </c>
      <c r="F859" s="11" t="s">
        <v>3089</v>
      </c>
      <c r="G859" s="37" t="n">
        <v>4620</v>
      </c>
      <c r="H859" s="37" t="n">
        <v>432092.33</v>
      </c>
    </row>
    <row r="860" customFormat="false" ht="15" hidden="false" customHeight="false" outlineLevel="0" collapsed="false">
      <c r="A860" s="11" t="s">
        <v>3090</v>
      </c>
      <c r="B860" s="38" t="n">
        <v>46087</v>
      </c>
      <c r="C860" s="11" t="s">
        <v>1496</v>
      </c>
      <c r="D860" s="11" t="s">
        <v>1497</v>
      </c>
      <c r="E860" s="11" t="s">
        <v>280</v>
      </c>
      <c r="F860" s="11" t="s">
        <v>3091</v>
      </c>
      <c r="G860" s="37" t="n">
        <v>2784</v>
      </c>
      <c r="H860" s="37" t="n">
        <v>434876.33</v>
      </c>
    </row>
    <row r="861" customFormat="false" ht="15" hidden="false" customHeight="false" outlineLevel="0" collapsed="false">
      <c r="A861" s="11" t="s">
        <v>3092</v>
      </c>
      <c r="B861" s="38" t="n">
        <v>46090</v>
      </c>
      <c r="C861" s="11" t="s">
        <v>1496</v>
      </c>
      <c r="D861" s="11" t="s">
        <v>1497</v>
      </c>
      <c r="E861" s="11" t="s">
        <v>335</v>
      </c>
      <c r="F861" s="11" t="s">
        <v>3093</v>
      </c>
      <c r="G861" s="37" t="n">
        <v>4980</v>
      </c>
      <c r="H861" s="37" t="n">
        <v>439856.33</v>
      </c>
    </row>
    <row r="862" customFormat="false" ht="15" hidden="false" customHeight="false" outlineLevel="0" collapsed="false">
      <c r="A862" s="11" t="s">
        <v>3094</v>
      </c>
      <c r="B862" s="38" t="n">
        <v>46090</v>
      </c>
      <c r="C862" s="11" t="s">
        <v>1496</v>
      </c>
      <c r="D862" s="11" t="s">
        <v>1497</v>
      </c>
      <c r="E862" s="11" t="s">
        <v>327</v>
      </c>
      <c r="F862" s="11" t="s">
        <v>3095</v>
      </c>
      <c r="G862" s="37" t="n">
        <v>32388</v>
      </c>
      <c r="H862" s="37" t="n">
        <v>472244.33</v>
      </c>
    </row>
    <row r="863" customFormat="false" ht="15" hidden="false" customHeight="false" outlineLevel="0" collapsed="false">
      <c r="A863" s="11" t="s">
        <v>3096</v>
      </c>
      <c r="B863" s="38" t="n">
        <v>46090</v>
      </c>
      <c r="C863" s="11" t="s">
        <v>1500</v>
      </c>
      <c r="D863" s="11" t="s">
        <v>480</v>
      </c>
      <c r="E863" s="11" t="s">
        <v>481</v>
      </c>
      <c r="F863" s="11"/>
      <c r="G863" s="37" t="n">
        <v>-9840</v>
      </c>
      <c r="H863" s="37" t="n">
        <v>462404.33</v>
      </c>
    </row>
    <row r="864" customFormat="false" ht="15" hidden="false" customHeight="false" outlineLevel="0" collapsed="false">
      <c r="A864" s="11" t="s">
        <v>3097</v>
      </c>
      <c r="B864" s="38" t="n">
        <v>46090</v>
      </c>
      <c r="C864" s="11" t="s">
        <v>1496</v>
      </c>
      <c r="D864" s="11" t="s">
        <v>1497</v>
      </c>
      <c r="E864" s="11" t="s">
        <v>280</v>
      </c>
      <c r="F864" s="11" t="s">
        <v>3098</v>
      </c>
      <c r="G864" s="37" t="n">
        <v>10368</v>
      </c>
      <c r="H864" s="37" t="n">
        <v>472772.33</v>
      </c>
    </row>
    <row r="865" customFormat="false" ht="15" hidden="false" customHeight="false" outlineLevel="0" collapsed="false">
      <c r="A865" s="11" t="s">
        <v>3099</v>
      </c>
      <c r="B865" s="38" t="n">
        <v>46091</v>
      </c>
      <c r="C865" s="11" t="s">
        <v>1496</v>
      </c>
      <c r="D865" s="11" t="s">
        <v>1497</v>
      </c>
      <c r="E865" s="11" t="s">
        <v>399</v>
      </c>
      <c r="F865" s="11" t="s">
        <v>3100</v>
      </c>
      <c r="G865" s="37" t="n">
        <v>10692</v>
      </c>
      <c r="H865" s="37" t="n">
        <v>483464.33</v>
      </c>
    </row>
    <row r="866" customFormat="false" ht="15" hidden="false" customHeight="false" outlineLevel="0" collapsed="false">
      <c r="A866" s="11" t="s">
        <v>3101</v>
      </c>
      <c r="B866" s="38" t="n">
        <v>46091</v>
      </c>
      <c r="C866" s="11" t="s">
        <v>1500</v>
      </c>
      <c r="D866" s="11" t="s">
        <v>272</v>
      </c>
      <c r="E866" s="11" t="s">
        <v>273</v>
      </c>
      <c r="F866" s="11"/>
      <c r="G866" s="37" t="n">
        <v>-3840</v>
      </c>
      <c r="H866" s="37" t="n">
        <v>479624.33</v>
      </c>
    </row>
    <row r="867" customFormat="false" ht="15" hidden="false" customHeight="false" outlineLevel="0" collapsed="false">
      <c r="A867" s="11" t="s">
        <v>3102</v>
      </c>
      <c r="B867" s="38" t="n">
        <v>46091</v>
      </c>
      <c r="C867" s="11" t="s">
        <v>1496</v>
      </c>
      <c r="D867" s="11" t="s">
        <v>1497</v>
      </c>
      <c r="E867" s="11" t="s">
        <v>349</v>
      </c>
      <c r="F867" s="11" t="s">
        <v>3103</v>
      </c>
      <c r="G867" s="37" t="n">
        <v>25512</v>
      </c>
      <c r="H867" s="37" t="n">
        <v>505136.33</v>
      </c>
    </row>
    <row r="868" customFormat="false" ht="15" hidden="false" customHeight="false" outlineLevel="0" collapsed="false">
      <c r="A868" s="11" t="s">
        <v>3104</v>
      </c>
      <c r="B868" s="38" t="n">
        <v>46092</v>
      </c>
      <c r="C868" s="11" t="s">
        <v>1500</v>
      </c>
      <c r="D868" s="11" t="s">
        <v>291</v>
      </c>
      <c r="E868" s="11" t="s">
        <v>292</v>
      </c>
      <c r="F868" s="11"/>
      <c r="G868" s="37" t="n">
        <v>-4469.96</v>
      </c>
      <c r="H868" s="37" t="n">
        <v>500666.37</v>
      </c>
    </row>
    <row r="869" customFormat="false" ht="15" hidden="false" customHeight="false" outlineLevel="0" collapsed="false">
      <c r="A869" s="11" t="s">
        <v>3105</v>
      </c>
      <c r="B869" s="38" t="n">
        <v>46093</v>
      </c>
      <c r="C869" s="11" t="s">
        <v>1496</v>
      </c>
      <c r="D869" s="11" t="s">
        <v>1497</v>
      </c>
      <c r="E869" s="11" t="s">
        <v>335</v>
      </c>
      <c r="F869" s="11" t="s">
        <v>3106</v>
      </c>
      <c r="G869" s="37" t="n">
        <v>7572</v>
      </c>
      <c r="H869" s="37" t="n">
        <v>508238.37</v>
      </c>
    </row>
    <row r="870" customFormat="false" ht="15" hidden="false" customHeight="false" outlineLevel="0" collapsed="false">
      <c r="A870" s="11" t="s">
        <v>3107</v>
      </c>
      <c r="B870" s="38" t="n">
        <v>46093</v>
      </c>
      <c r="C870" s="11" t="s">
        <v>1500</v>
      </c>
      <c r="D870" s="11" t="s">
        <v>307</v>
      </c>
      <c r="E870" s="11" t="s">
        <v>313</v>
      </c>
      <c r="F870" s="11" t="s">
        <v>3108</v>
      </c>
      <c r="G870" s="37" t="n">
        <v>-4941.47</v>
      </c>
      <c r="H870" s="37" t="n">
        <v>503296.9</v>
      </c>
    </row>
    <row r="871" customFormat="false" ht="15" hidden="false" customHeight="false" outlineLevel="0" collapsed="false">
      <c r="A871" s="11" t="s">
        <v>3109</v>
      </c>
      <c r="B871" s="38" t="n">
        <v>46093</v>
      </c>
      <c r="C871" s="11" t="s">
        <v>1496</v>
      </c>
      <c r="D871" s="11" t="s">
        <v>1497</v>
      </c>
      <c r="E871" s="11" t="s">
        <v>392</v>
      </c>
      <c r="F871" s="11" t="s">
        <v>3110</v>
      </c>
      <c r="G871" s="37" t="n">
        <v>13560</v>
      </c>
      <c r="H871" s="37" t="n">
        <v>516856.9</v>
      </c>
    </row>
    <row r="872" customFormat="false" ht="15" hidden="false" customHeight="false" outlineLevel="0" collapsed="false">
      <c r="A872" s="11" t="s">
        <v>3111</v>
      </c>
      <c r="B872" s="38" t="n">
        <v>46093</v>
      </c>
      <c r="C872" s="11" t="s">
        <v>1500</v>
      </c>
      <c r="D872" s="11" t="s">
        <v>307</v>
      </c>
      <c r="E872" s="11" t="s">
        <v>464</v>
      </c>
      <c r="F872" s="11" t="s">
        <v>3112</v>
      </c>
      <c r="G872" s="37" t="n">
        <v>-11689.78</v>
      </c>
      <c r="H872" s="37" t="n">
        <v>505167.12</v>
      </c>
    </row>
    <row r="873" customFormat="false" ht="15" hidden="false" customHeight="false" outlineLevel="0" collapsed="false">
      <c r="A873" s="11" t="s">
        <v>3113</v>
      </c>
      <c r="B873" s="38" t="n">
        <v>46093</v>
      </c>
      <c r="C873" s="11" t="s">
        <v>1500</v>
      </c>
      <c r="D873" s="11" t="s">
        <v>307</v>
      </c>
      <c r="E873" s="11" t="s">
        <v>458</v>
      </c>
      <c r="F873" s="11" t="s">
        <v>3114</v>
      </c>
      <c r="G873" s="37" t="n">
        <v>-29148.98</v>
      </c>
      <c r="H873" s="37" t="n">
        <v>476018.14</v>
      </c>
    </row>
    <row r="874" customFormat="false" ht="15" hidden="false" customHeight="false" outlineLevel="0" collapsed="false">
      <c r="A874" s="11" t="s">
        <v>3115</v>
      </c>
      <c r="B874" s="38" t="n">
        <v>46093</v>
      </c>
      <c r="C874" s="11" t="s">
        <v>1496</v>
      </c>
      <c r="D874" s="11" t="s">
        <v>1497</v>
      </c>
      <c r="E874" s="11" t="s">
        <v>287</v>
      </c>
      <c r="F874" s="11" t="s">
        <v>3116</v>
      </c>
      <c r="G874" s="37" t="n">
        <v>4680</v>
      </c>
      <c r="H874" s="37" t="n">
        <v>480698.14</v>
      </c>
    </row>
    <row r="875" customFormat="false" ht="15" hidden="false" customHeight="false" outlineLevel="0" collapsed="false">
      <c r="A875" s="11" t="s">
        <v>3117</v>
      </c>
      <c r="B875" s="38" t="n">
        <v>46093</v>
      </c>
      <c r="C875" s="11" t="s">
        <v>1496</v>
      </c>
      <c r="D875" s="11" t="s">
        <v>1497</v>
      </c>
      <c r="E875" s="11" t="s">
        <v>349</v>
      </c>
      <c r="F875" s="11" t="s">
        <v>3118</v>
      </c>
      <c r="G875" s="37" t="n">
        <v>23796</v>
      </c>
      <c r="H875" s="37" t="n">
        <v>504494.14</v>
      </c>
    </row>
    <row r="876" customFormat="false" ht="15" hidden="false" customHeight="false" outlineLevel="0" collapsed="false">
      <c r="A876" s="11" t="s">
        <v>3119</v>
      </c>
      <c r="B876" s="38" t="n">
        <v>46094</v>
      </c>
      <c r="C876" s="11" t="s">
        <v>1496</v>
      </c>
      <c r="D876" s="11" t="s">
        <v>1497</v>
      </c>
      <c r="E876" s="11" t="s">
        <v>335</v>
      </c>
      <c r="F876" s="11" t="s">
        <v>3120</v>
      </c>
      <c r="G876" s="37" t="n">
        <v>5988</v>
      </c>
      <c r="H876" s="37" t="n">
        <v>510482.14</v>
      </c>
    </row>
    <row r="877" customFormat="false" ht="15" hidden="false" customHeight="false" outlineLevel="0" collapsed="false">
      <c r="A877" s="11" t="s">
        <v>3121</v>
      </c>
      <c r="B877" s="38" t="n">
        <v>46097</v>
      </c>
      <c r="C877" s="11" t="s">
        <v>1496</v>
      </c>
      <c r="D877" s="11" t="s">
        <v>1497</v>
      </c>
      <c r="E877" s="11" t="s">
        <v>287</v>
      </c>
      <c r="F877" s="11" t="s">
        <v>3122</v>
      </c>
      <c r="G877" s="37" t="n">
        <v>5316</v>
      </c>
      <c r="H877" s="37" t="n">
        <v>515798.14</v>
      </c>
    </row>
    <row r="878" customFormat="false" ht="15" hidden="false" customHeight="false" outlineLevel="0" collapsed="false">
      <c r="A878" s="11" t="s">
        <v>3123</v>
      </c>
      <c r="B878" s="38" t="n">
        <v>46097</v>
      </c>
      <c r="C878" s="11" t="s">
        <v>1500</v>
      </c>
      <c r="D878" s="11" t="s">
        <v>317</v>
      </c>
      <c r="E878" s="11" t="s">
        <v>318</v>
      </c>
      <c r="F878" s="11"/>
      <c r="G878" s="37" t="n">
        <v>-86000</v>
      </c>
      <c r="H878" s="37" t="n">
        <v>429798.14</v>
      </c>
    </row>
    <row r="879" customFormat="false" ht="15" hidden="false" customHeight="false" outlineLevel="0" collapsed="false">
      <c r="A879" s="11" t="s">
        <v>3124</v>
      </c>
      <c r="B879" s="38" t="n">
        <v>46097</v>
      </c>
      <c r="C879" s="11" t="s">
        <v>1500</v>
      </c>
      <c r="D879" s="11" t="s">
        <v>722</v>
      </c>
      <c r="E879" s="11" t="s">
        <v>384</v>
      </c>
      <c r="F879" s="11"/>
      <c r="G879" s="37" t="n">
        <v>-24500</v>
      </c>
      <c r="H879" s="37" t="n">
        <v>405298.14</v>
      </c>
    </row>
    <row r="880" customFormat="false" ht="15" hidden="false" customHeight="false" outlineLevel="0" collapsed="false">
      <c r="A880" s="11" t="s">
        <v>3125</v>
      </c>
      <c r="B880" s="38" t="n">
        <v>46097</v>
      </c>
      <c r="C880" s="11" t="s">
        <v>1496</v>
      </c>
      <c r="D880" s="11" t="s">
        <v>1497</v>
      </c>
      <c r="E880" s="11" t="s">
        <v>327</v>
      </c>
      <c r="F880" s="11" t="s">
        <v>3126</v>
      </c>
      <c r="G880" s="37" t="n">
        <v>19152</v>
      </c>
      <c r="H880" s="37" t="n">
        <v>424450.14</v>
      </c>
    </row>
    <row r="881" customFormat="false" ht="15" hidden="false" customHeight="false" outlineLevel="0" collapsed="false">
      <c r="A881" s="11" t="s">
        <v>3127</v>
      </c>
      <c r="B881" s="38" t="n">
        <v>46097</v>
      </c>
      <c r="C881" s="11" t="s">
        <v>1496</v>
      </c>
      <c r="D881" s="11" t="s">
        <v>1497</v>
      </c>
      <c r="E881" s="11" t="s">
        <v>331</v>
      </c>
      <c r="F881" s="11" t="s">
        <v>3128</v>
      </c>
      <c r="G881" s="37" t="n">
        <v>10452</v>
      </c>
      <c r="H881" s="37" t="n">
        <v>434902.14</v>
      </c>
    </row>
    <row r="882" customFormat="false" ht="15" hidden="false" customHeight="false" outlineLevel="0" collapsed="false">
      <c r="A882" s="11" t="s">
        <v>3129</v>
      </c>
      <c r="B882" s="38" t="n">
        <v>46097</v>
      </c>
      <c r="C882" s="11" t="s">
        <v>1496</v>
      </c>
      <c r="D882" s="11" t="s">
        <v>1497</v>
      </c>
      <c r="E882" s="11" t="s">
        <v>331</v>
      </c>
      <c r="F882" s="11" t="s">
        <v>3130</v>
      </c>
      <c r="G882" s="37" t="n">
        <v>6684</v>
      </c>
      <c r="H882" s="37" t="n">
        <v>441586.14</v>
      </c>
    </row>
    <row r="883" customFormat="false" ht="15" hidden="false" customHeight="false" outlineLevel="0" collapsed="false">
      <c r="A883" s="11" t="s">
        <v>3131</v>
      </c>
      <c r="B883" s="38" t="n">
        <v>46097</v>
      </c>
      <c r="C883" s="11" t="s">
        <v>1496</v>
      </c>
      <c r="D883" s="11" t="s">
        <v>1497</v>
      </c>
      <c r="E883" s="11" t="s">
        <v>280</v>
      </c>
      <c r="F883" s="11" t="s">
        <v>3132</v>
      </c>
      <c r="G883" s="37" t="n">
        <v>13800</v>
      </c>
      <c r="H883" s="37" t="n">
        <v>455386.14</v>
      </c>
    </row>
    <row r="884" customFormat="false" ht="15" hidden="false" customHeight="false" outlineLevel="0" collapsed="false">
      <c r="A884" s="11" t="s">
        <v>3133</v>
      </c>
      <c r="B884" s="38" t="n">
        <v>46097</v>
      </c>
      <c r="C884" s="11" t="s">
        <v>1496</v>
      </c>
      <c r="D884" s="11" t="s">
        <v>1497</v>
      </c>
      <c r="E884" s="11" t="s">
        <v>287</v>
      </c>
      <c r="F884" s="11" t="s">
        <v>3134</v>
      </c>
      <c r="G884" s="37" t="n">
        <v>4152</v>
      </c>
      <c r="H884" s="37" t="n">
        <v>459538.14</v>
      </c>
    </row>
    <row r="885" customFormat="false" ht="15" hidden="false" customHeight="false" outlineLevel="0" collapsed="false">
      <c r="A885" s="11" t="s">
        <v>3135</v>
      </c>
      <c r="B885" s="38" t="n">
        <v>46099</v>
      </c>
      <c r="C885" s="11" t="s">
        <v>1496</v>
      </c>
      <c r="D885" s="11" t="s">
        <v>1497</v>
      </c>
      <c r="E885" s="11" t="s">
        <v>399</v>
      </c>
      <c r="F885" s="11" t="s">
        <v>3136</v>
      </c>
      <c r="G885" s="37" t="n">
        <v>16656</v>
      </c>
      <c r="H885" s="37" t="n">
        <v>476194.14</v>
      </c>
    </row>
    <row r="886" customFormat="false" ht="15" hidden="false" customHeight="false" outlineLevel="0" collapsed="false">
      <c r="A886" s="11" t="s">
        <v>3137</v>
      </c>
      <c r="B886" s="38" t="n">
        <v>46099</v>
      </c>
      <c r="C886" s="11" t="s">
        <v>1496</v>
      </c>
      <c r="D886" s="11" t="s">
        <v>1497</v>
      </c>
      <c r="E886" s="11" t="s">
        <v>287</v>
      </c>
      <c r="F886" s="11" t="s">
        <v>3138</v>
      </c>
      <c r="G886" s="37" t="n">
        <v>3288</v>
      </c>
      <c r="H886" s="37" t="n">
        <v>479482.14</v>
      </c>
    </row>
    <row r="887" customFormat="false" ht="15" hidden="false" customHeight="false" outlineLevel="0" collapsed="false">
      <c r="A887" s="11" t="s">
        <v>3139</v>
      </c>
      <c r="B887" s="38" t="n">
        <v>46099</v>
      </c>
      <c r="C887" s="11" t="s">
        <v>1500</v>
      </c>
      <c r="D887" s="11" t="s">
        <v>291</v>
      </c>
      <c r="E887" s="11" t="s">
        <v>292</v>
      </c>
      <c r="F887" s="11"/>
      <c r="G887" s="37" t="n">
        <v>-5124.49</v>
      </c>
      <c r="H887" s="37" t="n">
        <v>474357.65</v>
      </c>
    </row>
    <row r="888" customFormat="false" ht="15" hidden="false" customHeight="false" outlineLevel="0" collapsed="false">
      <c r="A888" s="11" t="s">
        <v>3140</v>
      </c>
      <c r="B888" s="38" t="n">
        <v>46099</v>
      </c>
      <c r="C888" s="11" t="s">
        <v>1496</v>
      </c>
      <c r="D888" s="11" t="s">
        <v>1497</v>
      </c>
      <c r="E888" s="11" t="s">
        <v>331</v>
      </c>
      <c r="F888" s="11" t="s">
        <v>3141</v>
      </c>
      <c r="G888" s="37" t="n">
        <v>14316</v>
      </c>
      <c r="H888" s="37" t="n">
        <v>488673.65</v>
      </c>
    </row>
    <row r="889" customFormat="false" ht="15" hidden="false" customHeight="false" outlineLevel="0" collapsed="false">
      <c r="A889" s="11" t="s">
        <v>3142</v>
      </c>
      <c r="B889" s="38" t="n">
        <v>46100</v>
      </c>
      <c r="C889" s="11" t="s">
        <v>1500</v>
      </c>
      <c r="D889" s="11" t="s">
        <v>307</v>
      </c>
      <c r="E889" s="11" t="s">
        <v>313</v>
      </c>
      <c r="F889" s="11" t="s">
        <v>3143</v>
      </c>
      <c r="G889" s="37" t="n">
        <v>-4689.91</v>
      </c>
      <c r="H889" s="37" t="n">
        <v>483983.74</v>
      </c>
    </row>
    <row r="890" customFormat="false" ht="15" hidden="false" customHeight="false" outlineLevel="0" collapsed="false">
      <c r="A890" s="11" t="s">
        <v>3144</v>
      </c>
      <c r="B890" s="38" t="n">
        <v>46100</v>
      </c>
      <c r="C890" s="11" t="s">
        <v>1500</v>
      </c>
      <c r="D890" s="11" t="s">
        <v>307</v>
      </c>
      <c r="E890" s="11" t="s">
        <v>308</v>
      </c>
      <c r="F890" s="11" t="s">
        <v>3145</v>
      </c>
      <c r="G890" s="37" t="n">
        <v>-31458.61</v>
      </c>
      <c r="H890" s="37" t="n">
        <v>452525.13</v>
      </c>
    </row>
    <row r="891" customFormat="false" ht="15" hidden="false" customHeight="false" outlineLevel="0" collapsed="false">
      <c r="A891" s="11" t="s">
        <v>3146</v>
      </c>
      <c r="B891" s="38" t="n">
        <v>46100</v>
      </c>
      <c r="C891" s="11" t="s">
        <v>1496</v>
      </c>
      <c r="D891" s="11" t="s">
        <v>1497</v>
      </c>
      <c r="E891" s="11" t="s">
        <v>323</v>
      </c>
      <c r="F891" s="11" t="s">
        <v>3147</v>
      </c>
      <c r="G891" s="37" t="n">
        <v>8124</v>
      </c>
      <c r="H891" s="37" t="n">
        <v>460649.13</v>
      </c>
    </row>
    <row r="892" customFormat="false" ht="15" hidden="false" customHeight="false" outlineLevel="0" collapsed="false">
      <c r="A892" s="11" t="s">
        <v>3148</v>
      </c>
      <c r="B892" s="38" t="n">
        <v>46100</v>
      </c>
      <c r="C892" s="11" t="s">
        <v>1496</v>
      </c>
      <c r="D892" s="11" t="s">
        <v>1497</v>
      </c>
      <c r="E892" s="11" t="s">
        <v>280</v>
      </c>
      <c r="F892" s="11" t="s">
        <v>3149</v>
      </c>
      <c r="G892" s="37" t="n">
        <v>5136</v>
      </c>
      <c r="H892" s="37" t="n">
        <v>465785.13</v>
      </c>
    </row>
    <row r="893" customFormat="false" ht="15" hidden="false" customHeight="false" outlineLevel="0" collapsed="false">
      <c r="A893" s="11" t="s">
        <v>3150</v>
      </c>
      <c r="B893" s="38" t="n">
        <v>46101</v>
      </c>
      <c r="C893" s="11" t="s">
        <v>1500</v>
      </c>
      <c r="D893" s="11" t="s">
        <v>3151</v>
      </c>
      <c r="E893" s="11" t="s">
        <v>3152</v>
      </c>
      <c r="F893" s="11"/>
      <c r="G893" s="37" t="n">
        <v>-28800</v>
      </c>
      <c r="H893" s="37" t="n">
        <v>436985.13</v>
      </c>
    </row>
    <row r="894" customFormat="false" ht="15" hidden="false" customHeight="false" outlineLevel="0" collapsed="false">
      <c r="A894" s="11" t="s">
        <v>3153</v>
      </c>
      <c r="B894" s="38" t="n">
        <v>46101</v>
      </c>
      <c r="C894" s="11" t="s">
        <v>1496</v>
      </c>
      <c r="D894" s="11" t="s">
        <v>1497</v>
      </c>
      <c r="E894" s="11" t="s">
        <v>323</v>
      </c>
      <c r="F894" s="11" t="s">
        <v>3154</v>
      </c>
      <c r="G894" s="37" t="n">
        <v>7236</v>
      </c>
      <c r="H894" s="37" t="n">
        <v>444221.13</v>
      </c>
    </row>
    <row r="895" customFormat="false" ht="15" hidden="false" customHeight="false" outlineLevel="0" collapsed="false">
      <c r="A895" s="11" t="s">
        <v>3155</v>
      </c>
      <c r="B895" s="38" t="n">
        <v>46101</v>
      </c>
      <c r="C895" s="11" t="s">
        <v>1496</v>
      </c>
      <c r="D895" s="11" t="s">
        <v>1497</v>
      </c>
      <c r="E895" s="11" t="s">
        <v>331</v>
      </c>
      <c r="F895" s="11" t="s">
        <v>3156</v>
      </c>
      <c r="G895" s="37" t="n">
        <v>4788</v>
      </c>
      <c r="H895" s="37" t="n">
        <v>449009.13</v>
      </c>
    </row>
    <row r="896" customFormat="false" ht="15" hidden="false" customHeight="false" outlineLevel="0" collapsed="false">
      <c r="A896" s="11" t="s">
        <v>3157</v>
      </c>
      <c r="B896" s="38" t="n">
        <v>46104</v>
      </c>
      <c r="C896" s="11" t="s">
        <v>1496</v>
      </c>
      <c r="D896" s="11" t="s">
        <v>1497</v>
      </c>
      <c r="E896" s="11" t="s">
        <v>327</v>
      </c>
      <c r="F896" s="11" t="s">
        <v>3158</v>
      </c>
      <c r="G896" s="37" t="n">
        <v>19812</v>
      </c>
      <c r="H896" s="37" t="n">
        <v>468821.13</v>
      </c>
    </row>
    <row r="897" customFormat="false" ht="15" hidden="false" customHeight="false" outlineLevel="0" collapsed="false">
      <c r="A897" s="11" t="s">
        <v>3159</v>
      </c>
      <c r="B897" s="38" t="n">
        <v>46104</v>
      </c>
      <c r="C897" s="11" t="s">
        <v>1496</v>
      </c>
      <c r="D897" s="11" t="s">
        <v>1497</v>
      </c>
      <c r="E897" s="11" t="s">
        <v>331</v>
      </c>
      <c r="F897" s="11" t="s">
        <v>3160</v>
      </c>
      <c r="G897" s="37" t="n">
        <v>19236</v>
      </c>
      <c r="H897" s="37" t="n">
        <v>488057.13</v>
      </c>
    </row>
    <row r="898" customFormat="false" ht="15" hidden="false" customHeight="false" outlineLevel="0" collapsed="false">
      <c r="A898" s="11" t="s">
        <v>3161</v>
      </c>
      <c r="B898" s="38" t="n">
        <v>46104</v>
      </c>
      <c r="C898" s="11" t="s">
        <v>1496</v>
      </c>
      <c r="D898" s="11" t="s">
        <v>1497</v>
      </c>
      <c r="E898" s="11" t="s">
        <v>331</v>
      </c>
      <c r="F898" s="11" t="s">
        <v>3162</v>
      </c>
      <c r="G898" s="37" t="n">
        <v>9780</v>
      </c>
      <c r="H898" s="37" t="n">
        <v>497837.13</v>
      </c>
    </row>
    <row r="899" customFormat="false" ht="15" hidden="false" customHeight="false" outlineLevel="0" collapsed="false">
      <c r="A899" s="11" t="s">
        <v>3163</v>
      </c>
      <c r="B899" s="38" t="n">
        <v>46105</v>
      </c>
      <c r="C899" s="11" t="s">
        <v>1496</v>
      </c>
      <c r="D899" s="11" t="s">
        <v>1497</v>
      </c>
      <c r="E899" s="11" t="s">
        <v>287</v>
      </c>
      <c r="F899" s="11" t="s">
        <v>3164</v>
      </c>
      <c r="G899" s="37" t="n">
        <v>4500</v>
      </c>
      <c r="H899" s="37" t="n">
        <v>502337.13</v>
      </c>
    </row>
    <row r="900" customFormat="false" ht="15" hidden="false" customHeight="false" outlineLevel="0" collapsed="false">
      <c r="A900" s="11" t="s">
        <v>3165</v>
      </c>
      <c r="B900" s="38" t="n">
        <v>46105</v>
      </c>
      <c r="C900" s="11" t="s">
        <v>1500</v>
      </c>
      <c r="D900" s="11" t="s">
        <v>383</v>
      </c>
      <c r="E900" s="11" t="s">
        <v>384</v>
      </c>
      <c r="F900" s="11" t="s">
        <v>3166</v>
      </c>
      <c r="G900" s="37" t="n">
        <v>-54127.92</v>
      </c>
      <c r="H900" s="37" t="n">
        <v>448209.21</v>
      </c>
    </row>
    <row r="901" customFormat="false" ht="15" hidden="false" customHeight="false" outlineLevel="0" collapsed="false">
      <c r="A901" s="11" t="s">
        <v>3167</v>
      </c>
      <c r="B901" s="38" t="n">
        <v>46106</v>
      </c>
      <c r="C901" s="11" t="s">
        <v>1500</v>
      </c>
      <c r="D901" s="11" t="s">
        <v>291</v>
      </c>
      <c r="E901" s="11" t="s">
        <v>292</v>
      </c>
      <c r="F901" s="11"/>
      <c r="G901" s="37" t="n">
        <v>-5082.66</v>
      </c>
      <c r="H901" s="37" t="n">
        <v>443126.55</v>
      </c>
    </row>
    <row r="902" customFormat="false" ht="15" hidden="false" customHeight="false" outlineLevel="0" collapsed="false">
      <c r="A902" s="11" t="s">
        <v>3168</v>
      </c>
      <c r="B902" s="38" t="n">
        <v>46106</v>
      </c>
      <c r="C902" s="11" t="s">
        <v>1496</v>
      </c>
      <c r="D902" s="11" t="s">
        <v>1497</v>
      </c>
      <c r="E902" s="11" t="s">
        <v>287</v>
      </c>
      <c r="F902" s="11" t="s">
        <v>3169</v>
      </c>
      <c r="G902" s="37" t="n">
        <v>2796</v>
      </c>
      <c r="H902" s="37" t="n">
        <v>445922.55</v>
      </c>
    </row>
    <row r="903" customFormat="false" ht="15" hidden="false" customHeight="false" outlineLevel="0" collapsed="false">
      <c r="A903" s="11" t="s">
        <v>3170</v>
      </c>
      <c r="B903" s="38" t="n">
        <v>46107</v>
      </c>
      <c r="C903" s="11" t="s">
        <v>1500</v>
      </c>
      <c r="D903" s="11" t="s">
        <v>307</v>
      </c>
      <c r="E903" s="11" t="s">
        <v>414</v>
      </c>
      <c r="F903" s="11" t="s">
        <v>3171</v>
      </c>
      <c r="G903" s="37" t="n">
        <v>-14980.52</v>
      </c>
      <c r="H903" s="37" t="n">
        <v>430942.03</v>
      </c>
    </row>
    <row r="904" customFormat="false" ht="15" hidden="false" customHeight="false" outlineLevel="0" collapsed="false">
      <c r="A904" s="11" t="s">
        <v>3172</v>
      </c>
      <c r="B904" s="38" t="n">
        <v>46107</v>
      </c>
      <c r="C904" s="11" t="s">
        <v>1500</v>
      </c>
      <c r="D904" s="11" t="s">
        <v>307</v>
      </c>
      <c r="E904" s="11" t="s">
        <v>313</v>
      </c>
      <c r="F904" s="11" t="s">
        <v>3173</v>
      </c>
      <c r="G904" s="37" t="n">
        <v>-4873.32</v>
      </c>
      <c r="H904" s="37" t="n">
        <v>426068.71</v>
      </c>
    </row>
    <row r="905" customFormat="false" ht="15" hidden="false" customHeight="false" outlineLevel="0" collapsed="false">
      <c r="A905" s="11" t="s">
        <v>3174</v>
      </c>
      <c r="B905" s="38" t="n">
        <v>46108</v>
      </c>
      <c r="C905" s="11" t="s">
        <v>1496</v>
      </c>
      <c r="D905" s="11" t="s">
        <v>1497</v>
      </c>
      <c r="E905" s="11" t="s">
        <v>335</v>
      </c>
      <c r="F905" s="11" t="s">
        <v>3175</v>
      </c>
      <c r="G905" s="37" t="n">
        <v>12216</v>
      </c>
      <c r="H905" s="37" t="n">
        <v>438284.71</v>
      </c>
    </row>
    <row r="906" customFormat="false" ht="15" hidden="false" customHeight="false" outlineLevel="0" collapsed="false">
      <c r="A906" s="11" t="s">
        <v>3176</v>
      </c>
      <c r="B906" s="38" t="n">
        <v>46111</v>
      </c>
      <c r="C906" s="11" t="s">
        <v>1496</v>
      </c>
      <c r="D906" s="11" t="s">
        <v>1497</v>
      </c>
      <c r="E906" s="11" t="s">
        <v>298</v>
      </c>
      <c r="F906" s="11" t="s">
        <v>3177</v>
      </c>
      <c r="G906" s="37" t="n">
        <v>8710</v>
      </c>
      <c r="H906" s="37" t="n">
        <v>446994.71</v>
      </c>
    </row>
    <row r="907" customFormat="false" ht="15" hidden="false" customHeight="false" outlineLevel="0" collapsed="false">
      <c r="A907" s="11" t="s">
        <v>3178</v>
      </c>
      <c r="B907" s="38" t="n">
        <v>46111</v>
      </c>
      <c r="C907" s="11" t="s">
        <v>1496</v>
      </c>
      <c r="D907" s="11" t="s">
        <v>1497</v>
      </c>
      <c r="E907" s="11" t="s">
        <v>331</v>
      </c>
      <c r="F907" s="11" t="s">
        <v>3179</v>
      </c>
      <c r="G907" s="37" t="n">
        <v>15408</v>
      </c>
      <c r="H907" s="37" t="n">
        <v>462402.71</v>
      </c>
    </row>
    <row r="908" customFormat="false" ht="15" hidden="false" customHeight="false" outlineLevel="0" collapsed="false">
      <c r="A908" s="11" t="s">
        <v>3180</v>
      </c>
      <c r="B908" s="38" t="n">
        <v>46111</v>
      </c>
      <c r="C908" s="11" t="s">
        <v>1496</v>
      </c>
      <c r="D908" s="11" t="s">
        <v>1497</v>
      </c>
      <c r="E908" s="11" t="s">
        <v>349</v>
      </c>
      <c r="F908" s="11" t="s">
        <v>3181</v>
      </c>
      <c r="G908" s="37" t="n">
        <v>11004</v>
      </c>
      <c r="H908" s="37" t="n">
        <v>473406.71</v>
      </c>
    </row>
    <row r="909" customFormat="false" ht="15" hidden="false" customHeight="false" outlineLevel="0" collapsed="false">
      <c r="A909" s="11" t="s">
        <v>3182</v>
      </c>
      <c r="B909" s="38" t="n">
        <v>46111</v>
      </c>
      <c r="C909" s="11" t="s">
        <v>1496</v>
      </c>
      <c r="D909" s="11" t="s">
        <v>1497</v>
      </c>
      <c r="E909" s="11" t="s">
        <v>280</v>
      </c>
      <c r="F909" s="11" t="s">
        <v>3183</v>
      </c>
      <c r="G909" s="37" t="n">
        <v>3180</v>
      </c>
      <c r="H909" s="37" t="n">
        <v>476586.71</v>
      </c>
    </row>
    <row r="910" customFormat="false" ht="15" hidden="false" customHeight="false" outlineLevel="0" collapsed="false">
      <c r="A910" s="11" t="s">
        <v>3184</v>
      </c>
      <c r="B910" s="38" t="n">
        <v>46111</v>
      </c>
      <c r="C910" s="11" t="s">
        <v>1496</v>
      </c>
      <c r="D910" s="11" t="s">
        <v>1497</v>
      </c>
      <c r="E910" s="11" t="s">
        <v>335</v>
      </c>
      <c r="F910" s="11" t="s">
        <v>3185</v>
      </c>
      <c r="G910" s="37" t="n">
        <v>4644</v>
      </c>
      <c r="H910" s="37" t="n">
        <v>481230.71</v>
      </c>
    </row>
    <row r="911" customFormat="false" ht="15" hidden="false" customHeight="false" outlineLevel="0" collapsed="false">
      <c r="A911" s="11" t="s">
        <v>3186</v>
      </c>
      <c r="B911" s="38" t="n">
        <v>46111</v>
      </c>
      <c r="C911" s="11" t="s">
        <v>1496</v>
      </c>
      <c r="D911" s="11" t="s">
        <v>1497</v>
      </c>
      <c r="E911" s="11" t="s">
        <v>280</v>
      </c>
      <c r="F911" s="11" t="s">
        <v>3187</v>
      </c>
      <c r="G911" s="37" t="n">
        <v>6312</v>
      </c>
      <c r="H911" s="37" t="n">
        <v>487542.71</v>
      </c>
    </row>
    <row r="912" customFormat="false" ht="15" hidden="false" customHeight="false" outlineLevel="0" collapsed="false">
      <c r="A912" s="11" t="s">
        <v>3188</v>
      </c>
      <c r="B912" s="38" t="n">
        <v>46111</v>
      </c>
      <c r="C912" s="11" t="s">
        <v>1496</v>
      </c>
      <c r="D912" s="11" t="s">
        <v>1497</v>
      </c>
      <c r="E912" s="11" t="s">
        <v>327</v>
      </c>
      <c r="F912" s="11" t="s">
        <v>3189</v>
      </c>
      <c r="G912" s="37" t="n">
        <v>23124</v>
      </c>
      <c r="H912" s="37" t="n">
        <v>510666.71</v>
      </c>
    </row>
    <row r="913" customFormat="false" ht="15" hidden="false" customHeight="false" outlineLevel="0" collapsed="false">
      <c r="A913" s="11" t="s">
        <v>3190</v>
      </c>
      <c r="B913" s="38" t="n">
        <v>46111</v>
      </c>
      <c r="C913" s="11" t="s">
        <v>1496</v>
      </c>
      <c r="D913" s="11" t="s">
        <v>1497</v>
      </c>
      <c r="E913" s="11" t="s">
        <v>399</v>
      </c>
      <c r="F913" s="11" t="s">
        <v>3191</v>
      </c>
      <c r="G913" s="37" t="n">
        <v>17748</v>
      </c>
      <c r="H913" s="37" t="n">
        <v>528414.71</v>
      </c>
    </row>
    <row r="914" customFormat="false" ht="15" hidden="false" customHeight="false" outlineLevel="0" collapsed="false">
      <c r="A914" s="11" t="s">
        <v>3192</v>
      </c>
      <c r="B914" s="38" t="n">
        <v>46112</v>
      </c>
      <c r="C914" s="11" t="s">
        <v>1496</v>
      </c>
      <c r="D914" s="11" t="s">
        <v>1497</v>
      </c>
      <c r="E914" s="11" t="s">
        <v>335</v>
      </c>
      <c r="F914" s="11" t="s">
        <v>3193</v>
      </c>
      <c r="G914" s="37" t="n">
        <v>5268</v>
      </c>
      <c r="H914" s="37" t="n">
        <v>533682.71</v>
      </c>
    </row>
    <row r="915" customFormat="false" ht="15" hidden="false" customHeight="false" outlineLevel="0" collapsed="false">
      <c r="A915" s="11" t="s">
        <v>3194</v>
      </c>
      <c r="B915" s="38" t="n">
        <v>46112</v>
      </c>
      <c r="C915" s="11" t="s">
        <v>1496</v>
      </c>
      <c r="D915" s="11" t="s">
        <v>1497</v>
      </c>
      <c r="E915" s="11" t="s">
        <v>335</v>
      </c>
      <c r="F915" s="11" t="s">
        <v>3195</v>
      </c>
      <c r="G915" s="37" t="n">
        <v>3864</v>
      </c>
      <c r="H915" s="37" t="n">
        <v>537546.71</v>
      </c>
    </row>
    <row r="916" customFormat="false" ht="15" hidden="false" customHeight="false" outlineLevel="0" collapsed="false">
      <c r="A916" s="11" t="s">
        <v>3196</v>
      </c>
      <c r="B916" s="38" t="n">
        <v>46112</v>
      </c>
      <c r="C916" s="11" t="s">
        <v>1500</v>
      </c>
      <c r="D916" s="11" t="s">
        <v>1634</v>
      </c>
      <c r="E916" s="11" t="s">
        <v>425</v>
      </c>
      <c r="F916" s="11"/>
      <c r="G916" s="37" t="n">
        <v>-106000</v>
      </c>
      <c r="H916" s="37" t="n">
        <v>431546.71</v>
      </c>
    </row>
    <row r="917" customFormat="false" ht="15" hidden="false" customHeight="false" outlineLevel="0" collapsed="false">
      <c r="A917" s="11" t="s">
        <v>3197</v>
      </c>
      <c r="B917" s="38" t="n">
        <v>46112</v>
      </c>
      <c r="C917" s="11" t="s">
        <v>1496</v>
      </c>
      <c r="D917" s="11" t="s">
        <v>1497</v>
      </c>
      <c r="E917" s="11" t="s">
        <v>335</v>
      </c>
      <c r="F917" s="11" t="s">
        <v>3198</v>
      </c>
      <c r="G917" s="37" t="n">
        <v>5040</v>
      </c>
      <c r="H917" s="37" t="n">
        <v>436586.71</v>
      </c>
    </row>
    <row r="918" customFormat="false" ht="15" hidden="false" customHeight="false" outlineLevel="0" collapsed="false">
      <c r="A918" s="11" t="s">
        <v>3199</v>
      </c>
      <c r="B918" s="38" t="n">
        <v>46113</v>
      </c>
      <c r="C918" s="11" t="s">
        <v>1500</v>
      </c>
      <c r="D918" s="11" t="s">
        <v>1503</v>
      </c>
      <c r="E918" s="11" t="s">
        <v>847</v>
      </c>
      <c r="F918" s="11"/>
      <c r="G918" s="37" t="n">
        <v>-23400</v>
      </c>
      <c r="H918" s="37" t="n">
        <v>413186.71</v>
      </c>
    </row>
    <row r="919" customFormat="false" ht="15" hidden="false" customHeight="false" outlineLevel="0" collapsed="false">
      <c r="A919" s="11" t="s">
        <v>3200</v>
      </c>
      <c r="B919" s="38" t="n">
        <v>46113</v>
      </c>
      <c r="C919" s="11" t="s">
        <v>1500</v>
      </c>
      <c r="D919" s="11" t="s">
        <v>291</v>
      </c>
      <c r="E919" s="11" t="s">
        <v>292</v>
      </c>
      <c r="F919" s="11"/>
      <c r="G919" s="37" t="n">
        <v>-4414.41</v>
      </c>
      <c r="H919" s="37" t="n">
        <v>408772.3</v>
      </c>
    </row>
    <row r="920" customFormat="false" ht="15" hidden="false" customHeight="false" outlineLevel="0" collapsed="false">
      <c r="A920" s="11" t="s">
        <v>3201</v>
      </c>
      <c r="B920" s="38" t="n">
        <v>46113</v>
      </c>
      <c r="C920" s="11" t="s">
        <v>1500</v>
      </c>
      <c r="D920" s="11" t="s">
        <v>1501</v>
      </c>
      <c r="E920" s="11" t="s">
        <v>853</v>
      </c>
      <c r="F920" s="11"/>
      <c r="G920" s="37" t="n">
        <v>-7800</v>
      </c>
      <c r="H920" s="37" t="n">
        <v>400972.3</v>
      </c>
    </row>
    <row r="921" customFormat="false" ht="15" hidden="false" customHeight="false" outlineLevel="0" collapsed="false">
      <c r="A921" s="11" t="s">
        <v>3202</v>
      </c>
      <c r="B921" s="38" t="n">
        <v>46113</v>
      </c>
      <c r="C921" s="11" t="s">
        <v>1496</v>
      </c>
      <c r="D921" s="11" t="s">
        <v>1497</v>
      </c>
      <c r="E921" s="11" t="s">
        <v>331</v>
      </c>
      <c r="F921" s="11" t="s">
        <v>3203</v>
      </c>
      <c r="G921" s="37" t="n">
        <v>5976</v>
      </c>
      <c r="H921" s="37" t="n">
        <v>406948.3</v>
      </c>
    </row>
    <row r="922" customFormat="false" ht="15" hidden="false" customHeight="false" outlineLevel="0" collapsed="false">
      <c r="A922" s="11" t="s">
        <v>3204</v>
      </c>
      <c r="B922" s="38" t="n">
        <v>46114</v>
      </c>
      <c r="C922" s="11" t="s">
        <v>1500</v>
      </c>
      <c r="D922" s="11" t="s">
        <v>307</v>
      </c>
      <c r="E922" s="11" t="s">
        <v>420</v>
      </c>
      <c r="F922" s="11" t="s">
        <v>3205</v>
      </c>
      <c r="G922" s="37" t="n">
        <v>-109452.55</v>
      </c>
      <c r="H922" s="37" t="n">
        <v>297495.75</v>
      </c>
    </row>
    <row r="923" customFormat="false" ht="15" hidden="false" customHeight="false" outlineLevel="0" collapsed="false">
      <c r="A923" s="11" t="s">
        <v>3206</v>
      </c>
      <c r="B923" s="38" t="n">
        <v>46114</v>
      </c>
      <c r="C923" s="11" t="s">
        <v>1500</v>
      </c>
      <c r="D923" s="11" t="s">
        <v>307</v>
      </c>
      <c r="E923" s="11" t="s">
        <v>308</v>
      </c>
      <c r="F923" s="11" t="s">
        <v>3207</v>
      </c>
      <c r="G923" s="37" t="n">
        <v>-30377.87</v>
      </c>
      <c r="H923" s="37" t="n">
        <v>267117.88</v>
      </c>
    </row>
    <row r="924" customFormat="false" ht="15" hidden="false" customHeight="false" outlineLevel="0" collapsed="false">
      <c r="A924" s="11" t="s">
        <v>3208</v>
      </c>
      <c r="B924" s="38" t="n">
        <v>46114</v>
      </c>
      <c r="C924" s="11" t="s">
        <v>1500</v>
      </c>
      <c r="D924" s="11" t="s">
        <v>307</v>
      </c>
      <c r="E924" s="11" t="s">
        <v>313</v>
      </c>
      <c r="F924" s="11" t="s">
        <v>3209</v>
      </c>
      <c r="G924" s="37" t="n">
        <v>-5676.14</v>
      </c>
      <c r="H924" s="37" t="n">
        <v>261441.74</v>
      </c>
    </row>
    <row r="925" customFormat="false" ht="15" hidden="false" customHeight="false" outlineLevel="0" collapsed="false">
      <c r="A925" s="11" t="s">
        <v>3210</v>
      </c>
      <c r="B925" s="38" t="n">
        <v>46114</v>
      </c>
      <c r="C925" s="11" t="s">
        <v>1496</v>
      </c>
      <c r="D925" s="11" t="s">
        <v>1497</v>
      </c>
      <c r="E925" s="11" t="s">
        <v>280</v>
      </c>
      <c r="F925" s="11" t="s">
        <v>3211</v>
      </c>
      <c r="G925" s="37" t="n">
        <v>7068</v>
      </c>
      <c r="H925" s="37" t="n">
        <v>268509.74</v>
      </c>
    </row>
    <row r="926" customFormat="false" ht="15" hidden="false" customHeight="false" outlineLevel="0" collapsed="false">
      <c r="A926" s="11" t="s">
        <v>3212</v>
      </c>
      <c r="B926" s="38" t="n">
        <v>46114</v>
      </c>
      <c r="C926" s="11" t="s">
        <v>1496</v>
      </c>
      <c r="D926" s="11" t="s">
        <v>1497</v>
      </c>
      <c r="E926" s="11" t="s">
        <v>280</v>
      </c>
      <c r="F926" s="11" t="s">
        <v>3213</v>
      </c>
      <c r="G926" s="37" t="n">
        <v>6948</v>
      </c>
      <c r="H926" s="37" t="n">
        <v>275457.74</v>
      </c>
    </row>
    <row r="927" customFormat="false" ht="15" hidden="false" customHeight="false" outlineLevel="0" collapsed="false">
      <c r="A927" s="11" t="s">
        <v>3214</v>
      </c>
      <c r="B927" s="38" t="n">
        <v>46115</v>
      </c>
      <c r="C927" s="11" t="s">
        <v>1496</v>
      </c>
      <c r="D927" s="11" t="s">
        <v>1497</v>
      </c>
      <c r="E927" s="11" t="s">
        <v>323</v>
      </c>
      <c r="F927" s="11" t="s">
        <v>3215</v>
      </c>
      <c r="G927" s="37" t="n">
        <v>4296</v>
      </c>
      <c r="H927" s="37" t="n">
        <v>279753.74</v>
      </c>
    </row>
    <row r="928" customFormat="false" ht="15" hidden="false" customHeight="false" outlineLevel="0" collapsed="false">
      <c r="A928" s="11" t="s">
        <v>3216</v>
      </c>
      <c r="B928" s="38" t="n">
        <v>46115</v>
      </c>
      <c r="C928" s="11" t="s">
        <v>1500</v>
      </c>
      <c r="D928" s="11" t="s">
        <v>448</v>
      </c>
      <c r="E928" s="11" t="s">
        <v>449</v>
      </c>
      <c r="F928" s="11"/>
      <c r="G928" s="37" t="n">
        <v>-2880</v>
      </c>
      <c r="H928" s="37" t="n">
        <v>276873.74</v>
      </c>
    </row>
    <row r="929" customFormat="false" ht="15" hidden="false" customHeight="false" outlineLevel="0" collapsed="false">
      <c r="A929" s="11" t="s">
        <v>3217</v>
      </c>
      <c r="B929" s="38" t="n">
        <v>46115</v>
      </c>
      <c r="C929" s="11" t="s">
        <v>1496</v>
      </c>
      <c r="D929" s="11" t="s">
        <v>1497</v>
      </c>
      <c r="E929" s="11" t="s">
        <v>298</v>
      </c>
      <c r="F929" s="11" t="s">
        <v>3218</v>
      </c>
      <c r="G929" s="37" t="n">
        <v>15410</v>
      </c>
      <c r="H929" s="37" t="n">
        <v>292283.74</v>
      </c>
    </row>
    <row r="930" customFormat="false" ht="15" hidden="false" customHeight="false" outlineLevel="0" collapsed="false">
      <c r="A930" s="11" t="s">
        <v>3219</v>
      </c>
      <c r="B930" s="38" t="n">
        <v>46119</v>
      </c>
      <c r="C930" s="11" t="s">
        <v>1496</v>
      </c>
      <c r="D930" s="11" t="s">
        <v>1497</v>
      </c>
      <c r="E930" s="11" t="s">
        <v>327</v>
      </c>
      <c r="F930" s="11" t="s">
        <v>3220</v>
      </c>
      <c r="G930" s="37" t="n">
        <v>22416</v>
      </c>
      <c r="H930" s="37" t="n">
        <v>314699.74</v>
      </c>
    </row>
    <row r="931" customFormat="false" ht="15" hidden="false" customHeight="false" outlineLevel="0" collapsed="false">
      <c r="A931" s="11" t="s">
        <v>3221</v>
      </c>
      <c r="B931" s="38" t="n">
        <v>46119</v>
      </c>
      <c r="C931" s="11" t="s">
        <v>1496</v>
      </c>
      <c r="D931" s="11" t="s">
        <v>1497</v>
      </c>
      <c r="E931" s="11" t="s">
        <v>280</v>
      </c>
      <c r="F931" s="11" t="s">
        <v>3222</v>
      </c>
      <c r="G931" s="37" t="n">
        <v>9420</v>
      </c>
      <c r="H931" s="37" t="n">
        <v>324119.74</v>
      </c>
    </row>
    <row r="932" customFormat="false" ht="15" hidden="false" customHeight="false" outlineLevel="0" collapsed="false">
      <c r="A932" s="11" t="s">
        <v>3223</v>
      </c>
      <c r="B932" s="38" t="n">
        <v>46119</v>
      </c>
      <c r="C932" s="11" t="s">
        <v>1496</v>
      </c>
      <c r="D932" s="11" t="s">
        <v>1497</v>
      </c>
      <c r="E932" s="11" t="s">
        <v>280</v>
      </c>
      <c r="F932" s="11" t="s">
        <v>3224</v>
      </c>
      <c r="G932" s="37" t="n">
        <v>11916</v>
      </c>
      <c r="H932" s="37" t="n">
        <v>336035.74</v>
      </c>
    </row>
    <row r="933" customFormat="false" ht="15" hidden="false" customHeight="false" outlineLevel="0" collapsed="false">
      <c r="A933" s="11" t="s">
        <v>3225</v>
      </c>
      <c r="B933" s="38" t="n">
        <v>46119</v>
      </c>
      <c r="C933" s="11" t="s">
        <v>1496</v>
      </c>
      <c r="D933" s="11" t="s">
        <v>1497</v>
      </c>
      <c r="E933" s="11" t="s">
        <v>335</v>
      </c>
      <c r="F933" s="11" t="s">
        <v>3226</v>
      </c>
      <c r="G933" s="37" t="n">
        <v>7860</v>
      </c>
      <c r="H933" s="37" t="n">
        <v>343895.74</v>
      </c>
    </row>
    <row r="934" customFormat="false" ht="15" hidden="false" customHeight="false" outlineLevel="0" collapsed="false">
      <c r="A934" s="11" t="s">
        <v>3227</v>
      </c>
      <c r="B934" s="38" t="n">
        <v>46119</v>
      </c>
      <c r="C934" s="11" t="s">
        <v>1496</v>
      </c>
      <c r="D934" s="11" t="s">
        <v>1497</v>
      </c>
      <c r="E934" s="11" t="s">
        <v>280</v>
      </c>
      <c r="F934" s="11" t="s">
        <v>3228</v>
      </c>
      <c r="G934" s="37" t="n">
        <v>10416</v>
      </c>
      <c r="H934" s="37" t="n">
        <v>354311.74</v>
      </c>
    </row>
    <row r="935" customFormat="false" ht="15" hidden="false" customHeight="false" outlineLevel="0" collapsed="false">
      <c r="A935" s="11" t="s">
        <v>3229</v>
      </c>
      <c r="B935" s="38" t="n">
        <v>46119</v>
      </c>
      <c r="C935" s="11" t="s">
        <v>1500</v>
      </c>
      <c r="D935" s="11" t="s">
        <v>469</v>
      </c>
      <c r="E935" s="11" t="s">
        <v>470</v>
      </c>
      <c r="F935" s="11"/>
      <c r="G935" s="37" t="n">
        <v>-8900</v>
      </c>
      <c r="H935" s="37" t="n">
        <v>345411.74</v>
      </c>
    </row>
    <row r="936" customFormat="false" ht="15" hidden="false" customHeight="false" outlineLevel="0" collapsed="false">
      <c r="A936" s="11" t="s">
        <v>3230</v>
      </c>
      <c r="B936" s="38" t="n">
        <v>46119</v>
      </c>
      <c r="C936" s="11" t="s">
        <v>1496</v>
      </c>
      <c r="D936" s="11" t="s">
        <v>1497</v>
      </c>
      <c r="E936" s="11" t="s">
        <v>335</v>
      </c>
      <c r="F936" s="11" t="s">
        <v>3231</v>
      </c>
      <c r="G936" s="37" t="n">
        <v>6612</v>
      </c>
      <c r="H936" s="37" t="n">
        <v>352023.74</v>
      </c>
    </row>
    <row r="937" customFormat="false" ht="15" hidden="false" customHeight="false" outlineLevel="0" collapsed="false">
      <c r="A937" s="11" t="s">
        <v>3232</v>
      </c>
      <c r="B937" s="38" t="n">
        <v>46119</v>
      </c>
      <c r="C937" s="11" t="s">
        <v>1496</v>
      </c>
      <c r="D937" s="11" t="s">
        <v>1497</v>
      </c>
      <c r="E937" s="11" t="s">
        <v>335</v>
      </c>
      <c r="F937" s="11" t="s">
        <v>3233</v>
      </c>
      <c r="G937" s="37" t="n">
        <v>5484</v>
      </c>
      <c r="H937" s="37" t="n">
        <v>357507.74</v>
      </c>
    </row>
    <row r="938" customFormat="false" ht="15" hidden="false" customHeight="false" outlineLevel="0" collapsed="false">
      <c r="A938" s="11" t="s">
        <v>3234</v>
      </c>
      <c r="B938" s="38" t="n">
        <v>46120</v>
      </c>
      <c r="C938" s="11" t="s">
        <v>1500</v>
      </c>
      <c r="D938" s="11" t="s">
        <v>291</v>
      </c>
      <c r="E938" s="11" t="s">
        <v>292</v>
      </c>
      <c r="F938" s="11"/>
      <c r="G938" s="37" t="n">
        <v>-4287.87</v>
      </c>
      <c r="H938" s="37" t="n">
        <v>353219.87</v>
      </c>
    </row>
    <row r="939" customFormat="false" ht="15" hidden="false" customHeight="false" outlineLevel="0" collapsed="false">
      <c r="A939" s="11" t="s">
        <v>3235</v>
      </c>
      <c r="B939" s="38" t="n">
        <v>46120</v>
      </c>
      <c r="C939" s="11" t="s">
        <v>1500</v>
      </c>
      <c r="D939" s="11" t="s">
        <v>480</v>
      </c>
      <c r="E939" s="11" t="s">
        <v>481</v>
      </c>
      <c r="F939" s="11"/>
      <c r="G939" s="37" t="n">
        <v>-9840</v>
      </c>
      <c r="H939" s="37" t="n">
        <v>343379.87</v>
      </c>
    </row>
    <row r="940" customFormat="false" ht="15" hidden="false" customHeight="false" outlineLevel="0" collapsed="false">
      <c r="A940" s="11" t="s">
        <v>3236</v>
      </c>
      <c r="B940" s="38" t="n">
        <v>46121</v>
      </c>
      <c r="C940" s="11" t="s">
        <v>1500</v>
      </c>
      <c r="D940" s="11" t="s">
        <v>307</v>
      </c>
      <c r="E940" s="11" t="s">
        <v>313</v>
      </c>
      <c r="F940" s="11" t="s">
        <v>3237</v>
      </c>
      <c r="G940" s="37" t="n">
        <v>-5265.74</v>
      </c>
      <c r="H940" s="37" t="n">
        <v>338114.13</v>
      </c>
    </row>
    <row r="941" customFormat="false" ht="15" hidden="false" customHeight="false" outlineLevel="0" collapsed="false">
      <c r="A941" s="11" t="s">
        <v>3238</v>
      </c>
      <c r="B941" s="38" t="n">
        <v>46121</v>
      </c>
      <c r="C941" s="11" t="s">
        <v>1496</v>
      </c>
      <c r="D941" s="11" t="s">
        <v>1497</v>
      </c>
      <c r="E941" s="11" t="s">
        <v>349</v>
      </c>
      <c r="F941" s="11" t="s">
        <v>3239</v>
      </c>
      <c r="G941" s="37" t="n">
        <v>9264</v>
      </c>
      <c r="H941" s="37" t="n">
        <v>347378.13</v>
      </c>
    </row>
    <row r="942" customFormat="false" ht="15" hidden="false" customHeight="false" outlineLevel="0" collapsed="false">
      <c r="A942" s="11" t="s">
        <v>3240</v>
      </c>
      <c r="B942" s="38" t="n">
        <v>46121</v>
      </c>
      <c r="C942" s="11" t="s">
        <v>1500</v>
      </c>
      <c r="D942" s="11" t="s">
        <v>307</v>
      </c>
      <c r="E942" s="11" t="s">
        <v>458</v>
      </c>
      <c r="F942" s="11" t="s">
        <v>3241</v>
      </c>
      <c r="G942" s="37" t="n">
        <v>-36113.78</v>
      </c>
      <c r="H942" s="37" t="n">
        <v>311264.35</v>
      </c>
    </row>
    <row r="943" customFormat="false" ht="15" hidden="false" customHeight="false" outlineLevel="0" collapsed="false">
      <c r="A943" s="11" t="s">
        <v>3242</v>
      </c>
      <c r="B943" s="38" t="n">
        <v>46121</v>
      </c>
      <c r="C943" s="11" t="s">
        <v>1500</v>
      </c>
      <c r="D943" s="11" t="s">
        <v>307</v>
      </c>
      <c r="E943" s="11" t="s">
        <v>464</v>
      </c>
      <c r="F943" s="11" t="s">
        <v>3243</v>
      </c>
      <c r="G943" s="37" t="n">
        <v>-12645.56</v>
      </c>
      <c r="H943" s="37" t="n">
        <v>298618.79</v>
      </c>
    </row>
    <row r="944" customFormat="false" ht="15" hidden="false" customHeight="false" outlineLevel="0" collapsed="false">
      <c r="A944" s="11" t="s">
        <v>3244</v>
      </c>
      <c r="B944" s="38" t="n">
        <v>46122</v>
      </c>
      <c r="C944" s="11" t="s">
        <v>1500</v>
      </c>
      <c r="D944" s="11" t="s">
        <v>272</v>
      </c>
      <c r="E944" s="11" t="s">
        <v>273</v>
      </c>
      <c r="F944" s="11"/>
      <c r="G944" s="37" t="n">
        <v>-3840</v>
      </c>
      <c r="H944" s="37" t="n">
        <v>294778.79</v>
      </c>
    </row>
    <row r="945" customFormat="false" ht="15" hidden="false" customHeight="false" outlineLevel="0" collapsed="false">
      <c r="A945" s="11" t="s">
        <v>3245</v>
      </c>
      <c r="B945" s="38" t="n">
        <v>46125</v>
      </c>
      <c r="C945" s="11" t="s">
        <v>1496</v>
      </c>
      <c r="D945" s="11" t="s">
        <v>1497</v>
      </c>
      <c r="E945" s="11" t="s">
        <v>298</v>
      </c>
      <c r="F945" s="11" t="s">
        <v>3246</v>
      </c>
      <c r="G945" s="37" t="n">
        <v>13460</v>
      </c>
      <c r="H945" s="37" t="n">
        <v>308238.79</v>
      </c>
    </row>
    <row r="946" customFormat="false" ht="15" hidden="false" customHeight="false" outlineLevel="0" collapsed="false">
      <c r="A946" s="11" t="s">
        <v>3247</v>
      </c>
      <c r="B946" s="38" t="n">
        <v>46125</v>
      </c>
      <c r="C946" s="11" t="s">
        <v>1496</v>
      </c>
      <c r="D946" s="11" t="s">
        <v>1497</v>
      </c>
      <c r="E946" s="11" t="s">
        <v>327</v>
      </c>
      <c r="F946" s="11" t="s">
        <v>3248</v>
      </c>
      <c r="G946" s="37" t="n">
        <v>13176</v>
      </c>
      <c r="H946" s="37" t="n">
        <v>321414.79</v>
      </c>
    </row>
    <row r="947" customFormat="false" ht="15" hidden="false" customHeight="false" outlineLevel="0" collapsed="false">
      <c r="A947" s="11" t="s">
        <v>3249</v>
      </c>
      <c r="B947" s="38" t="n">
        <v>46125</v>
      </c>
      <c r="C947" s="11" t="s">
        <v>1496</v>
      </c>
      <c r="D947" s="11" t="s">
        <v>1497</v>
      </c>
      <c r="E947" s="11" t="s">
        <v>280</v>
      </c>
      <c r="F947" s="11" t="s">
        <v>3250</v>
      </c>
      <c r="G947" s="37" t="n">
        <v>8064</v>
      </c>
      <c r="H947" s="37" t="n">
        <v>329478.79</v>
      </c>
    </row>
    <row r="948" customFormat="false" ht="15" hidden="false" customHeight="false" outlineLevel="0" collapsed="false">
      <c r="A948" s="11" t="s">
        <v>3251</v>
      </c>
      <c r="B948" s="38" t="n">
        <v>46125</v>
      </c>
      <c r="C948" s="11" t="s">
        <v>1496</v>
      </c>
      <c r="D948" s="11" t="s">
        <v>1497</v>
      </c>
      <c r="E948" s="11" t="s">
        <v>335</v>
      </c>
      <c r="F948" s="11" t="s">
        <v>3252</v>
      </c>
      <c r="G948" s="37" t="n">
        <v>10956</v>
      </c>
      <c r="H948" s="37" t="n">
        <v>340434.79</v>
      </c>
    </row>
    <row r="949" customFormat="false" ht="15" hidden="false" customHeight="false" outlineLevel="0" collapsed="false">
      <c r="A949" s="11" t="s">
        <v>3253</v>
      </c>
      <c r="B949" s="38" t="n">
        <v>46125</v>
      </c>
      <c r="C949" s="11" t="s">
        <v>1496</v>
      </c>
      <c r="D949" s="11" t="s">
        <v>1497</v>
      </c>
      <c r="E949" s="11" t="s">
        <v>280</v>
      </c>
      <c r="F949" s="11" t="s">
        <v>3254</v>
      </c>
      <c r="G949" s="37" t="n">
        <v>10320</v>
      </c>
      <c r="H949" s="37" t="n">
        <v>350754.79</v>
      </c>
    </row>
    <row r="950" customFormat="false" ht="15" hidden="false" customHeight="false" outlineLevel="0" collapsed="false">
      <c r="A950" s="11" t="s">
        <v>3255</v>
      </c>
      <c r="B950" s="38" t="n">
        <v>46125</v>
      </c>
      <c r="C950" s="11" t="s">
        <v>1496</v>
      </c>
      <c r="D950" s="11" t="s">
        <v>1497</v>
      </c>
      <c r="E950" s="11" t="s">
        <v>327</v>
      </c>
      <c r="F950" s="11" t="s">
        <v>3256</v>
      </c>
      <c r="G950" s="37" t="n">
        <v>17652</v>
      </c>
      <c r="H950" s="37" t="n">
        <v>368406.79</v>
      </c>
    </row>
    <row r="951" customFormat="false" ht="15" hidden="false" customHeight="false" outlineLevel="0" collapsed="false">
      <c r="A951" s="11" t="s">
        <v>3257</v>
      </c>
      <c r="B951" s="38" t="n">
        <v>46125</v>
      </c>
      <c r="C951" s="11" t="s">
        <v>1496</v>
      </c>
      <c r="D951" s="11" t="s">
        <v>1497</v>
      </c>
      <c r="E951" s="11" t="s">
        <v>280</v>
      </c>
      <c r="F951" s="11" t="s">
        <v>3258</v>
      </c>
      <c r="G951" s="37" t="n">
        <v>3804</v>
      </c>
      <c r="H951" s="37" t="n">
        <v>372210.79</v>
      </c>
    </row>
    <row r="952" customFormat="false" ht="15" hidden="false" customHeight="false" outlineLevel="0" collapsed="false">
      <c r="A952" s="11" t="s">
        <v>3259</v>
      </c>
      <c r="B952" s="38" t="n">
        <v>46125</v>
      </c>
      <c r="C952" s="11" t="s">
        <v>1496</v>
      </c>
      <c r="D952" s="11" t="s">
        <v>1497</v>
      </c>
      <c r="E952" s="11" t="s">
        <v>323</v>
      </c>
      <c r="F952" s="11" t="s">
        <v>3260</v>
      </c>
      <c r="G952" s="37" t="n">
        <v>5376</v>
      </c>
      <c r="H952" s="37" t="n">
        <v>377586.79</v>
      </c>
    </row>
    <row r="953" customFormat="false" ht="15" hidden="false" customHeight="false" outlineLevel="0" collapsed="false">
      <c r="A953" s="11" t="s">
        <v>3261</v>
      </c>
      <c r="B953" s="38" t="n">
        <v>46125</v>
      </c>
      <c r="C953" s="11" t="s">
        <v>1496</v>
      </c>
      <c r="D953" s="11" t="s">
        <v>1497</v>
      </c>
      <c r="E953" s="11" t="s">
        <v>287</v>
      </c>
      <c r="F953" s="11" t="s">
        <v>3262</v>
      </c>
      <c r="G953" s="37" t="n">
        <v>2772</v>
      </c>
      <c r="H953" s="37" t="n">
        <v>380358.79</v>
      </c>
    </row>
    <row r="954" customFormat="false" ht="15" hidden="false" customHeight="false" outlineLevel="0" collapsed="false">
      <c r="A954" s="11" t="s">
        <v>3263</v>
      </c>
      <c r="B954" s="38" t="n">
        <v>46125</v>
      </c>
      <c r="C954" s="11" t="s">
        <v>1496</v>
      </c>
      <c r="D954" s="11" t="s">
        <v>1497</v>
      </c>
      <c r="E954" s="11" t="s">
        <v>298</v>
      </c>
      <c r="F954" s="11" t="s">
        <v>3264</v>
      </c>
      <c r="G954" s="37" t="n">
        <v>8380</v>
      </c>
      <c r="H954" s="37" t="n">
        <v>388738.79</v>
      </c>
    </row>
    <row r="955" customFormat="false" ht="15" hidden="false" customHeight="false" outlineLevel="0" collapsed="false">
      <c r="A955" s="11" t="s">
        <v>3265</v>
      </c>
      <c r="B955" s="38" t="n">
        <v>46125</v>
      </c>
      <c r="C955" s="11" t="s">
        <v>1496</v>
      </c>
      <c r="D955" s="11" t="s">
        <v>1497</v>
      </c>
      <c r="E955" s="11" t="s">
        <v>399</v>
      </c>
      <c r="F955" s="11" t="s">
        <v>3266</v>
      </c>
      <c r="G955" s="37" t="n">
        <v>16932</v>
      </c>
      <c r="H955" s="37" t="n">
        <v>405670.79</v>
      </c>
    </row>
    <row r="956" customFormat="false" ht="15" hidden="false" customHeight="false" outlineLevel="0" collapsed="false">
      <c r="A956" s="11" t="s">
        <v>3267</v>
      </c>
      <c r="B956" s="38" t="n">
        <v>46125</v>
      </c>
      <c r="C956" s="11" t="s">
        <v>1496</v>
      </c>
      <c r="D956" s="11" t="s">
        <v>1497</v>
      </c>
      <c r="E956" s="11" t="s">
        <v>327</v>
      </c>
      <c r="F956" s="11" t="s">
        <v>3268</v>
      </c>
      <c r="G956" s="37" t="n">
        <v>23808</v>
      </c>
      <c r="H956" s="37" t="n">
        <v>429478.79</v>
      </c>
    </row>
    <row r="957" customFormat="false" ht="15" hidden="false" customHeight="false" outlineLevel="0" collapsed="false">
      <c r="A957" s="11" t="s">
        <v>3269</v>
      </c>
      <c r="B957" s="38" t="n">
        <v>46125</v>
      </c>
      <c r="C957" s="11" t="s">
        <v>1496</v>
      </c>
      <c r="D957" s="11" t="s">
        <v>1497</v>
      </c>
      <c r="E957" s="11" t="s">
        <v>287</v>
      </c>
      <c r="F957" s="11" t="s">
        <v>3270</v>
      </c>
      <c r="G957" s="37" t="n">
        <v>4908</v>
      </c>
      <c r="H957" s="37" t="n">
        <v>434386.79</v>
      </c>
    </row>
    <row r="958" customFormat="false" ht="15" hidden="false" customHeight="false" outlineLevel="0" collapsed="false">
      <c r="A958" s="11" t="s">
        <v>3271</v>
      </c>
      <c r="B958" s="38" t="n">
        <v>46126</v>
      </c>
      <c r="C958" s="11" t="s">
        <v>1496</v>
      </c>
      <c r="D958" s="11" t="s">
        <v>1497</v>
      </c>
      <c r="E958" s="11" t="s">
        <v>287</v>
      </c>
      <c r="F958" s="11" t="s">
        <v>3272</v>
      </c>
      <c r="G958" s="37" t="n">
        <v>4164</v>
      </c>
      <c r="H958" s="37" t="n">
        <v>438550.79</v>
      </c>
    </row>
    <row r="959" customFormat="false" ht="15" hidden="false" customHeight="false" outlineLevel="0" collapsed="false">
      <c r="A959" s="11" t="s">
        <v>3273</v>
      </c>
      <c r="B959" s="38" t="n">
        <v>46126</v>
      </c>
      <c r="C959" s="11" t="s">
        <v>1496</v>
      </c>
      <c r="D959" s="11" t="s">
        <v>1497</v>
      </c>
      <c r="E959" s="11" t="s">
        <v>349</v>
      </c>
      <c r="F959" s="11" t="s">
        <v>3274</v>
      </c>
      <c r="G959" s="37" t="n">
        <v>15672</v>
      </c>
      <c r="H959" s="37" t="n">
        <v>454222.79</v>
      </c>
    </row>
    <row r="960" customFormat="false" ht="15" hidden="false" customHeight="false" outlineLevel="0" collapsed="false">
      <c r="A960" s="11" t="s">
        <v>3275</v>
      </c>
      <c r="B960" s="38" t="n">
        <v>46126</v>
      </c>
      <c r="C960" s="11" t="s">
        <v>1496</v>
      </c>
      <c r="D960" s="11" t="s">
        <v>1497</v>
      </c>
      <c r="E960" s="11" t="s">
        <v>392</v>
      </c>
      <c r="F960" s="11" t="s">
        <v>3276</v>
      </c>
      <c r="G960" s="37" t="n">
        <v>12432</v>
      </c>
      <c r="H960" s="37" t="n">
        <v>466654.79</v>
      </c>
    </row>
    <row r="961" customFormat="false" ht="15" hidden="false" customHeight="false" outlineLevel="0" collapsed="false">
      <c r="A961" s="11" t="s">
        <v>3277</v>
      </c>
      <c r="B961" s="38" t="n">
        <v>46127</v>
      </c>
      <c r="C961" s="11" t="s">
        <v>1500</v>
      </c>
      <c r="D961" s="11" t="s">
        <v>291</v>
      </c>
      <c r="E961" s="11" t="s">
        <v>292</v>
      </c>
      <c r="F961" s="11"/>
      <c r="G961" s="37" t="n">
        <v>-4935.67</v>
      </c>
      <c r="H961" s="37" t="n">
        <v>461719.12</v>
      </c>
    </row>
    <row r="962" customFormat="false" ht="15" hidden="false" customHeight="false" outlineLevel="0" collapsed="false">
      <c r="A962" s="11" t="s">
        <v>3278</v>
      </c>
      <c r="B962" s="38" t="n">
        <v>46127</v>
      </c>
      <c r="C962" s="11" t="s">
        <v>1500</v>
      </c>
      <c r="D962" s="11" t="s">
        <v>317</v>
      </c>
      <c r="E962" s="11" t="s">
        <v>318</v>
      </c>
      <c r="F962" s="11"/>
      <c r="G962" s="37" t="n">
        <v>-86000</v>
      </c>
      <c r="H962" s="37" t="n">
        <v>375719.12</v>
      </c>
    </row>
    <row r="963" customFormat="false" ht="15" hidden="false" customHeight="false" outlineLevel="0" collapsed="false">
      <c r="A963" s="11" t="s">
        <v>3279</v>
      </c>
      <c r="B963" s="38" t="n">
        <v>46128</v>
      </c>
      <c r="C963" s="11" t="s">
        <v>1500</v>
      </c>
      <c r="D963" s="11" t="s">
        <v>307</v>
      </c>
      <c r="E963" s="11" t="s">
        <v>313</v>
      </c>
      <c r="F963" s="11" t="s">
        <v>3280</v>
      </c>
      <c r="G963" s="37" t="n">
        <v>-4754.33</v>
      </c>
      <c r="H963" s="37" t="n">
        <v>370964.79</v>
      </c>
    </row>
    <row r="964" customFormat="false" ht="15" hidden="false" customHeight="false" outlineLevel="0" collapsed="false">
      <c r="A964" s="11" t="s">
        <v>3281</v>
      </c>
      <c r="B964" s="38" t="n">
        <v>46128</v>
      </c>
      <c r="C964" s="11" t="s">
        <v>1496</v>
      </c>
      <c r="D964" s="11" t="s">
        <v>1497</v>
      </c>
      <c r="E964" s="11" t="s">
        <v>280</v>
      </c>
      <c r="F964" s="11" t="s">
        <v>3282</v>
      </c>
      <c r="G964" s="37" t="n">
        <v>6744</v>
      </c>
      <c r="H964" s="37" t="n">
        <v>377708.79</v>
      </c>
    </row>
    <row r="965" customFormat="false" ht="15" hidden="false" customHeight="false" outlineLevel="0" collapsed="false">
      <c r="A965" s="11" t="s">
        <v>3283</v>
      </c>
      <c r="B965" s="38" t="n">
        <v>46128</v>
      </c>
      <c r="C965" s="11" t="s">
        <v>1496</v>
      </c>
      <c r="D965" s="11" t="s">
        <v>1497</v>
      </c>
      <c r="E965" s="11" t="s">
        <v>287</v>
      </c>
      <c r="F965" s="11" t="s">
        <v>3284</v>
      </c>
      <c r="G965" s="37" t="n">
        <v>4680</v>
      </c>
      <c r="H965" s="37" t="n">
        <v>382388.79</v>
      </c>
    </row>
    <row r="966" customFormat="false" ht="15" hidden="false" customHeight="false" outlineLevel="0" collapsed="false">
      <c r="A966" s="11" t="s">
        <v>3285</v>
      </c>
      <c r="B966" s="38" t="n">
        <v>46128</v>
      </c>
      <c r="C966" s="11" t="s">
        <v>1496</v>
      </c>
      <c r="D966" s="11" t="s">
        <v>1497</v>
      </c>
      <c r="E966" s="11" t="s">
        <v>280</v>
      </c>
      <c r="F966" s="11" t="s">
        <v>3286</v>
      </c>
      <c r="G966" s="37" t="n">
        <v>10848</v>
      </c>
      <c r="H966" s="37" t="n">
        <v>393236.79</v>
      </c>
    </row>
    <row r="967" customFormat="false" ht="15" hidden="false" customHeight="false" outlineLevel="0" collapsed="false">
      <c r="A967" s="11" t="s">
        <v>3287</v>
      </c>
      <c r="B967" s="38" t="n">
        <v>46128</v>
      </c>
      <c r="C967" s="11" t="s">
        <v>1496</v>
      </c>
      <c r="D967" s="11" t="s">
        <v>1497</v>
      </c>
      <c r="E967" s="11" t="s">
        <v>323</v>
      </c>
      <c r="F967" s="11" t="s">
        <v>3288</v>
      </c>
      <c r="G967" s="37" t="n">
        <v>7872</v>
      </c>
      <c r="H967" s="37" t="n">
        <v>401108.79</v>
      </c>
    </row>
    <row r="968" customFormat="false" ht="15" hidden="false" customHeight="false" outlineLevel="0" collapsed="false">
      <c r="A968" s="11" t="s">
        <v>3289</v>
      </c>
      <c r="B968" s="38" t="n">
        <v>46128</v>
      </c>
      <c r="C968" s="11" t="s">
        <v>1496</v>
      </c>
      <c r="D968" s="11" t="s">
        <v>1497</v>
      </c>
      <c r="E968" s="11" t="s">
        <v>331</v>
      </c>
      <c r="F968" s="11" t="s">
        <v>3290</v>
      </c>
      <c r="G968" s="37" t="n">
        <v>5784</v>
      </c>
      <c r="H968" s="37" t="n">
        <v>406892.79</v>
      </c>
    </row>
    <row r="969" customFormat="false" ht="15" hidden="false" customHeight="false" outlineLevel="0" collapsed="false">
      <c r="A969" s="11" t="s">
        <v>3291</v>
      </c>
      <c r="B969" s="38" t="n">
        <v>46128</v>
      </c>
      <c r="C969" s="11" t="s">
        <v>1500</v>
      </c>
      <c r="D969" s="11" t="s">
        <v>307</v>
      </c>
      <c r="E969" s="11" t="s">
        <v>308</v>
      </c>
      <c r="F969" s="11" t="s">
        <v>3292</v>
      </c>
      <c r="G969" s="37" t="n">
        <v>-35524.34</v>
      </c>
      <c r="H969" s="37" t="n">
        <v>371368.45</v>
      </c>
    </row>
    <row r="970" customFormat="false" ht="15" hidden="false" customHeight="false" outlineLevel="0" collapsed="false">
      <c r="A970" s="11" t="s">
        <v>3293</v>
      </c>
      <c r="B970" s="38" t="n">
        <v>46129</v>
      </c>
      <c r="C970" s="11" t="s">
        <v>1496</v>
      </c>
      <c r="D970" s="11" t="s">
        <v>1497</v>
      </c>
      <c r="E970" s="11" t="s">
        <v>280</v>
      </c>
      <c r="F970" s="11" t="s">
        <v>3294</v>
      </c>
      <c r="G970" s="37" t="n">
        <v>7272</v>
      </c>
      <c r="H970" s="37" t="n">
        <v>378640.45</v>
      </c>
    </row>
    <row r="971" customFormat="false" ht="15" hidden="false" customHeight="false" outlineLevel="0" collapsed="false">
      <c r="A971" s="11" t="s">
        <v>3295</v>
      </c>
      <c r="B971" s="38" t="n">
        <v>46129</v>
      </c>
      <c r="C971" s="11" t="s">
        <v>1496</v>
      </c>
      <c r="D971" s="11" t="s">
        <v>1497</v>
      </c>
      <c r="E971" s="11" t="s">
        <v>331</v>
      </c>
      <c r="F971" s="11" t="s">
        <v>3296</v>
      </c>
      <c r="G971" s="37" t="n">
        <v>8424</v>
      </c>
      <c r="H971" s="37" t="n">
        <v>387064.45</v>
      </c>
    </row>
    <row r="972" customFormat="false" ht="15" hidden="false" customHeight="false" outlineLevel="0" collapsed="false">
      <c r="A972" s="11" t="s">
        <v>3297</v>
      </c>
      <c r="B972" s="38" t="n">
        <v>46132</v>
      </c>
      <c r="C972" s="11" t="s">
        <v>1496</v>
      </c>
      <c r="D972" s="11" t="s">
        <v>1497</v>
      </c>
      <c r="E972" s="11" t="s">
        <v>280</v>
      </c>
      <c r="F972" s="11" t="s">
        <v>3298</v>
      </c>
      <c r="G972" s="37" t="n">
        <v>5052</v>
      </c>
      <c r="H972" s="37" t="n">
        <v>392116.45</v>
      </c>
    </row>
    <row r="973" customFormat="false" ht="15" hidden="false" customHeight="false" outlineLevel="0" collapsed="false">
      <c r="A973" s="11" t="s">
        <v>3299</v>
      </c>
      <c r="B973" s="38" t="n">
        <v>46132</v>
      </c>
      <c r="C973" s="11" t="s">
        <v>1496</v>
      </c>
      <c r="D973" s="11" t="s">
        <v>1497</v>
      </c>
      <c r="E973" s="11" t="s">
        <v>335</v>
      </c>
      <c r="F973" s="11" t="s">
        <v>3300</v>
      </c>
      <c r="G973" s="37" t="n">
        <v>4296</v>
      </c>
      <c r="H973" s="37" t="n">
        <v>396412.45</v>
      </c>
    </row>
    <row r="974" customFormat="false" ht="15" hidden="false" customHeight="false" outlineLevel="0" collapsed="false">
      <c r="A974" s="11" t="s">
        <v>3301</v>
      </c>
      <c r="B974" s="38" t="n">
        <v>46132</v>
      </c>
      <c r="C974" s="11" t="s">
        <v>1496</v>
      </c>
      <c r="D974" s="11" t="s">
        <v>1497</v>
      </c>
      <c r="E974" s="11" t="s">
        <v>331</v>
      </c>
      <c r="F974" s="11" t="s">
        <v>3302</v>
      </c>
      <c r="G974" s="37" t="n">
        <v>7464</v>
      </c>
      <c r="H974" s="37" t="n">
        <v>403876.45</v>
      </c>
    </row>
    <row r="975" customFormat="false" ht="15" hidden="false" customHeight="false" outlineLevel="0" collapsed="false">
      <c r="A975" s="11" t="s">
        <v>3303</v>
      </c>
      <c r="B975" s="38" t="n">
        <v>46132</v>
      </c>
      <c r="C975" s="11" t="s">
        <v>1496</v>
      </c>
      <c r="D975" s="11" t="s">
        <v>1497</v>
      </c>
      <c r="E975" s="11" t="s">
        <v>298</v>
      </c>
      <c r="F975" s="11" t="s">
        <v>3304</v>
      </c>
      <c r="G975" s="37" t="n">
        <v>13490</v>
      </c>
      <c r="H975" s="37" t="n">
        <v>417366.45</v>
      </c>
    </row>
    <row r="976" customFormat="false" ht="15" hidden="false" customHeight="false" outlineLevel="0" collapsed="false">
      <c r="A976" s="11" t="s">
        <v>3305</v>
      </c>
      <c r="B976" s="38" t="n">
        <v>46132</v>
      </c>
      <c r="C976" s="11" t="s">
        <v>1496</v>
      </c>
      <c r="D976" s="11" t="s">
        <v>1497</v>
      </c>
      <c r="E976" s="11" t="s">
        <v>298</v>
      </c>
      <c r="F976" s="11" t="s">
        <v>3306</v>
      </c>
      <c r="G976" s="37" t="n">
        <v>7460</v>
      </c>
      <c r="H976" s="37" t="n">
        <v>424826.45</v>
      </c>
    </row>
    <row r="977" customFormat="false" ht="15" hidden="false" customHeight="false" outlineLevel="0" collapsed="false">
      <c r="A977" s="11" t="s">
        <v>3307</v>
      </c>
      <c r="B977" s="38" t="n">
        <v>46134</v>
      </c>
      <c r="C977" s="11" t="s">
        <v>1496</v>
      </c>
      <c r="D977" s="11" t="s">
        <v>1497</v>
      </c>
      <c r="E977" s="11" t="s">
        <v>323</v>
      </c>
      <c r="F977" s="11" t="s">
        <v>3308</v>
      </c>
      <c r="G977" s="37" t="n">
        <v>5796</v>
      </c>
      <c r="H977" s="37" t="n">
        <v>430622.45</v>
      </c>
    </row>
    <row r="978" customFormat="false" ht="15" hidden="false" customHeight="false" outlineLevel="0" collapsed="false">
      <c r="A978" s="11" t="s">
        <v>3309</v>
      </c>
      <c r="B978" s="38" t="n">
        <v>46134</v>
      </c>
      <c r="C978" s="11" t="s">
        <v>1500</v>
      </c>
      <c r="D978" s="11" t="s">
        <v>291</v>
      </c>
      <c r="E978" s="11" t="s">
        <v>292</v>
      </c>
      <c r="F978" s="11"/>
      <c r="G978" s="37" t="n">
        <v>-5103.3</v>
      </c>
      <c r="H978" s="37" t="n">
        <v>425519.15</v>
      </c>
    </row>
    <row r="979" customFormat="false" ht="15" hidden="false" customHeight="false" outlineLevel="0" collapsed="false">
      <c r="A979" s="11" t="s">
        <v>3310</v>
      </c>
      <c r="B979" s="38" t="n">
        <v>46134</v>
      </c>
      <c r="C979" s="11" t="s">
        <v>1496</v>
      </c>
      <c r="D979" s="11" t="s">
        <v>1497</v>
      </c>
      <c r="E979" s="11" t="s">
        <v>327</v>
      </c>
      <c r="F979" s="11" t="s">
        <v>3311</v>
      </c>
      <c r="G979" s="37" t="n">
        <v>14940</v>
      </c>
      <c r="H979" s="37" t="n">
        <v>440459.15</v>
      </c>
    </row>
    <row r="980" customFormat="false" ht="15" hidden="false" customHeight="false" outlineLevel="0" collapsed="false">
      <c r="A980" s="11" t="s">
        <v>3312</v>
      </c>
      <c r="B980" s="38" t="n">
        <v>46135</v>
      </c>
      <c r="C980" s="11" t="s">
        <v>1496</v>
      </c>
      <c r="D980" s="11" t="s">
        <v>1497</v>
      </c>
      <c r="E980" s="11" t="s">
        <v>810</v>
      </c>
      <c r="F980" s="11" t="s">
        <v>3313</v>
      </c>
      <c r="G980" s="37" t="n">
        <v>57600</v>
      </c>
      <c r="H980" s="37" t="n">
        <v>498059.15</v>
      </c>
    </row>
    <row r="981" customFormat="false" ht="15" hidden="false" customHeight="false" outlineLevel="0" collapsed="false">
      <c r="A981" s="11" t="s">
        <v>3314</v>
      </c>
      <c r="B981" s="38" t="n">
        <v>46136</v>
      </c>
      <c r="C981" s="11" t="s">
        <v>1500</v>
      </c>
      <c r="D981" s="11" t="s">
        <v>383</v>
      </c>
      <c r="E981" s="11" t="s">
        <v>384</v>
      </c>
      <c r="F981" s="11" t="s">
        <v>3315</v>
      </c>
      <c r="G981" s="37" t="n">
        <v>-64158.19</v>
      </c>
      <c r="H981" s="37" t="n">
        <v>433900.96</v>
      </c>
    </row>
    <row r="982" customFormat="false" ht="15" hidden="false" customHeight="false" outlineLevel="0" collapsed="false">
      <c r="A982" s="11" t="s">
        <v>3316</v>
      </c>
      <c r="B982" s="38" t="n">
        <v>46136</v>
      </c>
      <c r="C982" s="11" t="s">
        <v>1496</v>
      </c>
      <c r="D982" s="11" t="s">
        <v>1497</v>
      </c>
      <c r="E982" s="11" t="s">
        <v>349</v>
      </c>
      <c r="F982" s="11" t="s">
        <v>3317</v>
      </c>
      <c r="G982" s="37" t="n">
        <v>10416</v>
      </c>
      <c r="H982" s="37" t="n">
        <v>444316.96</v>
      </c>
    </row>
    <row r="983" customFormat="false" ht="15" hidden="false" customHeight="false" outlineLevel="0" collapsed="false">
      <c r="A983" s="11" t="s">
        <v>3318</v>
      </c>
      <c r="B983" s="38" t="n">
        <v>46139</v>
      </c>
      <c r="C983" s="11" t="s">
        <v>1496</v>
      </c>
      <c r="D983" s="11" t="s">
        <v>1497</v>
      </c>
      <c r="E983" s="11" t="s">
        <v>331</v>
      </c>
      <c r="F983" s="11" t="s">
        <v>3319</v>
      </c>
      <c r="G983" s="37" t="n">
        <v>13068</v>
      </c>
      <c r="H983" s="37" t="n">
        <v>457384.96</v>
      </c>
    </row>
    <row r="984" customFormat="false" ht="15" hidden="false" customHeight="false" outlineLevel="0" collapsed="false">
      <c r="A984" s="11" t="s">
        <v>3320</v>
      </c>
      <c r="B984" s="38" t="n">
        <v>46139</v>
      </c>
      <c r="C984" s="11" t="s">
        <v>1496</v>
      </c>
      <c r="D984" s="11" t="s">
        <v>1497</v>
      </c>
      <c r="E984" s="11" t="s">
        <v>327</v>
      </c>
      <c r="F984" s="11" t="s">
        <v>3321</v>
      </c>
      <c r="G984" s="37" t="n">
        <v>43344</v>
      </c>
      <c r="H984" s="37" t="n">
        <v>500728.96</v>
      </c>
    </row>
    <row r="985" customFormat="false" ht="15" hidden="false" customHeight="false" outlineLevel="0" collapsed="false">
      <c r="A985" s="11" t="s">
        <v>3322</v>
      </c>
      <c r="B985" s="38" t="n">
        <v>46139</v>
      </c>
      <c r="C985" s="11" t="s">
        <v>1496</v>
      </c>
      <c r="D985" s="11" t="s">
        <v>1497</v>
      </c>
      <c r="E985" s="11" t="s">
        <v>280</v>
      </c>
      <c r="F985" s="11" t="s">
        <v>3323</v>
      </c>
      <c r="G985" s="37" t="n">
        <v>3996</v>
      </c>
      <c r="H985" s="37" t="n">
        <v>504724.96</v>
      </c>
    </row>
    <row r="986" customFormat="false" ht="15" hidden="false" customHeight="false" outlineLevel="0" collapsed="false">
      <c r="A986" s="11" t="s">
        <v>3324</v>
      </c>
      <c r="B986" s="38" t="n">
        <v>46139</v>
      </c>
      <c r="C986" s="11" t="s">
        <v>1496</v>
      </c>
      <c r="D986" s="11" t="s">
        <v>1497</v>
      </c>
      <c r="E986" s="11" t="s">
        <v>323</v>
      </c>
      <c r="F986" s="11" t="s">
        <v>3325</v>
      </c>
      <c r="G986" s="37" t="n">
        <v>8616</v>
      </c>
      <c r="H986" s="37" t="n">
        <v>513340.96</v>
      </c>
    </row>
    <row r="987" customFormat="false" ht="15" hidden="false" customHeight="false" outlineLevel="0" collapsed="false">
      <c r="A987" s="11" t="s">
        <v>3326</v>
      </c>
      <c r="B987" s="38" t="n">
        <v>46139</v>
      </c>
      <c r="C987" s="11" t="s">
        <v>1496</v>
      </c>
      <c r="D987" s="11" t="s">
        <v>1497</v>
      </c>
      <c r="E987" s="11" t="s">
        <v>323</v>
      </c>
      <c r="F987" s="11" t="s">
        <v>3327</v>
      </c>
      <c r="G987" s="37" t="n">
        <v>7572</v>
      </c>
      <c r="H987" s="37" t="n">
        <v>520912.96</v>
      </c>
    </row>
    <row r="988" customFormat="false" ht="15" hidden="false" customHeight="false" outlineLevel="0" collapsed="false">
      <c r="A988" s="11" t="s">
        <v>3328</v>
      </c>
      <c r="B988" s="38" t="n">
        <v>46139</v>
      </c>
      <c r="C988" s="11" t="s">
        <v>1496</v>
      </c>
      <c r="D988" s="11" t="s">
        <v>1497</v>
      </c>
      <c r="E988" s="11" t="s">
        <v>280</v>
      </c>
      <c r="F988" s="11" t="s">
        <v>3329</v>
      </c>
      <c r="G988" s="37" t="n">
        <v>4452</v>
      </c>
      <c r="H988" s="37" t="n">
        <v>525364.96</v>
      </c>
    </row>
    <row r="989" customFormat="false" ht="15" hidden="false" customHeight="false" outlineLevel="0" collapsed="false">
      <c r="A989" s="11" t="s">
        <v>3330</v>
      </c>
      <c r="B989" s="38" t="n">
        <v>46139</v>
      </c>
      <c r="C989" s="11" t="s">
        <v>1496</v>
      </c>
      <c r="D989" s="11" t="s">
        <v>1497</v>
      </c>
      <c r="E989" s="11" t="s">
        <v>335</v>
      </c>
      <c r="F989" s="11" t="s">
        <v>3331</v>
      </c>
      <c r="G989" s="37" t="n">
        <v>2652</v>
      </c>
      <c r="H989" s="37" t="n">
        <v>528016.96</v>
      </c>
    </row>
    <row r="990" customFormat="false" ht="15" hidden="false" customHeight="false" outlineLevel="0" collapsed="false">
      <c r="A990" s="11" t="s">
        <v>3332</v>
      </c>
      <c r="B990" s="38" t="n">
        <v>46140</v>
      </c>
      <c r="C990" s="11" t="s">
        <v>1496</v>
      </c>
      <c r="D990" s="11" t="s">
        <v>1497</v>
      </c>
      <c r="E990" s="11" t="s">
        <v>335</v>
      </c>
      <c r="F990" s="11" t="s">
        <v>3333</v>
      </c>
      <c r="G990" s="37" t="n">
        <v>4392</v>
      </c>
      <c r="H990" s="37" t="n">
        <v>532408.96</v>
      </c>
    </row>
    <row r="991" customFormat="false" ht="15" hidden="false" customHeight="false" outlineLevel="0" collapsed="false">
      <c r="A991" s="11" t="s">
        <v>3334</v>
      </c>
      <c r="B991" s="38" t="n">
        <v>46141</v>
      </c>
      <c r="C991" s="11" t="s">
        <v>1496</v>
      </c>
      <c r="D991" s="11" t="s">
        <v>1497</v>
      </c>
      <c r="E991" s="11" t="s">
        <v>399</v>
      </c>
      <c r="F991" s="11" t="s">
        <v>3335</v>
      </c>
      <c r="G991" s="37" t="n">
        <v>21300</v>
      </c>
      <c r="H991" s="37" t="n">
        <v>553708.96</v>
      </c>
    </row>
    <row r="992" customFormat="false" ht="15" hidden="false" customHeight="false" outlineLevel="0" collapsed="false">
      <c r="A992" s="11" t="s">
        <v>3336</v>
      </c>
      <c r="B992" s="38" t="n">
        <v>46141</v>
      </c>
      <c r="C992" s="11" t="s">
        <v>1496</v>
      </c>
      <c r="D992" s="11" t="s">
        <v>1497</v>
      </c>
      <c r="E992" s="11" t="s">
        <v>335</v>
      </c>
      <c r="F992" s="11" t="s">
        <v>3337</v>
      </c>
      <c r="G992" s="37" t="n">
        <v>6528</v>
      </c>
      <c r="H992" s="37" t="n">
        <v>560236.96</v>
      </c>
    </row>
    <row r="993" customFormat="false" ht="15" hidden="false" customHeight="false" outlineLevel="0" collapsed="false">
      <c r="A993" s="11" t="s">
        <v>3338</v>
      </c>
      <c r="B993" s="38" t="n">
        <v>46141</v>
      </c>
      <c r="C993" s="11" t="s">
        <v>1500</v>
      </c>
      <c r="D993" s="11" t="s">
        <v>291</v>
      </c>
      <c r="E993" s="11" t="s">
        <v>292</v>
      </c>
      <c r="F993" s="11"/>
      <c r="G993" s="37" t="n">
        <v>-4442.42</v>
      </c>
      <c r="H993" s="37" t="n">
        <v>555794.54</v>
      </c>
    </row>
    <row r="994" customFormat="false" ht="15" hidden="false" customHeight="false" outlineLevel="0" collapsed="false">
      <c r="A994" s="11" t="s">
        <v>3339</v>
      </c>
      <c r="B994" s="38" t="n">
        <v>46142</v>
      </c>
      <c r="C994" s="11" t="s">
        <v>1496</v>
      </c>
      <c r="D994" s="11" t="s">
        <v>1497</v>
      </c>
      <c r="E994" s="11" t="s">
        <v>349</v>
      </c>
      <c r="F994" s="11" t="s">
        <v>3340</v>
      </c>
      <c r="G994" s="37" t="n">
        <v>13080</v>
      </c>
      <c r="H994" s="37" t="n">
        <v>568874.54</v>
      </c>
    </row>
    <row r="995" customFormat="false" ht="15" hidden="false" customHeight="false" outlineLevel="0" collapsed="false">
      <c r="A995" s="11" t="s">
        <v>3341</v>
      </c>
      <c r="B995" s="38" t="n">
        <v>46142</v>
      </c>
      <c r="C995" s="11" t="s">
        <v>1500</v>
      </c>
      <c r="D995" s="11" t="s">
        <v>307</v>
      </c>
      <c r="E995" s="11" t="s">
        <v>414</v>
      </c>
      <c r="F995" s="11" t="s">
        <v>3342</v>
      </c>
      <c r="G995" s="37" t="n">
        <v>-20124</v>
      </c>
      <c r="H995" s="37" t="n">
        <v>548750.54</v>
      </c>
    </row>
    <row r="996" customFormat="false" ht="15" hidden="false" customHeight="false" outlineLevel="0" collapsed="false">
      <c r="A996" s="11" t="s">
        <v>3343</v>
      </c>
      <c r="B996" s="38" t="n">
        <v>46142</v>
      </c>
      <c r="C996" s="11" t="s">
        <v>1496</v>
      </c>
      <c r="D996" s="11" t="s">
        <v>1497</v>
      </c>
      <c r="E996" s="11" t="s">
        <v>399</v>
      </c>
      <c r="F996" s="11" t="s">
        <v>3344</v>
      </c>
      <c r="G996" s="37" t="n">
        <v>20100</v>
      </c>
      <c r="H996" s="37" t="n">
        <v>568850.54</v>
      </c>
    </row>
    <row r="997" customFormat="false" ht="15" hidden="false" customHeight="false" outlineLevel="0" collapsed="false">
      <c r="A997" s="11" t="s">
        <v>3345</v>
      </c>
      <c r="B997" s="38" t="n">
        <v>46142</v>
      </c>
      <c r="C997" s="11" t="s">
        <v>1500</v>
      </c>
      <c r="D997" s="11" t="s">
        <v>1634</v>
      </c>
      <c r="E997" s="11" t="s">
        <v>425</v>
      </c>
      <c r="F997" s="11"/>
      <c r="G997" s="37" t="n">
        <v>-106000</v>
      </c>
      <c r="H997" s="37" t="n">
        <v>462850.54</v>
      </c>
    </row>
    <row r="998" customFormat="false" ht="15" hidden="false" customHeight="false" outlineLevel="0" collapsed="false">
      <c r="A998" s="11" t="s">
        <v>3346</v>
      </c>
      <c r="B998" s="38" t="n">
        <v>46142</v>
      </c>
      <c r="C998" s="11" t="s">
        <v>1500</v>
      </c>
      <c r="D998" s="11" t="s">
        <v>307</v>
      </c>
      <c r="E998" s="11" t="s">
        <v>308</v>
      </c>
      <c r="F998" s="11" t="s">
        <v>3347</v>
      </c>
      <c r="G998" s="37" t="n">
        <v>-35596.96</v>
      </c>
      <c r="H998" s="37" t="n">
        <v>427253.58</v>
      </c>
    </row>
    <row r="999" customFormat="false" ht="15" hidden="false" customHeight="false" outlineLevel="0" collapsed="false">
      <c r="A999" s="11" t="s">
        <v>3348</v>
      </c>
      <c r="B999" s="38" t="n">
        <v>46142</v>
      </c>
      <c r="C999" s="11" t="s">
        <v>1500</v>
      </c>
      <c r="D999" s="11" t="s">
        <v>307</v>
      </c>
      <c r="E999" s="11" t="s">
        <v>313</v>
      </c>
      <c r="F999" s="11" t="s">
        <v>3349</v>
      </c>
      <c r="G999" s="37" t="n">
        <v>-5206.46</v>
      </c>
      <c r="H999" s="37" t="n">
        <v>422047.12</v>
      </c>
    </row>
    <row r="1000" customFormat="false" ht="15" hidden="false" customHeight="false" outlineLevel="0" collapsed="false">
      <c r="A1000" s="11" t="s">
        <v>3350</v>
      </c>
      <c r="B1000" s="38" t="n">
        <v>46146</v>
      </c>
      <c r="C1000" s="11" t="s">
        <v>1496</v>
      </c>
      <c r="D1000" s="11" t="s">
        <v>1497</v>
      </c>
      <c r="E1000" s="11" t="s">
        <v>335</v>
      </c>
      <c r="F1000" s="11" t="s">
        <v>3351</v>
      </c>
      <c r="G1000" s="37" t="n">
        <v>11112</v>
      </c>
      <c r="H1000" s="37" t="n">
        <v>433159.12</v>
      </c>
    </row>
    <row r="1001" customFormat="false" ht="15" hidden="false" customHeight="false" outlineLevel="0" collapsed="false">
      <c r="A1001" s="11" t="s">
        <v>3352</v>
      </c>
      <c r="B1001" s="38" t="n">
        <v>46146</v>
      </c>
      <c r="C1001" s="11" t="s">
        <v>1496</v>
      </c>
      <c r="D1001" s="11" t="s">
        <v>1497</v>
      </c>
      <c r="E1001" s="11" t="s">
        <v>335</v>
      </c>
      <c r="F1001" s="11" t="s">
        <v>3353</v>
      </c>
      <c r="G1001" s="37" t="n">
        <v>6624</v>
      </c>
      <c r="H1001" s="37" t="n">
        <v>439783.12</v>
      </c>
    </row>
    <row r="1002" customFormat="false" ht="15" hidden="false" customHeight="false" outlineLevel="0" collapsed="false">
      <c r="A1002" s="11" t="s">
        <v>3354</v>
      </c>
      <c r="B1002" s="38" t="n">
        <v>46146</v>
      </c>
      <c r="C1002" s="11" t="s">
        <v>1496</v>
      </c>
      <c r="D1002" s="11" t="s">
        <v>1497</v>
      </c>
      <c r="E1002" s="11" t="s">
        <v>287</v>
      </c>
      <c r="F1002" s="11" t="s">
        <v>3355</v>
      </c>
      <c r="G1002" s="37" t="n">
        <v>7296</v>
      </c>
      <c r="H1002" s="37" t="n">
        <v>447079.12</v>
      </c>
    </row>
    <row r="1003" customFormat="false" ht="15" hidden="false" customHeight="false" outlineLevel="0" collapsed="false">
      <c r="A1003" s="11" t="s">
        <v>3356</v>
      </c>
      <c r="B1003" s="38" t="n">
        <v>46146</v>
      </c>
      <c r="C1003" s="11" t="s">
        <v>1496</v>
      </c>
      <c r="D1003" s="11" t="s">
        <v>1497</v>
      </c>
      <c r="E1003" s="11" t="s">
        <v>810</v>
      </c>
      <c r="F1003" s="11" t="s">
        <v>3357</v>
      </c>
      <c r="G1003" s="37" t="n">
        <v>43200</v>
      </c>
      <c r="H1003" s="37" t="n">
        <v>490279.12</v>
      </c>
    </row>
    <row r="1004" customFormat="false" ht="15" hidden="false" customHeight="false" outlineLevel="0" collapsed="false">
      <c r="A1004" s="11" t="s">
        <v>3358</v>
      </c>
      <c r="B1004" s="38" t="n">
        <v>46146</v>
      </c>
      <c r="C1004" s="11" t="s">
        <v>1496</v>
      </c>
      <c r="D1004" s="11" t="s">
        <v>1497</v>
      </c>
      <c r="E1004" s="11" t="s">
        <v>331</v>
      </c>
      <c r="F1004" s="11" t="s">
        <v>3359</v>
      </c>
      <c r="G1004" s="37" t="n">
        <v>11232</v>
      </c>
      <c r="H1004" s="37" t="n">
        <v>501511.12</v>
      </c>
    </row>
    <row r="1005" customFormat="false" ht="15" hidden="false" customHeight="false" outlineLevel="0" collapsed="false">
      <c r="A1005" s="11" t="s">
        <v>3360</v>
      </c>
      <c r="B1005" s="38" t="n">
        <v>46146</v>
      </c>
      <c r="C1005" s="11" t="s">
        <v>1496</v>
      </c>
      <c r="D1005" s="11" t="s">
        <v>1497</v>
      </c>
      <c r="E1005" s="11" t="s">
        <v>280</v>
      </c>
      <c r="F1005" s="11" t="s">
        <v>3361</v>
      </c>
      <c r="G1005" s="37" t="n">
        <v>7944</v>
      </c>
      <c r="H1005" s="37" t="n">
        <v>509455.12</v>
      </c>
    </row>
    <row r="1006" customFormat="false" ht="15" hidden="false" customHeight="false" outlineLevel="0" collapsed="false">
      <c r="A1006" s="11" t="s">
        <v>3362</v>
      </c>
      <c r="B1006" s="38" t="n">
        <v>46146</v>
      </c>
      <c r="C1006" s="11" t="s">
        <v>1496</v>
      </c>
      <c r="D1006" s="11" t="s">
        <v>1497</v>
      </c>
      <c r="E1006" s="11" t="s">
        <v>335</v>
      </c>
      <c r="F1006" s="11" t="s">
        <v>3363</v>
      </c>
      <c r="G1006" s="37" t="n">
        <v>4452</v>
      </c>
      <c r="H1006" s="37" t="n">
        <v>513907.12</v>
      </c>
    </row>
    <row r="1007" customFormat="false" ht="15" hidden="false" customHeight="false" outlineLevel="0" collapsed="false">
      <c r="A1007" s="11" t="s">
        <v>3364</v>
      </c>
      <c r="B1007" s="38" t="n">
        <v>46146</v>
      </c>
      <c r="C1007" s="11" t="s">
        <v>1496</v>
      </c>
      <c r="D1007" s="11" t="s">
        <v>1497</v>
      </c>
      <c r="E1007" s="11" t="s">
        <v>280</v>
      </c>
      <c r="F1007" s="11" t="s">
        <v>3365</v>
      </c>
      <c r="G1007" s="37" t="n">
        <v>5220</v>
      </c>
      <c r="H1007" s="37" t="n">
        <v>519127.12</v>
      </c>
    </row>
    <row r="1008" customFormat="false" ht="15" hidden="false" customHeight="false" outlineLevel="0" collapsed="false">
      <c r="A1008" s="11" t="s">
        <v>3366</v>
      </c>
      <c r="B1008" s="38" t="n">
        <v>46146</v>
      </c>
      <c r="C1008" s="11" t="s">
        <v>1496</v>
      </c>
      <c r="D1008" s="11" t="s">
        <v>1497</v>
      </c>
      <c r="E1008" s="11" t="s">
        <v>287</v>
      </c>
      <c r="F1008" s="11" t="s">
        <v>3367</v>
      </c>
      <c r="G1008" s="37" t="n">
        <v>4812</v>
      </c>
      <c r="H1008" s="37" t="n">
        <v>523939.12</v>
      </c>
    </row>
    <row r="1009" customFormat="false" ht="15" hidden="false" customHeight="false" outlineLevel="0" collapsed="false">
      <c r="A1009" s="11" t="s">
        <v>3368</v>
      </c>
      <c r="B1009" s="38" t="n">
        <v>46146</v>
      </c>
      <c r="C1009" s="11" t="s">
        <v>1496</v>
      </c>
      <c r="D1009" s="11" t="s">
        <v>1497</v>
      </c>
      <c r="E1009" s="11" t="s">
        <v>349</v>
      </c>
      <c r="F1009" s="11" t="s">
        <v>3369</v>
      </c>
      <c r="G1009" s="37" t="n">
        <v>7884</v>
      </c>
      <c r="H1009" s="37" t="n">
        <v>531823.12</v>
      </c>
    </row>
    <row r="1010" customFormat="false" ht="15" hidden="false" customHeight="false" outlineLevel="0" collapsed="false">
      <c r="A1010" s="11" t="s">
        <v>3370</v>
      </c>
      <c r="B1010" s="38" t="n">
        <v>46146</v>
      </c>
      <c r="C1010" s="11" t="s">
        <v>1496</v>
      </c>
      <c r="D1010" s="11" t="s">
        <v>1497</v>
      </c>
      <c r="E1010" s="11" t="s">
        <v>287</v>
      </c>
      <c r="F1010" s="11" t="s">
        <v>3371</v>
      </c>
      <c r="G1010" s="37" t="n">
        <v>5424</v>
      </c>
      <c r="H1010" s="37" t="n">
        <v>537247.12</v>
      </c>
    </row>
    <row r="1011" customFormat="false" ht="15" hidden="false" customHeight="false" outlineLevel="0" collapsed="false">
      <c r="A1011" s="11" t="s">
        <v>3372</v>
      </c>
      <c r="B1011" s="38" t="n">
        <v>46146</v>
      </c>
      <c r="C1011" s="11" t="s">
        <v>1496</v>
      </c>
      <c r="D1011" s="11" t="s">
        <v>1497</v>
      </c>
      <c r="E1011" s="11" t="s">
        <v>327</v>
      </c>
      <c r="F1011" s="11" t="s">
        <v>3373</v>
      </c>
      <c r="G1011" s="37" t="n">
        <v>25872</v>
      </c>
      <c r="H1011" s="37" t="n">
        <v>563119.12</v>
      </c>
    </row>
    <row r="1012" customFormat="false" ht="15" hidden="false" customHeight="false" outlineLevel="0" collapsed="false">
      <c r="A1012" s="11" t="s">
        <v>3374</v>
      </c>
      <c r="B1012" s="38" t="n">
        <v>46146</v>
      </c>
      <c r="C1012" s="11" t="s">
        <v>1496</v>
      </c>
      <c r="D1012" s="11" t="s">
        <v>1497</v>
      </c>
      <c r="E1012" s="11" t="s">
        <v>327</v>
      </c>
      <c r="F1012" s="11" t="s">
        <v>3375</v>
      </c>
      <c r="G1012" s="37" t="n">
        <v>27972</v>
      </c>
      <c r="H1012" s="37" t="n">
        <v>591091.12</v>
      </c>
    </row>
    <row r="1013" customFormat="false" ht="15" hidden="false" customHeight="false" outlineLevel="0" collapsed="false">
      <c r="A1013" s="11" t="s">
        <v>3376</v>
      </c>
      <c r="B1013" s="38" t="n">
        <v>46146</v>
      </c>
      <c r="C1013" s="11" t="s">
        <v>1500</v>
      </c>
      <c r="D1013" s="11" t="s">
        <v>448</v>
      </c>
      <c r="E1013" s="11" t="s">
        <v>449</v>
      </c>
      <c r="F1013" s="11"/>
      <c r="G1013" s="37" t="n">
        <v>-2880</v>
      </c>
      <c r="H1013" s="37" t="n">
        <v>588211.12</v>
      </c>
    </row>
    <row r="1014" customFormat="false" ht="15" hidden="false" customHeight="false" outlineLevel="0" collapsed="false">
      <c r="A1014" s="11" t="s">
        <v>3377</v>
      </c>
      <c r="B1014" s="38" t="n">
        <v>46146</v>
      </c>
      <c r="C1014" s="11" t="s">
        <v>1496</v>
      </c>
      <c r="D1014" s="11" t="s">
        <v>1497</v>
      </c>
      <c r="E1014" s="11" t="s">
        <v>392</v>
      </c>
      <c r="F1014" s="11" t="s">
        <v>3378</v>
      </c>
      <c r="G1014" s="37" t="n">
        <v>9036</v>
      </c>
      <c r="H1014" s="37" t="n">
        <v>597247.12</v>
      </c>
    </row>
    <row r="1015" customFormat="false" ht="15" hidden="false" customHeight="false" outlineLevel="0" collapsed="false">
      <c r="A1015" s="11" t="s">
        <v>3379</v>
      </c>
      <c r="B1015" s="38" t="n">
        <v>46146</v>
      </c>
      <c r="C1015" s="11" t="s">
        <v>1496</v>
      </c>
      <c r="D1015" s="11" t="s">
        <v>1497</v>
      </c>
      <c r="E1015" s="11" t="s">
        <v>287</v>
      </c>
      <c r="F1015" s="11" t="s">
        <v>3380</v>
      </c>
      <c r="G1015" s="37" t="n">
        <v>1956</v>
      </c>
      <c r="H1015" s="37" t="n">
        <v>599203.12</v>
      </c>
    </row>
    <row r="1016" customFormat="false" ht="15" hidden="false" customHeight="false" outlineLevel="0" collapsed="false">
      <c r="A1016" s="11" t="s">
        <v>3381</v>
      </c>
      <c r="B1016" s="38" t="n">
        <v>46147</v>
      </c>
      <c r="C1016" s="11" t="s">
        <v>1496</v>
      </c>
      <c r="D1016" s="11" t="s">
        <v>1497</v>
      </c>
      <c r="E1016" s="11" t="s">
        <v>331</v>
      </c>
      <c r="F1016" s="11" t="s">
        <v>3382</v>
      </c>
      <c r="G1016" s="37" t="n">
        <v>4920</v>
      </c>
      <c r="H1016" s="37" t="n">
        <v>604123.12</v>
      </c>
    </row>
    <row r="1017" customFormat="false" ht="15" hidden="false" customHeight="false" outlineLevel="0" collapsed="false">
      <c r="A1017" s="11" t="s">
        <v>3383</v>
      </c>
      <c r="B1017" s="38" t="n">
        <v>46147</v>
      </c>
      <c r="C1017" s="11" t="s">
        <v>1500</v>
      </c>
      <c r="D1017" s="11" t="s">
        <v>469</v>
      </c>
      <c r="E1017" s="11" t="s">
        <v>470</v>
      </c>
      <c r="F1017" s="11"/>
      <c r="G1017" s="37" t="n">
        <v>-8900</v>
      </c>
      <c r="H1017" s="37" t="n">
        <v>595223.12</v>
      </c>
    </row>
    <row r="1018" customFormat="false" ht="15" hidden="false" customHeight="false" outlineLevel="0" collapsed="false">
      <c r="A1018" s="11" t="s">
        <v>3384</v>
      </c>
      <c r="B1018" s="38" t="n">
        <v>46148</v>
      </c>
      <c r="C1018" s="11" t="s">
        <v>1496</v>
      </c>
      <c r="D1018" s="11" t="s">
        <v>1497</v>
      </c>
      <c r="E1018" s="11" t="s">
        <v>392</v>
      </c>
      <c r="F1018" s="11" t="s">
        <v>3385</v>
      </c>
      <c r="G1018" s="37" t="n">
        <v>11496</v>
      </c>
      <c r="H1018" s="37" t="n">
        <v>606719.12</v>
      </c>
    </row>
    <row r="1019" customFormat="false" ht="15" hidden="false" customHeight="false" outlineLevel="0" collapsed="false">
      <c r="A1019" s="11" t="s">
        <v>3386</v>
      </c>
      <c r="B1019" s="38" t="n">
        <v>46148</v>
      </c>
      <c r="C1019" s="11" t="s">
        <v>1500</v>
      </c>
      <c r="D1019" s="11" t="s">
        <v>291</v>
      </c>
      <c r="E1019" s="11" t="s">
        <v>292</v>
      </c>
      <c r="F1019" s="11"/>
      <c r="G1019" s="37" t="n">
        <v>-5392.45</v>
      </c>
      <c r="H1019" s="37" t="n">
        <v>601326.67</v>
      </c>
    </row>
    <row r="1020" customFormat="false" ht="15" hidden="false" customHeight="false" outlineLevel="0" collapsed="false">
      <c r="A1020" s="11" t="s">
        <v>3387</v>
      </c>
      <c r="B1020" s="38" t="n">
        <v>46149</v>
      </c>
      <c r="C1020" s="11" t="s">
        <v>1496</v>
      </c>
      <c r="D1020" s="11" t="s">
        <v>1497</v>
      </c>
      <c r="E1020" s="11" t="s">
        <v>280</v>
      </c>
      <c r="F1020" s="11" t="s">
        <v>3388</v>
      </c>
      <c r="G1020" s="37" t="n">
        <v>22152</v>
      </c>
      <c r="H1020" s="37" t="n">
        <v>623478.67</v>
      </c>
    </row>
    <row r="1021" customFormat="false" ht="15" hidden="false" customHeight="false" outlineLevel="0" collapsed="false">
      <c r="A1021" s="11" t="s">
        <v>3389</v>
      </c>
      <c r="B1021" s="38" t="n">
        <v>46149</v>
      </c>
      <c r="C1021" s="11" t="s">
        <v>1500</v>
      </c>
      <c r="D1021" s="11" t="s">
        <v>307</v>
      </c>
      <c r="E1021" s="11" t="s">
        <v>458</v>
      </c>
      <c r="F1021" s="11" t="s">
        <v>3390</v>
      </c>
      <c r="G1021" s="37" t="n">
        <v>-34474.52</v>
      </c>
      <c r="H1021" s="37" t="n">
        <v>589004.15</v>
      </c>
    </row>
    <row r="1022" customFormat="false" ht="15" hidden="false" customHeight="false" outlineLevel="0" collapsed="false">
      <c r="A1022" s="11" t="s">
        <v>3391</v>
      </c>
      <c r="B1022" s="38" t="n">
        <v>46149</v>
      </c>
      <c r="C1022" s="11" t="s">
        <v>1500</v>
      </c>
      <c r="D1022" s="11" t="s">
        <v>307</v>
      </c>
      <c r="E1022" s="11" t="s">
        <v>420</v>
      </c>
      <c r="F1022" s="11" t="s">
        <v>3392</v>
      </c>
      <c r="G1022" s="37" t="n">
        <v>-121642.66</v>
      </c>
      <c r="H1022" s="37" t="n">
        <v>467361.49</v>
      </c>
    </row>
    <row r="1023" customFormat="false" ht="15" hidden="false" customHeight="false" outlineLevel="0" collapsed="false">
      <c r="A1023" s="11" t="s">
        <v>3393</v>
      </c>
      <c r="B1023" s="38" t="n">
        <v>46149</v>
      </c>
      <c r="C1023" s="11" t="s">
        <v>1500</v>
      </c>
      <c r="D1023" s="11" t="s">
        <v>307</v>
      </c>
      <c r="E1023" s="11" t="s">
        <v>464</v>
      </c>
      <c r="F1023" s="11" t="s">
        <v>3394</v>
      </c>
      <c r="G1023" s="37" t="n">
        <v>-13253.46</v>
      </c>
      <c r="H1023" s="37" t="n">
        <v>454108.03</v>
      </c>
    </row>
    <row r="1024" customFormat="false" ht="15" hidden="false" customHeight="false" outlineLevel="0" collapsed="false">
      <c r="A1024" s="11" t="s">
        <v>3395</v>
      </c>
      <c r="B1024" s="38" t="n">
        <v>46149</v>
      </c>
      <c r="C1024" s="11" t="s">
        <v>1500</v>
      </c>
      <c r="D1024" s="11" t="s">
        <v>307</v>
      </c>
      <c r="E1024" s="11" t="s">
        <v>313</v>
      </c>
      <c r="F1024" s="11" t="s">
        <v>3396</v>
      </c>
      <c r="G1024" s="37" t="n">
        <v>-5602.01</v>
      </c>
      <c r="H1024" s="37" t="n">
        <v>448506.02</v>
      </c>
    </row>
    <row r="1025" customFormat="false" ht="15" hidden="false" customHeight="false" outlineLevel="0" collapsed="false">
      <c r="A1025" s="11" t="s">
        <v>3397</v>
      </c>
      <c r="B1025" s="38" t="n">
        <v>46153</v>
      </c>
      <c r="C1025" s="11" t="s">
        <v>1496</v>
      </c>
      <c r="D1025" s="11" t="s">
        <v>1497</v>
      </c>
      <c r="E1025" s="11" t="s">
        <v>280</v>
      </c>
      <c r="F1025" s="11" t="s">
        <v>3398</v>
      </c>
      <c r="G1025" s="37" t="n">
        <v>4224</v>
      </c>
      <c r="H1025" s="37" t="n">
        <v>452730.02</v>
      </c>
    </row>
    <row r="1026" customFormat="false" ht="15" hidden="false" customHeight="false" outlineLevel="0" collapsed="false">
      <c r="A1026" s="11" t="s">
        <v>3399</v>
      </c>
      <c r="B1026" s="38" t="n">
        <v>46153</v>
      </c>
      <c r="C1026" s="11" t="s">
        <v>1496</v>
      </c>
      <c r="D1026" s="11" t="s">
        <v>1497</v>
      </c>
      <c r="E1026" s="11" t="s">
        <v>280</v>
      </c>
      <c r="F1026" s="11" t="s">
        <v>3400</v>
      </c>
      <c r="G1026" s="37" t="n">
        <v>4980</v>
      </c>
      <c r="H1026" s="37" t="n">
        <v>457710.02</v>
      </c>
    </row>
    <row r="1027" customFormat="false" ht="15" hidden="false" customHeight="false" outlineLevel="0" collapsed="false">
      <c r="A1027" s="11" t="s">
        <v>3401</v>
      </c>
      <c r="B1027" s="38" t="n">
        <v>46153</v>
      </c>
      <c r="C1027" s="11" t="s">
        <v>1496</v>
      </c>
      <c r="D1027" s="11" t="s">
        <v>1497</v>
      </c>
      <c r="E1027" s="11" t="s">
        <v>323</v>
      </c>
      <c r="F1027" s="11" t="s">
        <v>3402</v>
      </c>
      <c r="G1027" s="37" t="n">
        <v>3228</v>
      </c>
      <c r="H1027" s="37" t="n">
        <v>460938.02</v>
      </c>
    </row>
    <row r="1028" customFormat="false" ht="15" hidden="false" customHeight="false" outlineLevel="0" collapsed="false">
      <c r="A1028" s="11" t="s">
        <v>3403</v>
      </c>
      <c r="B1028" s="38" t="n">
        <v>46153</v>
      </c>
      <c r="C1028" s="11" t="s">
        <v>1496</v>
      </c>
      <c r="D1028" s="11" t="s">
        <v>1497</v>
      </c>
      <c r="E1028" s="11" t="s">
        <v>280</v>
      </c>
      <c r="F1028" s="11" t="s">
        <v>3404</v>
      </c>
      <c r="G1028" s="37" t="n">
        <v>2916</v>
      </c>
      <c r="H1028" s="37" t="n">
        <v>463854.02</v>
      </c>
    </row>
    <row r="1029" customFormat="false" ht="15" hidden="false" customHeight="false" outlineLevel="0" collapsed="false">
      <c r="A1029" s="11" t="s">
        <v>3405</v>
      </c>
      <c r="B1029" s="38" t="n">
        <v>46153</v>
      </c>
      <c r="C1029" s="11" t="s">
        <v>1496</v>
      </c>
      <c r="D1029" s="11" t="s">
        <v>1497</v>
      </c>
      <c r="E1029" s="11" t="s">
        <v>335</v>
      </c>
      <c r="F1029" s="11" t="s">
        <v>3406</v>
      </c>
      <c r="G1029" s="37" t="n">
        <v>7332</v>
      </c>
      <c r="H1029" s="37" t="n">
        <v>471186.02</v>
      </c>
    </row>
    <row r="1030" customFormat="false" ht="15" hidden="false" customHeight="false" outlineLevel="0" collapsed="false">
      <c r="A1030" s="11" t="s">
        <v>3407</v>
      </c>
      <c r="B1030" s="38" t="n">
        <v>46153</v>
      </c>
      <c r="C1030" s="11" t="s">
        <v>1496</v>
      </c>
      <c r="D1030" s="11" t="s">
        <v>1497</v>
      </c>
      <c r="E1030" s="11" t="s">
        <v>280</v>
      </c>
      <c r="F1030" s="11" t="s">
        <v>3408</v>
      </c>
      <c r="G1030" s="37" t="n">
        <v>5964</v>
      </c>
      <c r="H1030" s="37" t="n">
        <v>477150.02</v>
      </c>
    </row>
    <row r="1031" customFormat="false" ht="15" hidden="false" customHeight="false" outlineLevel="0" collapsed="false">
      <c r="A1031" s="11" t="s">
        <v>3409</v>
      </c>
      <c r="B1031" s="38" t="n">
        <v>46153</v>
      </c>
      <c r="C1031" s="11" t="s">
        <v>1500</v>
      </c>
      <c r="D1031" s="11" t="s">
        <v>272</v>
      </c>
      <c r="E1031" s="11" t="s">
        <v>273</v>
      </c>
      <c r="F1031" s="11"/>
      <c r="G1031" s="37" t="n">
        <v>-3840</v>
      </c>
      <c r="H1031" s="37" t="n">
        <v>473310.02</v>
      </c>
    </row>
    <row r="1032" customFormat="false" ht="15" hidden="false" customHeight="false" outlineLevel="0" collapsed="false">
      <c r="A1032" s="11" t="s">
        <v>3410</v>
      </c>
      <c r="B1032" s="38" t="n">
        <v>46153</v>
      </c>
      <c r="C1032" s="11" t="s">
        <v>1496</v>
      </c>
      <c r="D1032" s="11" t="s">
        <v>1497</v>
      </c>
      <c r="E1032" s="11" t="s">
        <v>287</v>
      </c>
      <c r="F1032" s="11" t="s">
        <v>3411</v>
      </c>
      <c r="G1032" s="37" t="n">
        <v>9048</v>
      </c>
      <c r="H1032" s="37" t="n">
        <v>482358.02</v>
      </c>
    </row>
    <row r="1033" customFormat="false" ht="15" hidden="false" customHeight="false" outlineLevel="0" collapsed="false">
      <c r="A1033" s="11" t="s">
        <v>3412</v>
      </c>
      <c r="B1033" s="38" t="n">
        <v>46153</v>
      </c>
      <c r="C1033" s="11" t="s">
        <v>1496</v>
      </c>
      <c r="D1033" s="11" t="s">
        <v>1497</v>
      </c>
      <c r="E1033" s="11" t="s">
        <v>399</v>
      </c>
      <c r="F1033" s="11" t="s">
        <v>3413</v>
      </c>
      <c r="G1033" s="37" t="n">
        <v>18132</v>
      </c>
      <c r="H1033" s="37" t="n">
        <v>500490.02</v>
      </c>
    </row>
    <row r="1034" customFormat="false" ht="15" hidden="false" customHeight="false" outlineLevel="0" collapsed="false">
      <c r="A1034" s="11" t="s">
        <v>3414</v>
      </c>
      <c r="B1034" s="38" t="n">
        <v>46153</v>
      </c>
      <c r="C1034" s="11" t="s">
        <v>1500</v>
      </c>
      <c r="D1034" s="11" t="s">
        <v>480</v>
      </c>
      <c r="E1034" s="11" t="s">
        <v>481</v>
      </c>
      <c r="F1034" s="11"/>
      <c r="G1034" s="37" t="n">
        <v>-9840</v>
      </c>
      <c r="H1034" s="37" t="n">
        <v>490650.02</v>
      </c>
    </row>
    <row r="1035" customFormat="false" ht="15" hidden="false" customHeight="false" outlineLevel="0" collapsed="false">
      <c r="A1035" s="11" t="s">
        <v>3415</v>
      </c>
      <c r="B1035" s="38" t="n">
        <v>46153</v>
      </c>
      <c r="C1035" s="11" t="s">
        <v>1496</v>
      </c>
      <c r="D1035" s="11" t="s">
        <v>1497</v>
      </c>
      <c r="E1035" s="11" t="s">
        <v>331</v>
      </c>
      <c r="F1035" s="11" t="s">
        <v>3416</v>
      </c>
      <c r="G1035" s="37" t="n">
        <v>10608</v>
      </c>
      <c r="H1035" s="37" t="n">
        <v>501258.02</v>
      </c>
    </row>
    <row r="1036" customFormat="false" ht="15" hidden="false" customHeight="false" outlineLevel="0" collapsed="false">
      <c r="A1036" s="11" t="s">
        <v>3417</v>
      </c>
      <c r="B1036" s="38" t="n">
        <v>46153</v>
      </c>
      <c r="C1036" s="11" t="s">
        <v>1496</v>
      </c>
      <c r="D1036" s="11" t="s">
        <v>1497</v>
      </c>
      <c r="E1036" s="11" t="s">
        <v>287</v>
      </c>
      <c r="F1036" s="11" t="s">
        <v>3418</v>
      </c>
      <c r="G1036" s="37" t="n">
        <v>4320</v>
      </c>
      <c r="H1036" s="37" t="n">
        <v>505578.02</v>
      </c>
    </row>
    <row r="1037" customFormat="false" ht="15" hidden="false" customHeight="false" outlineLevel="0" collapsed="false">
      <c r="A1037" s="11" t="s">
        <v>3419</v>
      </c>
      <c r="B1037" s="38" t="n">
        <v>46153</v>
      </c>
      <c r="C1037" s="11" t="s">
        <v>1496</v>
      </c>
      <c r="D1037" s="11" t="s">
        <v>1497</v>
      </c>
      <c r="E1037" s="11" t="s">
        <v>349</v>
      </c>
      <c r="F1037" s="11" t="s">
        <v>3420</v>
      </c>
      <c r="G1037" s="37" t="n">
        <v>28644</v>
      </c>
      <c r="H1037" s="37" t="n">
        <v>534222.02</v>
      </c>
    </row>
    <row r="1038" customFormat="false" ht="15" hidden="false" customHeight="false" outlineLevel="0" collapsed="false">
      <c r="A1038" s="11" t="s">
        <v>3421</v>
      </c>
      <c r="B1038" s="38" t="n">
        <v>46154</v>
      </c>
      <c r="C1038" s="11" t="s">
        <v>1496</v>
      </c>
      <c r="D1038" s="11" t="s">
        <v>1497</v>
      </c>
      <c r="E1038" s="11" t="s">
        <v>298</v>
      </c>
      <c r="F1038" s="11" t="s">
        <v>3422</v>
      </c>
      <c r="G1038" s="37" t="n">
        <v>8320</v>
      </c>
      <c r="H1038" s="37" t="n">
        <v>542542.02</v>
      </c>
    </row>
    <row r="1039" customFormat="false" ht="15" hidden="false" customHeight="false" outlineLevel="0" collapsed="false">
      <c r="A1039" s="11" t="s">
        <v>3423</v>
      </c>
      <c r="B1039" s="38" t="n">
        <v>46154</v>
      </c>
      <c r="C1039" s="11" t="s">
        <v>1496</v>
      </c>
      <c r="D1039" s="11" t="s">
        <v>1497</v>
      </c>
      <c r="E1039" s="11" t="s">
        <v>392</v>
      </c>
      <c r="F1039" s="11" t="s">
        <v>3424</v>
      </c>
      <c r="G1039" s="37" t="n">
        <v>16032</v>
      </c>
      <c r="H1039" s="37" t="n">
        <v>558574.02</v>
      </c>
    </row>
    <row r="1040" customFormat="false" ht="15" hidden="false" customHeight="false" outlineLevel="0" collapsed="false">
      <c r="A1040" s="11" t="s">
        <v>3425</v>
      </c>
      <c r="B1040" s="38" t="n">
        <v>46154</v>
      </c>
      <c r="C1040" s="11" t="s">
        <v>1496</v>
      </c>
      <c r="D1040" s="11" t="s">
        <v>1497</v>
      </c>
      <c r="E1040" s="11" t="s">
        <v>335</v>
      </c>
      <c r="F1040" s="11" t="s">
        <v>3426</v>
      </c>
      <c r="G1040" s="37" t="n">
        <v>3768</v>
      </c>
      <c r="H1040" s="37" t="n">
        <v>562342.02</v>
      </c>
    </row>
    <row r="1041" customFormat="false" ht="15" hidden="false" customHeight="false" outlineLevel="0" collapsed="false">
      <c r="A1041" s="11" t="s">
        <v>3427</v>
      </c>
      <c r="B1041" s="38" t="n">
        <v>46155</v>
      </c>
      <c r="C1041" s="11" t="s">
        <v>1496</v>
      </c>
      <c r="D1041" s="11" t="s">
        <v>1497</v>
      </c>
      <c r="E1041" s="11" t="s">
        <v>287</v>
      </c>
      <c r="F1041" s="11" t="s">
        <v>3428</v>
      </c>
      <c r="G1041" s="37" t="n">
        <v>2592</v>
      </c>
      <c r="H1041" s="37" t="n">
        <v>564934.02</v>
      </c>
    </row>
    <row r="1042" customFormat="false" ht="15" hidden="false" customHeight="false" outlineLevel="0" collapsed="false">
      <c r="A1042" s="11" t="s">
        <v>3429</v>
      </c>
      <c r="B1042" s="38" t="n">
        <v>46155</v>
      </c>
      <c r="C1042" s="11" t="s">
        <v>1500</v>
      </c>
      <c r="D1042" s="11" t="s">
        <v>307</v>
      </c>
      <c r="E1042" s="11" t="s">
        <v>308</v>
      </c>
      <c r="F1042" s="11" t="s">
        <v>3430</v>
      </c>
      <c r="G1042" s="37" t="n">
        <v>-32495.14</v>
      </c>
      <c r="H1042" s="37" t="n">
        <v>532438.88</v>
      </c>
    </row>
    <row r="1043" customFormat="false" ht="15" hidden="false" customHeight="false" outlineLevel="0" collapsed="false">
      <c r="A1043" s="11" t="s">
        <v>3431</v>
      </c>
      <c r="B1043" s="38" t="n">
        <v>46155</v>
      </c>
      <c r="C1043" s="11" t="s">
        <v>1500</v>
      </c>
      <c r="D1043" s="11" t="s">
        <v>307</v>
      </c>
      <c r="E1043" s="11" t="s">
        <v>313</v>
      </c>
      <c r="F1043" s="11" t="s">
        <v>3432</v>
      </c>
      <c r="G1043" s="37" t="n">
        <v>-5467.01</v>
      </c>
      <c r="H1043" s="37" t="n">
        <v>526971.87</v>
      </c>
    </row>
    <row r="1044" customFormat="false" ht="15" hidden="false" customHeight="false" outlineLevel="0" collapsed="false">
      <c r="A1044" s="11" t="s">
        <v>3433</v>
      </c>
      <c r="B1044" s="38" t="n">
        <v>46155</v>
      </c>
      <c r="C1044" s="11" t="s">
        <v>1500</v>
      </c>
      <c r="D1044" s="11" t="s">
        <v>291</v>
      </c>
      <c r="E1044" s="11" t="s">
        <v>292</v>
      </c>
      <c r="F1044" s="11"/>
      <c r="G1044" s="37" t="n">
        <v>-4837.73</v>
      </c>
      <c r="H1044" s="37" t="n">
        <v>522134.14</v>
      </c>
    </row>
    <row r="1045" customFormat="false" ht="15" hidden="false" customHeight="false" outlineLevel="0" collapsed="false">
      <c r="A1045" s="11" t="s">
        <v>3434</v>
      </c>
      <c r="B1045" s="38" t="n">
        <v>46157</v>
      </c>
      <c r="C1045" s="11" t="s">
        <v>1500</v>
      </c>
      <c r="D1045" s="11" t="s">
        <v>317</v>
      </c>
      <c r="E1045" s="11" t="s">
        <v>318</v>
      </c>
      <c r="F1045" s="11"/>
      <c r="G1045" s="37" t="n">
        <v>-86000</v>
      </c>
      <c r="H1045" s="37" t="n">
        <v>436134.14</v>
      </c>
    </row>
    <row r="1046" customFormat="false" ht="15" hidden="false" customHeight="false" outlineLevel="0" collapsed="false">
      <c r="A1046" s="11" t="s">
        <v>3435</v>
      </c>
      <c r="B1046" s="38" t="n">
        <v>46157</v>
      </c>
      <c r="C1046" s="11" t="s">
        <v>1496</v>
      </c>
      <c r="D1046" s="11" t="s">
        <v>1497</v>
      </c>
      <c r="E1046" s="11" t="s">
        <v>327</v>
      </c>
      <c r="F1046" s="11" t="s">
        <v>3436</v>
      </c>
      <c r="G1046" s="37" t="n">
        <v>15168</v>
      </c>
      <c r="H1046" s="37" t="n">
        <v>451302.14</v>
      </c>
    </row>
    <row r="1047" customFormat="false" ht="15" hidden="false" customHeight="false" outlineLevel="0" collapsed="false">
      <c r="A1047" s="11" t="s">
        <v>3437</v>
      </c>
      <c r="B1047" s="38" t="n">
        <v>46157</v>
      </c>
      <c r="C1047" s="11" t="s">
        <v>1500</v>
      </c>
      <c r="D1047" s="11" t="s">
        <v>1700</v>
      </c>
      <c r="E1047" s="11" t="s">
        <v>384</v>
      </c>
      <c r="F1047" s="11"/>
      <c r="G1047" s="37" t="n">
        <v>-12400</v>
      </c>
      <c r="H1047" s="37" t="n">
        <v>438902.14</v>
      </c>
    </row>
    <row r="1048" customFormat="false" ht="15" hidden="false" customHeight="false" outlineLevel="0" collapsed="false">
      <c r="A1048" s="11" t="s">
        <v>3438</v>
      </c>
      <c r="B1048" s="38" t="n">
        <v>46157</v>
      </c>
      <c r="C1048" s="11" t="s">
        <v>1496</v>
      </c>
      <c r="D1048" s="11" t="s">
        <v>1497</v>
      </c>
      <c r="E1048" s="11" t="s">
        <v>335</v>
      </c>
      <c r="F1048" s="11" t="s">
        <v>3439</v>
      </c>
      <c r="G1048" s="37" t="n">
        <v>3288</v>
      </c>
      <c r="H1048" s="37" t="n">
        <v>442190.14</v>
      </c>
    </row>
    <row r="1049" customFormat="false" ht="15" hidden="false" customHeight="false" outlineLevel="0" collapsed="false">
      <c r="A1049" s="11" t="s">
        <v>3440</v>
      </c>
      <c r="B1049" s="38" t="n">
        <v>46157</v>
      </c>
      <c r="C1049" s="11" t="s">
        <v>1496</v>
      </c>
      <c r="D1049" s="11" t="s">
        <v>1497</v>
      </c>
      <c r="E1049" s="11" t="s">
        <v>287</v>
      </c>
      <c r="F1049" s="11" t="s">
        <v>3441</v>
      </c>
      <c r="G1049" s="37" t="n">
        <v>2292</v>
      </c>
      <c r="H1049" s="37" t="n">
        <v>444482.14</v>
      </c>
    </row>
    <row r="1050" customFormat="false" ht="15" hidden="false" customHeight="false" outlineLevel="0" collapsed="false">
      <c r="A1050" s="11" t="s">
        <v>3442</v>
      </c>
      <c r="B1050" s="38" t="n">
        <v>46160</v>
      </c>
      <c r="C1050" s="11" t="s">
        <v>1496</v>
      </c>
      <c r="D1050" s="11" t="s">
        <v>1497</v>
      </c>
      <c r="E1050" s="11" t="s">
        <v>335</v>
      </c>
      <c r="F1050" s="11" t="s">
        <v>3443</v>
      </c>
      <c r="G1050" s="37" t="n">
        <v>4836</v>
      </c>
      <c r="H1050" s="37" t="n">
        <v>449318.14</v>
      </c>
    </row>
    <row r="1051" customFormat="false" ht="15" hidden="false" customHeight="false" outlineLevel="0" collapsed="false">
      <c r="A1051" s="11" t="s">
        <v>3444</v>
      </c>
      <c r="B1051" s="38" t="n">
        <v>46160</v>
      </c>
      <c r="C1051" s="11" t="s">
        <v>1496</v>
      </c>
      <c r="D1051" s="11" t="s">
        <v>1497</v>
      </c>
      <c r="E1051" s="11" t="s">
        <v>323</v>
      </c>
      <c r="F1051" s="11" t="s">
        <v>3445</v>
      </c>
      <c r="G1051" s="37" t="n">
        <v>6096</v>
      </c>
      <c r="H1051" s="37" t="n">
        <v>455414.14</v>
      </c>
    </row>
    <row r="1052" customFormat="false" ht="15" hidden="false" customHeight="false" outlineLevel="0" collapsed="false">
      <c r="A1052" s="11" t="s">
        <v>3446</v>
      </c>
      <c r="B1052" s="38" t="n">
        <v>46160</v>
      </c>
      <c r="C1052" s="11" t="s">
        <v>1496</v>
      </c>
      <c r="D1052" s="11" t="s">
        <v>1497</v>
      </c>
      <c r="E1052" s="11" t="s">
        <v>327</v>
      </c>
      <c r="F1052" s="11" t="s">
        <v>3447</v>
      </c>
      <c r="G1052" s="37" t="n">
        <v>12192</v>
      </c>
      <c r="H1052" s="37" t="n">
        <v>467606.14</v>
      </c>
    </row>
    <row r="1053" customFormat="false" ht="15" hidden="false" customHeight="false" outlineLevel="0" collapsed="false">
      <c r="A1053" s="11" t="s">
        <v>3448</v>
      </c>
      <c r="B1053" s="38" t="n">
        <v>46160</v>
      </c>
      <c r="C1053" s="11" t="s">
        <v>1496</v>
      </c>
      <c r="D1053" s="11" t="s">
        <v>1497</v>
      </c>
      <c r="E1053" s="11" t="s">
        <v>335</v>
      </c>
      <c r="F1053" s="11" t="s">
        <v>3449</v>
      </c>
      <c r="G1053" s="37" t="n">
        <v>4224</v>
      </c>
      <c r="H1053" s="37" t="n">
        <v>471830.14</v>
      </c>
    </row>
    <row r="1054" customFormat="false" ht="15" hidden="false" customHeight="false" outlineLevel="0" collapsed="false">
      <c r="A1054" s="11" t="s">
        <v>3450</v>
      </c>
      <c r="B1054" s="38" t="n">
        <v>46160</v>
      </c>
      <c r="C1054" s="11" t="s">
        <v>1496</v>
      </c>
      <c r="D1054" s="11" t="s">
        <v>1497</v>
      </c>
      <c r="E1054" s="11" t="s">
        <v>280</v>
      </c>
      <c r="F1054" s="11" t="s">
        <v>3451</v>
      </c>
      <c r="G1054" s="37" t="n">
        <v>9564</v>
      </c>
      <c r="H1054" s="37" t="n">
        <v>481394.14</v>
      </c>
    </row>
    <row r="1055" customFormat="false" ht="15" hidden="false" customHeight="false" outlineLevel="0" collapsed="false">
      <c r="A1055" s="11" t="s">
        <v>3452</v>
      </c>
      <c r="B1055" s="38" t="n">
        <v>46160</v>
      </c>
      <c r="C1055" s="11" t="s">
        <v>1496</v>
      </c>
      <c r="D1055" s="11" t="s">
        <v>1497</v>
      </c>
      <c r="E1055" s="11" t="s">
        <v>349</v>
      </c>
      <c r="F1055" s="11" t="s">
        <v>3453</v>
      </c>
      <c r="G1055" s="37" t="n">
        <v>15492</v>
      </c>
      <c r="H1055" s="37" t="n">
        <v>496886.14</v>
      </c>
    </row>
    <row r="1056" customFormat="false" ht="15" hidden="false" customHeight="false" outlineLevel="0" collapsed="false">
      <c r="A1056" s="11" t="s">
        <v>3454</v>
      </c>
      <c r="B1056" s="38" t="n">
        <v>46160</v>
      </c>
      <c r="C1056" s="11" t="s">
        <v>1496</v>
      </c>
      <c r="D1056" s="11" t="s">
        <v>1497</v>
      </c>
      <c r="E1056" s="11" t="s">
        <v>280</v>
      </c>
      <c r="F1056" s="11" t="s">
        <v>3455</v>
      </c>
      <c r="G1056" s="37" t="n">
        <v>7152</v>
      </c>
      <c r="H1056" s="37" t="n">
        <v>504038.14</v>
      </c>
    </row>
    <row r="1057" customFormat="false" ht="15" hidden="false" customHeight="false" outlineLevel="0" collapsed="false">
      <c r="A1057" s="11" t="s">
        <v>3456</v>
      </c>
      <c r="B1057" s="38" t="n">
        <v>46162</v>
      </c>
      <c r="C1057" s="11" t="s">
        <v>1496</v>
      </c>
      <c r="D1057" s="11" t="s">
        <v>1497</v>
      </c>
      <c r="E1057" s="11" t="s">
        <v>331</v>
      </c>
      <c r="F1057" s="11" t="s">
        <v>3457</v>
      </c>
      <c r="G1057" s="37" t="n">
        <v>10176</v>
      </c>
      <c r="H1057" s="37" t="n">
        <v>514214.14</v>
      </c>
    </row>
    <row r="1058" customFormat="false" ht="15" hidden="false" customHeight="false" outlineLevel="0" collapsed="false">
      <c r="A1058" s="11" t="s">
        <v>3458</v>
      </c>
      <c r="B1058" s="38" t="n">
        <v>46162</v>
      </c>
      <c r="C1058" s="11" t="s">
        <v>1496</v>
      </c>
      <c r="D1058" s="11" t="s">
        <v>1497</v>
      </c>
      <c r="E1058" s="11" t="s">
        <v>323</v>
      </c>
      <c r="F1058" s="11" t="s">
        <v>3459</v>
      </c>
      <c r="G1058" s="37" t="n">
        <v>7944</v>
      </c>
      <c r="H1058" s="37" t="n">
        <v>522158.14</v>
      </c>
    </row>
    <row r="1059" customFormat="false" ht="15" hidden="false" customHeight="false" outlineLevel="0" collapsed="false">
      <c r="A1059" s="11" t="s">
        <v>3460</v>
      </c>
      <c r="B1059" s="38" t="n">
        <v>46162</v>
      </c>
      <c r="C1059" s="11" t="s">
        <v>1500</v>
      </c>
      <c r="D1059" s="11" t="s">
        <v>291</v>
      </c>
      <c r="E1059" s="11" t="s">
        <v>292</v>
      </c>
      <c r="F1059" s="11"/>
      <c r="G1059" s="37" t="n">
        <v>-4560</v>
      </c>
      <c r="H1059" s="37" t="n">
        <v>517598.14</v>
      </c>
    </row>
    <row r="1060" customFormat="false" ht="15" hidden="false" customHeight="false" outlineLevel="0" collapsed="false">
      <c r="A1060" s="11" t="s">
        <v>3461</v>
      </c>
      <c r="B1060" s="38" t="n">
        <v>46162</v>
      </c>
      <c r="C1060" s="11" t="s">
        <v>1496</v>
      </c>
      <c r="D1060" s="11" t="s">
        <v>1497</v>
      </c>
      <c r="E1060" s="11" t="s">
        <v>331</v>
      </c>
      <c r="F1060" s="11" t="s">
        <v>3462</v>
      </c>
      <c r="G1060" s="37" t="n">
        <v>9120</v>
      </c>
      <c r="H1060" s="37" t="n">
        <v>526718.14</v>
      </c>
    </row>
    <row r="1061" customFormat="false" ht="15" hidden="false" customHeight="false" outlineLevel="0" collapsed="false">
      <c r="A1061" s="11" t="s">
        <v>3463</v>
      </c>
      <c r="B1061" s="38" t="n">
        <v>46163</v>
      </c>
      <c r="C1061" s="11" t="s">
        <v>1496</v>
      </c>
      <c r="D1061" s="11" t="s">
        <v>1497</v>
      </c>
      <c r="E1061" s="11" t="s">
        <v>335</v>
      </c>
      <c r="F1061" s="11" t="s">
        <v>3464</v>
      </c>
      <c r="G1061" s="37" t="n">
        <v>10140</v>
      </c>
      <c r="H1061" s="37" t="n">
        <v>536858.14</v>
      </c>
    </row>
    <row r="1062" customFormat="false" ht="15" hidden="false" customHeight="false" outlineLevel="0" collapsed="false">
      <c r="A1062" s="11" t="s">
        <v>3465</v>
      </c>
      <c r="B1062" s="38" t="n">
        <v>46163</v>
      </c>
      <c r="C1062" s="11" t="s">
        <v>1496</v>
      </c>
      <c r="D1062" s="11" t="s">
        <v>1497</v>
      </c>
      <c r="E1062" s="11" t="s">
        <v>298</v>
      </c>
      <c r="F1062" s="11" t="s">
        <v>3466</v>
      </c>
      <c r="G1062" s="37" t="n">
        <v>4960</v>
      </c>
      <c r="H1062" s="37" t="n">
        <v>541818.14</v>
      </c>
    </row>
    <row r="1063" customFormat="false" ht="15" hidden="false" customHeight="false" outlineLevel="0" collapsed="false">
      <c r="A1063" s="11" t="s">
        <v>3467</v>
      </c>
      <c r="B1063" s="38" t="n">
        <v>46163</v>
      </c>
      <c r="C1063" s="11" t="s">
        <v>1496</v>
      </c>
      <c r="D1063" s="11" t="s">
        <v>1497</v>
      </c>
      <c r="E1063" s="11" t="s">
        <v>287</v>
      </c>
      <c r="F1063" s="11" t="s">
        <v>3468</v>
      </c>
      <c r="G1063" s="37" t="n">
        <v>1488</v>
      </c>
      <c r="H1063" s="37" t="n">
        <v>543306.14</v>
      </c>
    </row>
    <row r="1064" customFormat="false" ht="15" hidden="false" customHeight="false" outlineLevel="0" collapsed="false">
      <c r="A1064" s="11" t="s">
        <v>3469</v>
      </c>
      <c r="B1064" s="38" t="n">
        <v>46163</v>
      </c>
      <c r="C1064" s="11" t="s">
        <v>1500</v>
      </c>
      <c r="D1064" s="11" t="s">
        <v>307</v>
      </c>
      <c r="E1064" s="11" t="s">
        <v>313</v>
      </c>
      <c r="F1064" s="11" t="s">
        <v>3470</v>
      </c>
      <c r="G1064" s="37" t="n">
        <v>-5416.86</v>
      </c>
      <c r="H1064" s="37" t="n">
        <v>537889.28</v>
      </c>
    </row>
    <row r="1065" customFormat="false" ht="15" hidden="false" customHeight="false" outlineLevel="0" collapsed="false">
      <c r="A1065" s="11" t="s">
        <v>3471</v>
      </c>
      <c r="B1065" s="38" t="n">
        <v>46168</v>
      </c>
      <c r="C1065" s="11" t="s">
        <v>1496</v>
      </c>
      <c r="D1065" s="11" t="s">
        <v>1497</v>
      </c>
      <c r="E1065" s="11" t="s">
        <v>280</v>
      </c>
      <c r="F1065" s="11" t="s">
        <v>3472</v>
      </c>
      <c r="G1065" s="37" t="n">
        <v>8988</v>
      </c>
      <c r="H1065" s="37" t="n">
        <v>546877.28</v>
      </c>
    </row>
    <row r="1066" customFormat="false" ht="15" hidden="false" customHeight="false" outlineLevel="0" collapsed="false">
      <c r="A1066" s="11" t="s">
        <v>3473</v>
      </c>
      <c r="B1066" s="38" t="n">
        <v>46168</v>
      </c>
      <c r="C1066" s="11" t="s">
        <v>1496</v>
      </c>
      <c r="D1066" s="11" t="s">
        <v>1497</v>
      </c>
      <c r="E1066" s="11" t="s">
        <v>287</v>
      </c>
      <c r="F1066" s="11" t="s">
        <v>3474</v>
      </c>
      <c r="G1066" s="37" t="n">
        <v>3660</v>
      </c>
      <c r="H1066" s="37" t="n">
        <v>550537.28</v>
      </c>
    </row>
    <row r="1067" customFormat="false" ht="15" hidden="false" customHeight="false" outlineLevel="0" collapsed="false">
      <c r="A1067" s="11" t="s">
        <v>3475</v>
      </c>
      <c r="B1067" s="38" t="n">
        <v>46168</v>
      </c>
      <c r="C1067" s="11" t="s">
        <v>1496</v>
      </c>
      <c r="D1067" s="11" t="s">
        <v>1497</v>
      </c>
      <c r="E1067" s="11" t="s">
        <v>280</v>
      </c>
      <c r="F1067" s="11" t="s">
        <v>3476</v>
      </c>
      <c r="G1067" s="37" t="n">
        <v>18588</v>
      </c>
      <c r="H1067" s="37" t="n">
        <v>569125.28</v>
      </c>
    </row>
    <row r="1068" customFormat="false" ht="15" hidden="false" customHeight="false" outlineLevel="0" collapsed="false">
      <c r="A1068" s="11" t="s">
        <v>3477</v>
      </c>
      <c r="B1068" s="38" t="n">
        <v>46168</v>
      </c>
      <c r="C1068" s="11" t="s">
        <v>1496</v>
      </c>
      <c r="D1068" s="11" t="s">
        <v>1497</v>
      </c>
      <c r="E1068" s="11" t="s">
        <v>280</v>
      </c>
      <c r="F1068" s="11" t="s">
        <v>3478</v>
      </c>
      <c r="G1068" s="37" t="n">
        <v>8520</v>
      </c>
      <c r="H1068" s="37" t="n">
        <v>577645.28</v>
      </c>
    </row>
    <row r="1069" customFormat="false" ht="15" hidden="false" customHeight="false" outlineLevel="0" collapsed="false">
      <c r="A1069" s="11" t="s">
        <v>3479</v>
      </c>
      <c r="B1069" s="38" t="n">
        <v>46168</v>
      </c>
      <c r="C1069" s="11" t="s">
        <v>1500</v>
      </c>
      <c r="D1069" s="11" t="s">
        <v>383</v>
      </c>
      <c r="E1069" s="11" t="s">
        <v>384</v>
      </c>
      <c r="F1069" s="11" t="s">
        <v>3480</v>
      </c>
      <c r="G1069" s="37" t="n">
        <v>-57946.09</v>
      </c>
      <c r="H1069" s="37" t="n">
        <v>519699.19</v>
      </c>
    </row>
    <row r="1070" customFormat="false" ht="15" hidden="false" customHeight="false" outlineLevel="0" collapsed="false">
      <c r="A1070" s="11" t="s">
        <v>3481</v>
      </c>
      <c r="B1070" s="38" t="n">
        <v>46169</v>
      </c>
      <c r="C1070" s="11" t="s">
        <v>1500</v>
      </c>
      <c r="D1070" s="11" t="s">
        <v>291</v>
      </c>
      <c r="E1070" s="11" t="s">
        <v>292</v>
      </c>
      <c r="F1070" s="11"/>
      <c r="G1070" s="37" t="n">
        <v>-4954.76</v>
      </c>
      <c r="H1070" s="37" t="n">
        <v>514744.43</v>
      </c>
    </row>
    <row r="1071" customFormat="false" ht="15" hidden="false" customHeight="false" outlineLevel="0" collapsed="false">
      <c r="A1071" s="11" t="s">
        <v>3482</v>
      </c>
      <c r="B1071" s="38" t="n">
        <v>46169</v>
      </c>
      <c r="C1071" s="11" t="s">
        <v>1496</v>
      </c>
      <c r="D1071" s="11" t="s">
        <v>1497</v>
      </c>
      <c r="E1071" s="11" t="s">
        <v>392</v>
      </c>
      <c r="F1071" s="11" t="s">
        <v>3483</v>
      </c>
      <c r="G1071" s="37" t="n">
        <v>10212</v>
      </c>
      <c r="H1071" s="37" t="n">
        <v>524956.43</v>
      </c>
    </row>
    <row r="1072" customFormat="false" ht="15" hidden="false" customHeight="false" outlineLevel="0" collapsed="false">
      <c r="A1072" s="11" t="s">
        <v>3484</v>
      </c>
      <c r="B1072" s="38" t="n">
        <v>46169</v>
      </c>
      <c r="C1072" s="11" t="s">
        <v>1496</v>
      </c>
      <c r="D1072" s="11" t="s">
        <v>1497</v>
      </c>
      <c r="E1072" s="11" t="s">
        <v>335</v>
      </c>
      <c r="F1072" s="11" t="s">
        <v>3485</v>
      </c>
      <c r="G1072" s="37" t="n">
        <v>11556</v>
      </c>
      <c r="H1072" s="37" t="n">
        <v>536512.43</v>
      </c>
    </row>
    <row r="1073" customFormat="false" ht="15" hidden="false" customHeight="false" outlineLevel="0" collapsed="false">
      <c r="A1073" s="11" t="s">
        <v>3486</v>
      </c>
      <c r="B1073" s="38" t="n">
        <v>46169</v>
      </c>
      <c r="C1073" s="11" t="s">
        <v>1496</v>
      </c>
      <c r="D1073" s="11" t="s">
        <v>1497</v>
      </c>
      <c r="E1073" s="11" t="s">
        <v>331</v>
      </c>
      <c r="F1073" s="11" t="s">
        <v>3487</v>
      </c>
      <c r="G1073" s="37" t="n">
        <v>20040</v>
      </c>
      <c r="H1073" s="37" t="n">
        <v>556552.43</v>
      </c>
    </row>
    <row r="1074" customFormat="false" ht="15" hidden="false" customHeight="false" outlineLevel="0" collapsed="false">
      <c r="A1074" s="11" t="s">
        <v>3488</v>
      </c>
      <c r="B1074" s="38" t="n">
        <v>46169</v>
      </c>
      <c r="C1074" s="11" t="s">
        <v>1496</v>
      </c>
      <c r="D1074" s="11" t="s">
        <v>1497</v>
      </c>
      <c r="E1074" s="11" t="s">
        <v>349</v>
      </c>
      <c r="F1074" s="11" t="s">
        <v>3489</v>
      </c>
      <c r="G1074" s="37" t="n">
        <v>18108</v>
      </c>
      <c r="H1074" s="37" t="n">
        <v>574660.43</v>
      </c>
    </row>
    <row r="1075" customFormat="false" ht="15" hidden="false" customHeight="false" outlineLevel="0" collapsed="false">
      <c r="A1075" s="11" t="s">
        <v>3490</v>
      </c>
      <c r="B1075" s="38" t="n">
        <v>46170</v>
      </c>
      <c r="C1075" s="11" t="s">
        <v>1500</v>
      </c>
      <c r="D1075" s="11" t="s">
        <v>307</v>
      </c>
      <c r="E1075" s="11" t="s">
        <v>308</v>
      </c>
      <c r="F1075" s="11" t="s">
        <v>3491</v>
      </c>
      <c r="G1075" s="37" t="n">
        <v>-31196.14</v>
      </c>
      <c r="H1075" s="37" t="n">
        <v>543464.29</v>
      </c>
    </row>
    <row r="1076" customFormat="false" ht="15" hidden="false" customHeight="false" outlineLevel="0" collapsed="false">
      <c r="A1076" s="11" t="s">
        <v>3492</v>
      </c>
      <c r="B1076" s="38" t="n">
        <v>46170</v>
      </c>
      <c r="C1076" s="11" t="s">
        <v>1500</v>
      </c>
      <c r="D1076" s="11" t="s">
        <v>307</v>
      </c>
      <c r="E1076" s="11" t="s">
        <v>414</v>
      </c>
      <c r="F1076" s="11" t="s">
        <v>3493</v>
      </c>
      <c r="G1076" s="37" t="n">
        <v>-19856.03</v>
      </c>
      <c r="H1076" s="37" t="n">
        <v>523608.26</v>
      </c>
    </row>
    <row r="1077" customFormat="false" ht="15" hidden="false" customHeight="false" outlineLevel="0" collapsed="false">
      <c r="A1077" s="11" t="s">
        <v>3494</v>
      </c>
      <c r="B1077" s="38" t="n">
        <v>46170</v>
      </c>
      <c r="C1077" s="11" t="s">
        <v>1500</v>
      </c>
      <c r="D1077" s="11" t="s">
        <v>307</v>
      </c>
      <c r="E1077" s="11" t="s">
        <v>313</v>
      </c>
      <c r="F1077" s="11" t="s">
        <v>3495</v>
      </c>
      <c r="G1077" s="37" t="n">
        <v>-5900.33</v>
      </c>
      <c r="H1077" s="37" t="n">
        <v>517707.93</v>
      </c>
    </row>
    <row r="1078" customFormat="false" ht="15" hidden="false" customHeight="false" outlineLevel="0" collapsed="false">
      <c r="A1078" s="11" t="s">
        <v>3496</v>
      </c>
      <c r="B1078" s="38" t="n">
        <v>46170</v>
      </c>
      <c r="C1078" s="11" t="s">
        <v>1496</v>
      </c>
      <c r="D1078" s="11" t="s">
        <v>1497</v>
      </c>
      <c r="E1078" s="11" t="s">
        <v>298</v>
      </c>
      <c r="F1078" s="11" t="s">
        <v>3497</v>
      </c>
      <c r="G1078" s="37" t="n">
        <v>9580</v>
      </c>
      <c r="H1078" s="37" t="n">
        <v>527287.93</v>
      </c>
    </row>
    <row r="1079" customFormat="false" ht="15" hidden="false" customHeight="false" outlineLevel="0" collapsed="false">
      <c r="A1079" s="11" t="s">
        <v>3498</v>
      </c>
      <c r="B1079" s="38" t="n">
        <v>46171</v>
      </c>
      <c r="C1079" s="11" t="s">
        <v>1496</v>
      </c>
      <c r="D1079" s="11" t="s">
        <v>1497</v>
      </c>
      <c r="E1079" s="11" t="s">
        <v>335</v>
      </c>
      <c r="F1079" s="11" t="s">
        <v>3499</v>
      </c>
      <c r="G1079" s="37" t="n">
        <v>4452</v>
      </c>
      <c r="H1079" s="37" t="n">
        <v>531739.93</v>
      </c>
    </row>
    <row r="1080" customFormat="false" ht="15" hidden="false" customHeight="false" outlineLevel="0" collapsed="false">
      <c r="A1080" s="11" t="s">
        <v>3500</v>
      </c>
      <c r="B1080" s="38" t="n">
        <v>46171</v>
      </c>
      <c r="C1080" s="11" t="s">
        <v>1496</v>
      </c>
      <c r="D1080" s="11" t="s">
        <v>1497</v>
      </c>
      <c r="E1080" s="11" t="s">
        <v>349</v>
      </c>
      <c r="F1080" s="11" t="s">
        <v>3501</v>
      </c>
      <c r="G1080" s="37" t="n">
        <v>28056</v>
      </c>
      <c r="H1080" s="37" t="n">
        <v>559795.93</v>
      </c>
    </row>
    <row r="1081" customFormat="false" ht="15" hidden="false" customHeight="false" outlineLevel="0" collapsed="false">
      <c r="A1081" s="11" t="s">
        <v>3502</v>
      </c>
      <c r="B1081" s="38" t="n">
        <v>46171</v>
      </c>
      <c r="C1081" s="11" t="s">
        <v>1496</v>
      </c>
      <c r="D1081" s="11" t="s">
        <v>1497</v>
      </c>
      <c r="E1081" s="11" t="s">
        <v>392</v>
      </c>
      <c r="F1081" s="11" t="s">
        <v>3503</v>
      </c>
      <c r="G1081" s="37" t="n">
        <v>21552</v>
      </c>
      <c r="H1081" s="37" t="n">
        <v>581347.93</v>
      </c>
    </row>
    <row r="1082" customFormat="false" ht="15" hidden="false" customHeight="false" outlineLevel="0" collapsed="false">
      <c r="A1082" s="11" t="s">
        <v>3504</v>
      </c>
      <c r="B1082" s="38" t="n">
        <v>46171</v>
      </c>
      <c r="C1082" s="11" t="s">
        <v>1500</v>
      </c>
      <c r="D1082" s="11" t="s">
        <v>1634</v>
      </c>
      <c r="E1082" s="11" t="s">
        <v>425</v>
      </c>
      <c r="F1082" s="11"/>
      <c r="G1082" s="37" t="n">
        <v>-106000</v>
      </c>
      <c r="H1082" s="37" t="n">
        <v>475347.93</v>
      </c>
    </row>
    <row r="1083" customFormat="false" ht="15" hidden="false" customHeight="false" outlineLevel="0" collapsed="false">
      <c r="A1083" s="11" t="s">
        <v>3505</v>
      </c>
      <c r="B1083" s="38" t="n">
        <v>46171</v>
      </c>
      <c r="C1083" s="11" t="s">
        <v>1496</v>
      </c>
      <c r="D1083" s="11" t="s">
        <v>1497</v>
      </c>
      <c r="E1083" s="11" t="s">
        <v>287</v>
      </c>
      <c r="F1083" s="11" t="s">
        <v>3506</v>
      </c>
      <c r="G1083" s="37" t="n">
        <v>1764</v>
      </c>
      <c r="H1083" s="37" t="n">
        <v>477111.93</v>
      </c>
    </row>
    <row r="1084" customFormat="false" ht="15" hidden="false" customHeight="false" outlineLevel="0" collapsed="false">
      <c r="A1084" s="11" t="s">
        <v>3507</v>
      </c>
      <c r="B1084" s="38" t="n">
        <v>46174</v>
      </c>
      <c r="C1084" s="11" t="s">
        <v>1496</v>
      </c>
      <c r="D1084" s="11" t="s">
        <v>1497</v>
      </c>
      <c r="E1084" s="11" t="s">
        <v>280</v>
      </c>
      <c r="F1084" s="11" t="s">
        <v>3508</v>
      </c>
      <c r="G1084" s="37" t="n">
        <v>5220</v>
      </c>
      <c r="H1084" s="37" t="n">
        <v>482331.93</v>
      </c>
    </row>
    <row r="1085" customFormat="false" ht="15" hidden="false" customHeight="false" outlineLevel="0" collapsed="false">
      <c r="A1085" s="11" t="s">
        <v>3509</v>
      </c>
      <c r="B1085" s="38" t="n">
        <v>46174</v>
      </c>
      <c r="C1085" s="11" t="s">
        <v>1496</v>
      </c>
      <c r="D1085" s="11" t="s">
        <v>1497</v>
      </c>
      <c r="E1085" s="11" t="s">
        <v>280</v>
      </c>
      <c r="F1085" s="11" t="s">
        <v>3510</v>
      </c>
      <c r="G1085" s="37" t="n">
        <v>7176</v>
      </c>
      <c r="H1085" s="37" t="n">
        <v>489507.93</v>
      </c>
    </row>
    <row r="1086" customFormat="false" ht="15" hidden="false" customHeight="false" outlineLevel="0" collapsed="false">
      <c r="A1086" s="11" t="s">
        <v>3511</v>
      </c>
      <c r="B1086" s="38" t="n">
        <v>46174</v>
      </c>
      <c r="C1086" s="11" t="s">
        <v>1496</v>
      </c>
      <c r="D1086" s="11" t="s">
        <v>1497</v>
      </c>
      <c r="E1086" s="11" t="s">
        <v>280</v>
      </c>
      <c r="F1086" s="11" t="s">
        <v>3512</v>
      </c>
      <c r="G1086" s="37" t="n">
        <v>10548</v>
      </c>
      <c r="H1086" s="37" t="n">
        <v>500055.93</v>
      </c>
    </row>
    <row r="1087" customFormat="false" ht="15" hidden="false" customHeight="false" outlineLevel="0" collapsed="false">
      <c r="A1087" s="11" t="s">
        <v>3513</v>
      </c>
      <c r="B1087" s="38" t="n">
        <v>46174</v>
      </c>
      <c r="C1087" s="11" t="s">
        <v>1496</v>
      </c>
      <c r="D1087" s="11" t="s">
        <v>1497</v>
      </c>
      <c r="E1087" s="11" t="s">
        <v>331</v>
      </c>
      <c r="F1087" s="11" t="s">
        <v>3514</v>
      </c>
      <c r="G1087" s="37" t="n">
        <v>7320</v>
      </c>
      <c r="H1087" s="37" t="n">
        <v>507375.93</v>
      </c>
    </row>
    <row r="1088" customFormat="false" ht="15" hidden="false" customHeight="false" outlineLevel="0" collapsed="false">
      <c r="A1088" s="11" t="s">
        <v>3515</v>
      </c>
      <c r="B1088" s="38" t="n">
        <v>46175</v>
      </c>
      <c r="C1088" s="11" t="s">
        <v>1496</v>
      </c>
      <c r="D1088" s="11" t="s">
        <v>1497</v>
      </c>
      <c r="E1088" s="11" t="s">
        <v>298</v>
      </c>
      <c r="F1088" s="11" t="s">
        <v>3516</v>
      </c>
      <c r="G1088" s="37" t="n">
        <v>15370</v>
      </c>
      <c r="H1088" s="37" t="n">
        <v>522745.93</v>
      </c>
    </row>
    <row r="1089" customFormat="false" ht="15" hidden="false" customHeight="false" outlineLevel="0" collapsed="false">
      <c r="A1089" s="11" t="s">
        <v>3517</v>
      </c>
      <c r="B1089" s="38" t="n">
        <v>46176</v>
      </c>
      <c r="C1089" s="11" t="s">
        <v>1496</v>
      </c>
      <c r="D1089" s="11" t="s">
        <v>1497</v>
      </c>
      <c r="E1089" s="11" t="s">
        <v>349</v>
      </c>
      <c r="F1089" s="11" t="s">
        <v>3518</v>
      </c>
      <c r="G1089" s="37" t="n">
        <v>14628</v>
      </c>
      <c r="H1089" s="37" t="n">
        <v>537373.93</v>
      </c>
    </row>
    <row r="1090" customFormat="false" ht="15" hidden="false" customHeight="false" outlineLevel="0" collapsed="false">
      <c r="A1090" s="11" t="s">
        <v>3519</v>
      </c>
      <c r="B1090" s="38" t="n">
        <v>46176</v>
      </c>
      <c r="C1090" s="11" t="s">
        <v>1496</v>
      </c>
      <c r="D1090" s="11" t="s">
        <v>1497</v>
      </c>
      <c r="E1090" s="11" t="s">
        <v>349</v>
      </c>
      <c r="F1090" s="11" t="s">
        <v>3520</v>
      </c>
      <c r="G1090" s="37" t="n">
        <v>13932</v>
      </c>
      <c r="H1090" s="37" t="n">
        <v>551305.93</v>
      </c>
    </row>
    <row r="1091" customFormat="false" ht="15" hidden="false" customHeight="false" outlineLevel="0" collapsed="false">
      <c r="A1091" s="11" t="s">
        <v>3521</v>
      </c>
      <c r="B1091" s="38" t="n">
        <v>46176</v>
      </c>
      <c r="C1091" s="11" t="s">
        <v>1500</v>
      </c>
      <c r="D1091" s="11" t="s">
        <v>448</v>
      </c>
      <c r="E1091" s="11" t="s">
        <v>449</v>
      </c>
      <c r="F1091" s="11"/>
      <c r="G1091" s="37" t="n">
        <v>-2880</v>
      </c>
      <c r="H1091" s="37" t="n">
        <v>548425.93</v>
      </c>
    </row>
    <row r="1092" customFormat="false" ht="15" hidden="false" customHeight="false" outlineLevel="0" collapsed="false">
      <c r="A1092" s="11" t="s">
        <v>3522</v>
      </c>
      <c r="B1092" s="38" t="n">
        <v>46176</v>
      </c>
      <c r="C1092" s="11" t="s">
        <v>1496</v>
      </c>
      <c r="D1092" s="11" t="s">
        <v>1497</v>
      </c>
      <c r="E1092" s="11" t="s">
        <v>335</v>
      </c>
      <c r="F1092" s="11" t="s">
        <v>3523</v>
      </c>
      <c r="G1092" s="37" t="n">
        <v>3876</v>
      </c>
      <c r="H1092" s="37" t="n">
        <v>552301.93</v>
      </c>
    </row>
    <row r="1093" customFormat="false" ht="15" hidden="false" customHeight="false" outlineLevel="0" collapsed="false">
      <c r="A1093" s="11" t="s">
        <v>3524</v>
      </c>
      <c r="B1093" s="38" t="n">
        <v>46176</v>
      </c>
      <c r="C1093" s="11" t="s">
        <v>1496</v>
      </c>
      <c r="D1093" s="11" t="s">
        <v>1497</v>
      </c>
      <c r="E1093" s="11" t="s">
        <v>323</v>
      </c>
      <c r="F1093" s="11" t="s">
        <v>3525</v>
      </c>
      <c r="G1093" s="37" t="n">
        <v>4764</v>
      </c>
      <c r="H1093" s="37" t="n">
        <v>557065.93</v>
      </c>
    </row>
    <row r="1094" customFormat="false" ht="15" hidden="false" customHeight="false" outlineLevel="0" collapsed="false">
      <c r="A1094" s="11" t="s">
        <v>3526</v>
      </c>
      <c r="B1094" s="38" t="n">
        <v>46176</v>
      </c>
      <c r="C1094" s="11" t="s">
        <v>1500</v>
      </c>
      <c r="D1094" s="11" t="s">
        <v>291</v>
      </c>
      <c r="E1094" s="11" t="s">
        <v>292</v>
      </c>
      <c r="F1094" s="11"/>
      <c r="G1094" s="37" t="n">
        <v>-4666.98</v>
      </c>
      <c r="H1094" s="37" t="n">
        <v>552398.95</v>
      </c>
    </row>
    <row r="1095" customFormat="false" ht="15" hidden="false" customHeight="false" outlineLevel="0" collapsed="false">
      <c r="A1095" s="11" t="s">
        <v>3527</v>
      </c>
      <c r="B1095" s="38" t="n">
        <v>46177</v>
      </c>
      <c r="C1095" s="11" t="s">
        <v>1496</v>
      </c>
      <c r="D1095" s="11" t="s">
        <v>1497</v>
      </c>
      <c r="E1095" s="11" t="s">
        <v>327</v>
      </c>
      <c r="F1095" s="11" t="s">
        <v>3528</v>
      </c>
      <c r="G1095" s="37" t="n">
        <v>18204</v>
      </c>
      <c r="H1095" s="37" t="n">
        <v>570602.95</v>
      </c>
    </row>
    <row r="1096" customFormat="false" ht="15" hidden="false" customHeight="false" outlineLevel="0" collapsed="false">
      <c r="A1096" s="11" t="s">
        <v>3529</v>
      </c>
      <c r="B1096" s="38" t="n">
        <v>46177</v>
      </c>
      <c r="C1096" s="11" t="s">
        <v>1500</v>
      </c>
      <c r="D1096" s="11" t="s">
        <v>307</v>
      </c>
      <c r="E1096" s="11" t="s">
        <v>458</v>
      </c>
      <c r="F1096" s="11" t="s">
        <v>3530</v>
      </c>
      <c r="G1096" s="37" t="n">
        <v>-36522.73</v>
      </c>
      <c r="H1096" s="37" t="n">
        <v>534080.22</v>
      </c>
    </row>
    <row r="1097" customFormat="false" ht="15" hidden="false" customHeight="false" outlineLevel="0" collapsed="false">
      <c r="A1097" s="11" t="s">
        <v>3531</v>
      </c>
      <c r="B1097" s="38" t="n">
        <v>46177</v>
      </c>
      <c r="C1097" s="11" t="s">
        <v>1500</v>
      </c>
      <c r="D1097" s="11" t="s">
        <v>307</v>
      </c>
      <c r="E1097" s="11" t="s">
        <v>313</v>
      </c>
      <c r="F1097" s="11" t="s">
        <v>3532</v>
      </c>
      <c r="G1097" s="37" t="n">
        <v>-5631.54</v>
      </c>
      <c r="H1097" s="37" t="n">
        <v>528448.68</v>
      </c>
    </row>
    <row r="1098" customFormat="false" ht="15" hidden="false" customHeight="false" outlineLevel="0" collapsed="false">
      <c r="A1098" s="11" t="s">
        <v>3533</v>
      </c>
      <c r="B1098" s="38" t="n">
        <v>46177</v>
      </c>
      <c r="C1098" s="11" t="s">
        <v>1500</v>
      </c>
      <c r="D1098" s="11" t="s">
        <v>307</v>
      </c>
      <c r="E1098" s="11" t="s">
        <v>420</v>
      </c>
      <c r="F1098" s="11" t="s">
        <v>3534</v>
      </c>
      <c r="G1098" s="37" t="n">
        <v>-129400.14</v>
      </c>
      <c r="H1098" s="37" t="n">
        <v>399048.54</v>
      </c>
    </row>
    <row r="1099" customFormat="false" ht="15" hidden="false" customHeight="false" outlineLevel="0" collapsed="false">
      <c r="A1099" s="11" t="s">
        <v>3535</v>
      </c>
      <c r="B1099" s="38" t="n">
        <v>46178</v>
      </c>
      <c r="C1099" s="11" t="s">
        <v>1500</v>
      </c>
      <c r="D1099" s="11" t="s">
        <v>469</v>
      </c>
      <c r="E1099" s="11" t="s">
        <v>470</v>
      </c>
      <c r="F1099" s="11"/>
      <c r="G1099" s="37" t="n">
        <v>-8900</v>
      </c>
      <c r="H1099" s="37" t="n">
        <v>390148.54</v>
      </c>
    </row>
    <row r="1100" customFormat="false" ht="15" hidden="false" customHeight="false" outlineLevel="0" collapsed="false">
      <c r="A1100" s="11" t="s">
        <v>3536</v>
      </c>
      <c r="B1100" s="38" t="n">
        <v>46181</v>
      </c>
      <c r="C1100" s="11" t="s">
        <v>1496</v>
      </c>
      <c r="D1100" s="11" t="s">
        <v>1497</v>
      </c>
      <c r="E1100" s="11" t="s">
        <v>335</v>
      </c>
      <c r="F1100" s="11" t="s">
        <v>3537</v>
      </c>
      <c r="G1100" s="37" t="n">
        <v>10872</v>
      </c>
      <c r="H1100" s="37" t="n">
        <v>401020.54</v>
      </c>
    </row>
    <row r="1101" customFormat="false" ht="15" hidden="false" customHeight="false" outlineLevel="0" collapsed="false">
      <c r="A1101" s="11" t="s">
        <v>3538</v>
      </c>
      <c r="B1101" s="38" t="n">
        <v>46181</v>
      </c>
      <c r="C1101" s="11" t="s">
        <v>1496</v>
      </c>
      <c r="D1101" s="11" t="s">
        <v>1497</v>
      </c>
      <c r="E1101" s="11" t="s">
        <v>327</v>
      </c>
      <c r="F1101" s="11" t="s">
        <v>3539</v>
      </c>
      <c r="G1101" s="37" t="n">
        <v>12276</v>
      </c>
      <c r="H1101" s="37" t="n">
        <v>413296.54</v>
      </c>
    </row>
    <row r="1102" customFormat="false" ht="15" hidden="false" customHeight="false" outlineLevel="0" collapsed="false">
      <c r="A1102" s="11" t="s">
        <v>3540</v>
      </c>
      <c r="B1102" s="38" t="n">
        <v>46181</v>
      </c>
      <c r="C1102" s="11" t="s">
        <v>1500</v>
      </c>
      <c r="D1102" s="11" t="s">
        <v>480</v>
      </c>
      <c r="E1102" s="11" t="s">
        <v>481</v>
      </c>
      <c r="F1102" s="11"/>
      <c r="G1102" s="37" t="n">
        <v>-9840</v>
      </c>
      <c r="H1102" s="37" t="n">
        <v>403456.54</v>
      </c>
    </row>
    <row r="1103" customFormat="false" ht="15" hidden="false" customHeight="false" outlineLevel="0" collapsed="false">
      <c r="A1103" s="11" t="s">
        <v>3541</v>
      </c>
      <c r="B1103" s="38" t="n">
        <v>46181</v>
      </c>
      <c r="C1103" s="11" t="s">
        <v>1496</v>
      </c>
      <c r="D1103" s="11" t="s">
        <v>1497</v>
      </c>
      <c r="E1103" s="11" t="s">
        <v>327</v>
      </c>
      <c r="F1103" s="11" t="s">
        <v>3542</v>
      </c>
      <c r="G1103" s="37" t="n">
        <v>13116</v>
      </c>
      <c r="H1103" s="37" t="n">
        <v>416572.54</v>
      </c>
    </row>
    <row r="1104" customFormat="false" ht="15" hidden="false" customHeight="false" outlineLevel="0" collapsed="false">
      <c r="A1104" s="11" t="s">
        <v>3543</v>
      </c>
      <c r="B1104" s="38" t="n">
        <v>46181</v>
      </c>
      <c r="C1104" s="11" t="s">
        <v>1496</v>
      </c>
      <c r="D1104" s="11" t="s">
        <v>1497</v>
      </c>
      <c r="E1104" s="11" t="s">
        <v>327</v>
      </c>
      <c r="F1104" s="11" t="s">
        <v>3544</v>
      </c>
      <c r="G1104" s="37" t="n">
        <v>22308</v>
      </c>
      <c r="H1104" s="37" t="n">
        <v>438880.54</v>
      </c>
    </row>
    <row r="1105" customFormat="false" ht="15" hidden="false" customHeight="false" outlineLevel="0" collapsed="false">
      <c r="A1105" s="11" t="s">
        <v>3545</v>
      </c>
      <c r="B1105" s="38" t="n">
        <v>46181</v>
      </c>
      <c r="C1105" s="11" t="s">
        <v>1496</v>
      </c>
      <c r="D1105" s="11" t="s">
        <v>1497</v>
      </c>
      <c r="E1105" s="11" t="s">
        <v>280</v>
      </c>
      <c r="F1105" s="11" t="s">
        <v>3546</v>
      </c>
      <c r="G1105" s="37" t="n">
        <v>16008</v>
      </c>
      <c r="H1105" s="37" t="n">
        <v>454888.54</v>
      </c>
    </row>
    <row r="1106" customFormat="false" ht="15" hidden="false" customHeight="false" outlineLevel="0" collapsed="false">
      <c r="A1106" s="11" t="s">
        <v>3547</v>
      </c>
      <c r="B1106" s="38" t="n">
        <v>46181</v>
      </c>
      <c r="C1106" s="11" t="s">
        <v>1496</v>
      </c>
      <c r="D1106" s="11" t="s">
        <v>1497</v>
      </c>
      <c r="E1106" s="11" t="s">
        <v>298</v>
      </c>
      <c r="F1106" s="11" t="s">
        <v>3548</v>
      </c>
      <c r="G1106" s="37" t="n">
        <v>8050</v>
      </c>
      <c r="H1106" s="37" t="n">
        <v>462938.54</v>
      </c>
    </row>
    <row r="1107" customFormat="false" ht="15" hidden="false" customHeight="false" outlineLevel="0" collapsed="false">
      <c r="A1107" s="11" t="s">
        <v>3549</v>
      </c>
      <c r="B1107" s="38" t="n">
        <v>46183</v>
      </c>
      <c r="C1107" s="11" t="s">
        <v>1496</v>
      </c>
      <c r="D1107" s="11" t="s">
        <v>1497</v>
      </c>
      <c r="E1107" s="11" t="s">
        <v>323</v>
      </c>
      <c r="F1107" s="11" t="s">
        <v>3550</v>
      </c>
      <c r="G1107" s="37" t="n">
        <v>8964</v>
      </c>
      <c r="H1107" s="37" t="n">
        <v>471902.54</v>
      </c>
    </row>
    <row r="1108" customFormat="false" ht="15" hidden="false" customHeight="false" outlineLevel="0" collapsed="false">
      <c r="A1108" s="11" t="s">
        <v>3551</v>
      </c>
      <c r="B1108" s="38" t="n">
        <v>46183</v>
      </c>
      <c r="C1108" s="11" t="s">
        <v>1496</v>
      </c>
      <c r="D1108" s="11" t="s">
        <v>1497</v>
      </c>
      <c r="E1108" s="11" t="s">
        <v>287</v>
      </c>
      <c r="F1108" s="11" t="s">
        <v>3552</v>
      </c>
      <c r="G1108" s="37" t="n">
        <v>3516</v>
      </c>
      <c r="H1108" s="37" t="n">
        <v>475418.54</v>
      </c>
    </row>
    <row r="1109" customFormat="false" ht="15" hidden="false" customHeight="false" outlineLevel="0" collapsed="false">
      <c r="A1109" s="11" t="s">
        <v>3553</v>
      </c>
      <c r="B1109" s="38" t="n">
        <v>46183</v>
      </c>
      <c r="C1109" s="11" t="s">
        <v>1496</v>
      </c>
      <c r="D1109" s="11" t="s">
        <v>1497</v>
      </c>
      <c r="E1109" s="11" t="s">
        <v>323</v>
      </c>
      <c r="F1109" s="11" t="s">
        <v>3554</v>
      </c>
      <c r="G1109" s="37" t="n">
        <v>7596</v>
      </c>
      <c r="H1109" s="37" t="n">
        <v>483014.54</v>
      </c>
    </row>
    <row r="1110" customFormat="false" ht="15" hidden="false" customHeight="false" outlineLevel="0" collapsed="false">
      <c r="A1110" s="11" t="s">
        <v>3555</v>
      </c>
      <c r="B1110" s="38" t="n">
        <v>46183</v>
      </c>
      <c r="C1110" s="11" t="s">
        <v>1496</v>
      </c>
      <c r="D1110" s="11" t="s">
        <v>1497</v>
      </c>
      <c r="E1110" s="11" t="s">
        <v>287</v>
      </c>
      <c r="F1110" s="11" t="s">
        <v>3556</v>
      </c>
      <c r="G1110" s="37" t="n">
        <v>3540</v>
      </c>
      <c r="H1110" s="37" t="n">
        <v>486554.54</v>
      </c>
    </row>
    <row r="1111" customFormat="false" ht="15" hidden="false" customHeight="false" outlineLevel="0" collapsed="false">
      <c r="A1111" s="11" t="s">
        <v>3557</v>
      </c>
      <c r="B1111" s="38" t="n">
        <v>46183</v>
      </c>
      <c r="C1111" s="11" t="s">
        <v>1500</v>
      </c>
      <c r="D1111" s="11" t="s">
        <v>291</v>
      </c>
      <c r="E1111" s="11" t="s">
        <v>292</v>
      </c>
      <c r="F1111" s="11"/>
      <c r="G1111" s="37" t="n">
        <v>-4267.17</v>
      </c>
      <c r="H1111" s="37" t="n">
        <v>482287.37</v>
      </c>
    </row>
    <row r="1112" customFormat="false" ht="15" hidden="false" customHeight="false" outlineLevel="0" collapsed="false">
      <c r="A1112" s="11" t="s">
        <v>3558</v>
      </c>
      <c r="B1112" s="38" t="n">
        <v>46183</v>
      </c>
      <c r="C1112" s="11" t="s">
        <v>1500</v>
      </c>
      <c r="D1112" s="11" t="s">
        <v>272</v>
      </c>
      <c r="E1112" s="11" t="s">
        <v>273</v>
      </c>
      <c r="F1112" s="11"/>
      <c r="G1112" s="37" t="n">
        <v>-3840</v>
      </c>
      <c r="H1112" s="37" t="n">
        <v>478447.37</v>
      </c>
    </row>
    <row r="1113" customFormat="false" ht="15" hidden="false" customHeight="false" outlineLevel="0" collapsed="false">
      <c r="A1113" s="11" t="s">
        <v>3559</v>
      </c>
      <c r="B1113" s="38" t="n">
        <v>46184</v>
      </c>
      <c r="C1113" s="11" t="s">
        <v>1496</v>
      </c>
      <c r="D1113" s="11" t="s">
        <v>1497</v>
      </c>
      <c r="E1113" s="11" t="s">
        <v>287</v>
      </c>
      <c r="F1113" s="11" t="s">
        <v>3560</v>
      </c>
      <c r="G1113" s="37" t="n">
        <v>6000</v>
      </c>
      <c r="H1113" s="37" t="n">
        <v>484447.37</v>
      </c>
    </row>
    <row r="1114" customFormat="false" ht="15" hidden="false" customHeight="false" outlineLevel="0" collapsed="false">
      <c r="A1114" s="11" t="s">
        <v>3561</v>
      </c>
      <c r="B1114" s="38" t="n">
        <v>46184</v>
      </c>
      <c r="C1114" s="11" t="s">
        <v>1500</v>
      </c>
      <c r="D1114" s="11" t="s">
        <v>307</v>
      </c>
      <c r="E1114" s="11" t="s">
        <v>313</v>
      </c>
      <c r="F1114" s="11" t="s">
        <v>3562</v>
      </c>
      <c r="G1114" s="37" t="n">
        <v>-5599.16</v>
      </c>
      <c r="H1114" s="37" t="n">
        <v>478848.21</v>
      </c>
    </row>
    <row r="1115" customFormat="false" ht="15" hidden="false" customHeight="false" outlineLevel="0" collapsed="false">
      <c r="A1115" s="11" t="s">
        <v>3563</v>
      </c>
      <c r="B1115" s="38" t="n">
        <v>46184</v>
      </c>
      <c r="C1115" s="11" t="s">
        <v>1500</v>
      </c>
      <c r="D1115" s="11" t="s">
        <v>307</v>
      </c>
      <c r="E1115" s="11" t="s">
        <v>464</v>
      </c>
      <c r="F1115" s="11" t="s">
        <v>3564</v>
      </c>
      <c r="G1115" s="37" t="n">
        <v>-12492.11</v>
      </c>
      <c r="H1115" s="37" t="n">
        <v>466356.1</v>
      </c>
    </row>
    <row r="1116" customFormat="false" ht="15" hidden="false" customHeight="false" outlineLevel="0" collapsed="false">
      <c r="A1116" s="11" t="s">
        <v>3565</v>
      </c>
      <c r="B1116" s="38" t="n">
        <v>46184</v>
      </c>
      <c r="C1116" s="11" t="s">
        <v>1496</v>
      </c>
      <c r="D1116" s="11" t="s">
        <v>1497</v>
      </c>
      <c r="E1116" s="11" t="s">
        <v>327</v>
      </c>
      <c r="F1116" s="11" t="s">
        <v>3566</v>
      </c>
      <c r="G1116" s="37" t="n">
        <v>37428</v>
      </c>
      <c r="H1116" s="37" t="n">
        <v>503784.1</v>
      </c>
    </row>
    <row r="1117" customFormat="false" ht="15" hidden="false" customHeight="false" outlineLevel="0" collapsed="false">
      <c r="A1117" s="11" t="s">
        <v>3567</v>
      </c>
      <c r="B1117" s="38" t="n">
        <v>46184</v>
      </c>
      <c r="C1117" s="11" t="s">
        <v>1496</v>
      </c>
      <c r="D1117" s="11" t="s">
        <v>1497</v>
      </c>
      <c r="E1117" s="11" t="s">
        <v>323</v>
      </c>
      <c r="F1117" s="11" t="s">
        <v>3568</v>
      </c>
      <c r="G1117" s="37" t="n">
        <v>13512</v>
      </c>
      <c r="H1117" s="37" t="n">
        <v>517296.1</v>
      </c>
    </row>
    <row r="1118" customFormat="false" ht="15" hidden="false" customHeight="false" outlineLevel="0" collapsed="false">
      <c r="A1118" s="11" t="s">
        <v>3569</v>
      </c>
      <c r="B1118" s="38" t="n">
        <v>46185</v>
      </c>
      <c r="C1118" s="11" t="s">
        <v>1496</v>
      </c>
      <c r="D1118" s="11" t="s">
        <v>1497</v>
      </c>
      <c r="E1118" s="11" t="s">
        <v>298</v>
      </c>
      <c r="F1118" s="11" t="s">
        <v>3570</v>
      </c>
      <c r="G1118" s="37" t="n">
        <v>14340</v>
      </c>
      <c r="H1118" s="37" t="n">
        <v>531636.1</v>
      </c>
    </row>
    <row r="1119" customFormat="false" ht="15" hidden="false" customHeight="false" outlineLevel="0" collapsed="false">
      <c r="A1119" s="11" t="s">
        <v>3571</v>
      </c>
      <c r="B1119" s="38" t="n">
        <v>46188</v>
      </c>
      <c r="C1119" s="11" t="s">
        <v>1500</v>
      </c>
      <c r="D1119" s="11" t="s">
        <v>317</v>
      </c>
      <c r="E1119" s="11" t="s">
        <v>318</v>
      </c>
      <c r="F1119" s="11"/>
      <c r="G1119" s="37" t="n">
        <v>-86000</v>
      </c>
      <c r="H1119" s="37" t="n">
        <v>445636.1</v>
      </c>
    </row>
    <row r="1120" customFormat="false" ht="15" hidden="false" customHeight="false" outlineLevel="0" collapsed="false">
      <c r="A1120" s="11" t="s">
        <v>3572</v>
      </c>
      <c r="B1120" s="38" t="n">
        <v>46188</v>
      </c>
      <c r="C1120" s="11" t="s">
        <v>1496</v>
      </c>
      <c r="D1120" s="11" t="s">
        <v>1497</v>
      </c>
      <c r="E1120" s="11" t="s">
        <v>331</v>
      </c>
      <c r="F1120" s="11" t="s">
        <v>3573</v>
      </c>
      <c r="G1120" s="37" t="n">
        <v>9432</v>
      </c>
      <c r="H1120" s="37" t="n">
        <v>455068.1</v>
      </c>
    </row>
    <row r="1121" customFormat="false" ht="15" hidden="false" customHeight="false" outlineLevel="0" collapsed="false">
      <c r="A1121" s="11" t="s">
        <v>3574</v>
      </c>
      <c r="B1121" s="38" t="n">
        <v>46188</v>
      </c>
      <c r="C1121" s="11" t="s">
        <v>1496</v>
      </c>
      <c r="D1121" s="11" t="s">
        <v>1497</v>
      </c>
      <c r="E1121" s="11" t="s">
        <v>349</v>
      </c>
      <c r="F1121" s="11" t="s">
        <v>3575</v>
      </c>
      <c r="G1121" s="37" t="n">
        <v>11640</v>
      </c>
      <c r="H1121" s="37" t="n">
        <v>466708.1</v>
      </c>
    </row>
    <row r="1122" customFormat="false" ht="15" hidden="false" customHeight="false" outlineLevel="0" collapsed="false">
      <c r="A1122" s="11" t="s">
        <v>3576</v>
      </c>
      <c r="B1122" s="38" t="n">
        <v>46188</v>
      </c>
      <c r="C1122" s="11" t="s">
        <v>1500</v>
      </c>
      <c r="D1122" s="11" t="s">
        <v>722</v>
      </c>
      <c r="E1122" s="11" t="s">
        <v>384</v>
      </c>
      <c r="F1122" s="11"/>
      <c r="G1122" s="37" t="n">
        <v>-24500</v>
      </c>
      <c r="H1122" s="37" t="n">
        <v>442208.1</v>
      </c>
    </row>
    <row r="1123" customFormat="false" ht="15" hidden="false" customHeight="false" outlineLevel="0" collapsed="false">
      <c r="A1123" s="11" t="s">
        <v>3577</v>
      </c>
      <c r="B1123" s="38" t="n">
        <v>46188</v>
      </c>
      <c r="C1123" s="11" t="s">
        <v>1496</v>
      </c>
      <c r="D1123" s="11" t="s">
        <v>1497</v>
      </c>
      <c r="E1123" s="11" t="s">
        <v>399</v>
      </c>
      <c r="F1123" s="11" t="s">
        <v>3578</v>
      </c>
      <c r="G1123" s="37" t="n">
        <v>15564</v>
      </c>
      <c r="H1123" s="37" t="n">
        <v>457772.1</v>
      </c>
    </row>
    <row r="1124" customFormat="false" ht="15" hidden="false" customHeight="false" outlineLevel="0" collapsed="false">
      <c r="A1124" s="11" t="s">
        <v>3579</v>
      </c>
      <c r="B1124" s="38" t="n">
        <v>46188</v>
      </c>
      <c r="C1124" s="11" t="s">
        <v>1496</v>
      </c>
      <c r="D1124" s="11" t="s">
        <v>1497</v>
      </c>
      <c r="E1124" s="11" t="s">
        <v>335</v>
      </c>
      <c r="F1124" s="11" t="s">
        <v>3580</v>
      </c>
      <c r="G1124" s="37" t="n">
        <v>5328</v>
      </c>
      <c r="H1124" s="37" t="n">
        <v>463100.1</v>
      </c>
    </row>
    <row r="1125" customFormat="false" ht="15" hidden="false" customHeight="false" outlineLevel="0" collapsed="false">
      <c r="A1125" s="11" t="s">
        <v>3581</v>
      </c>
      <c r="B1125" s="38" t="n">
        <v>46188</v>
      </c>
      <c r="C1125" s="11" t="s">
        <v>1496</v>
      </c>
      <c r="D1125" s="11" t="s">
        <v>1497</v>
      </c>
      <c r="E1125" s="11" t="s">
        <v>327</v>
      </c>
      <c r="F1125" s="11" t="s">
        <v>3582</v>
      </c>
      <c r="G1125" s="37" t="n">
        <v>31176</v>
      </c>
      <c r="H1125" s="37" t="n">
        <v>494276.1</v>
      </c>
    </row>
    <row r="1126" customFormat="false" ht="15" hidden="false" customHeight="false" outlineLevel="0" collapsed="false">
      <c r="A1126" s="11" t="s">
        <v>3583</v>
      </c>
      <c r="B1126" s="38" t="n">
        <v>46188</v>
      </c>
      <c r="C1126" s="11" t="s">
        <v>1496</v>
      </c>
      <c r="D1126" s="11" t="s">
        <v>1497</v>
      </c>
      <c r="E1126" s="11" t="s">
        <v>287</v>
      </c>
      <c r="F1126" s="11" t="s">
        <v>3584</v>
      </c>
      <c r="G1126" s="37" t="n">
        <v>3264</v>
      </c>
      <c r="H1126" s="37" t="n">
        <v>497540.1</v>
      </c>
    </row>
    <row r="1127" customFormat="false" ht="15" hidden="false" customHeight="false" outlineLevel="0" collapsed="false">
      <c r="A1127" s="11" t="s">
        <v>3585</v>
      </c>
      <c r="B1127" s="38" t="n">
        <v>46189</v>
      </c>
      <c r="C1127" s="11" t="s">
        <v>1496</v>
      </c>
      <c r="D1127" s="11" t="s">
        <v>1497</v>
      </c>
      <c r="E1127" s="11" t="s">
        <v>335</v>
      </c>
      <c r="F1127" s="11" t="s">
        <v>3586</v>
      </c>
      <c r="G1127" s="37" t="n">
        <v>8532</v>
      </c>
      <c r="H1127" s="37" t="n">
        <v>506072.1</v>
      </c>
    </row>
    <row r="1128" customFormat="false" ht="15" hidden="false" customHeight="false" outlineLevel="0" collapsed="false">
      <c r="A1128" s="11" t="s">
        <v>3587</v>
      </c>
      <c r="B1128" s="38" t="n">
        <v>46189</v>
      </c>
      <c r="C1128" s="11" t="s">
        <v>1496</v>
      </c>
      <c r="D1128" s="11" t="s">
        <v>1497</v>
      </c>
      <c r="E1128" s="11" t="s">
        <v>335</v>
      </c>
      <c r="F1128" s="11" t="s">
        <v>3588</v>
      </c>
      <c r="G1128" s="37" t="n">
        <v>8760</v>
      </c>
      <c r="H1128" s="37" t="n">
        <v>514832.1</v>
      </c>
    </row>
    <row r="1129" customFormat="false" ht="15" hidden="false" customHeight="false" outlineLevel="0" collapsed="false">
      <c r="A1129" s="11" t="s">
        <v>3589</v>
      </c>
      <c r="B1129" s="38" t="n">
        <v>46190</v>
      </c>
      <c r="C1129" s="11" t="s">
        <v>1500</v>
      </c>
      <c r="D1129" s="11" t="s">
        <v>291</v>
      </c>
      <c r="E1129" s="11" t="s">
        <v>292</v>
      </c>
      <c r="F1129" s="11"/>
      <c r="G1129" s="37" t="n">
        <v>-5397.58</v>
      </c>
      <c r="H1129" s="37" t="n">
        <v>509434.52</v>
      </c>
    </row>
    <row r="1130" customFormat="false" ht="15" hidden="false" customHeight="false" outlineLevel="0" collapsed="false">
      <c r="A1130" s="11" t="s">
        <v>3590</v>
      </c>
      <c r="B1130" s="38" t="n">
        <v>46191</v>
      </c>
      <c r="C1130" s="11" t="s">
        <v>1496</v>
      </c>
      <c r="D1130" s="11" t="s">
        <v>1497</v>
      </c>
      <c r="E1130" s="11" t="s">
        <v>280</v>
      </c>
      <c r="F1130" s="11" t="s">
        <v>3591</v>
      </c>
      <c r="G1130" s="37" t="n">
        <v>12048</v>
      </c>
      <c r="H1130" s="37" t="n">
        <v>521482.52</v>
      </c>
    </row>
    <row r="1131" customFormat="false" ht="15" hidden="false" customHeight="false" outlineLevel="0" collapsed="false">
      <c r="A1131" s="11" t="s">
        <v>3592</v>
      </c>
      <c r="B1131" s="38" t="n">
        <v>46191</v>
      </c>
      <c r="C1131" s="11" t="s">
        <v>1496</v>
      </c>
      <c r="D1131" s="11" t="s">
        <v>1497</v>
      </c>
      <c r="E1131" s="11" t="s">
        <v>335</v>
      </c>
      <c r="F1131" s="11" t="s">
        <v>3593</v>
      </c>
      <c r="G1131" s="37" t="n">
        <v>7308</v>
      </c>
      <c r="H1131" s="37" t="n">
        <v>528790.52</v>
      </c>
    </row>
    <row r="1132" customFormat="false" ht="15" hidden="false" customHeight="false" outlineLevel="0" collapsed="false">
      <c r="A1132" s="11" t="s">
        <v>3594</v>
      </c>
      <c r="B1132" s="38" t="n">
        <v>46191</v>
      </c>
      <c r="C1132" s="11" t="s">
        <v>1496</v>
      </c>
      <c r="D1132" s="11" t="s">
        <v>1497</v>
      </c>
      <c r="E1132" s="11" t="s">
        <v>280</v>
      </c>
      <c r="F1132" s="11" t="s">
        <v>3595</v>
      </c>
      <c r="G1132" s="37" t="n">
        <v>8616</v>
      </c>
      <c r="H1132" s="37" t="n">
        <v>537406.52</v>
      </c>
    </row>
    <row r="1133" customFormat="false" ht="15" hidden="false" customHeight="false" outlineLevel="0" collapsed="false">
      <c r="A1133" s="11" t="s">
        <v>3596</v>
      </c>
      <c r="B1133" s="38" t="n">
        <v>46191</v>
      </c>
      <c r="C1133" s="11" t="s">
        <v>1496</v>
      </c>
      <c r="D1133" s="11" t="s">
        <v>1497</v>
      </c>
      <c r="E1133" s="11" t="s">
        <v>280</v>
      </c>
      <c r="F1133" s="11" t="s">
        <v>3597</v>
      </c>
      <c r="G1133" s="37" t="n">
        <v>6420</v>
      </c>
      <c r="H1133" s="37" t="n">
        <v>543826.52</v>
      </c>
    </row>
    <row r="1134" customFormat="false" ht="15" hidden="false" customHeight="false" outlineLevel="0" collapsed="false">
      <c r="A1134" s="11" t="s">
        <v>3598</v>
      </c>
      <c r="B1134" s="38" t="n">
        <v>46191</v>
      </c>
      <c r="C1134" s="11" t="s">
        <v>1496</v>
      </c>
      <c r="D1134" s="11" t="s">
        <v>1497</v>
      </c>
      <c r="E1134" s="11" t="s">
        <v>280</v>
      </c>
      <c r="F1134" s="11" t="s">
        <v>3599</v>
      </c>
      <c r="G1134" s="37" t="n">
        <v>10476</v>
      </c>
      <c r="H1134" s="37" t="n">
        <v>554302.52</v>
      </c>
    </row>
    <row r="1135" customFormat="false" ht="15" hidden="false" customHeight="false" outlineLevel="0" collapsed="false">
      <c r="A1135" s="11" t="s">
        <v>3600</v>
      </c>
      <c r="B1135" s="38" t="n">
        <v>46191</v>
      </c>
      <c r="C1135" s="11" t="s">
        <v>1496</v>
      </c>
      <c r="D1135" s="11" t="s">
        <v>1497</v>
      </c>
      <c r="E1135" s="11" t="s">
        <v>287</v>
      </c>
      <c r="F1135" s="11" t="s">
        <v>3601</v>
      </c>
      <c r="G1135" s="37" t="n">
        <v>4728</v>
      </c>
      <c r="H1135" s="37" t="n">
        <v>559030.52</v>
      </c>
    </row>
    <row r="1136" customFormat="false" ht="15" hidden="false" customHeight="false" outlineLevel="0" collapsed="false">
      <c r="A1136" s="11" t="s">
        <v>3602</v>
      </c>
      <c r="B1136" s="38" t="n">
        <v>46191</v>
      </c>
      <c r="C1136" s="11" t="s">
        <v>1496</v>
      </c>
      <c r="D1136" s="11" t="s">
        <v>1497</v>
      </c>
      <c r="E1136" s="11" t="s">
        <v>327</v>
      </c>
      <c r="F1136" s="11" t="s">
        <v>3603</v>
      </c>
      <c r="G1136" s="37" t="n">
        <v>16896</v>
      </c>
      <c r="H1136" s="37" t="n">
        <v>575926.52</v>
      </c>
    </row>
    <row r="1137" customFormat="false" ht="15" hidden="false" customHeight="false" outlineLevel="0" collapsed="false">
      <c r="A1137" s="11" t="s">
        <v>3604</v>
      </c>
      <c r="B1137" s="38" t="n">
        <v>46191</v>
      </c>
      <c r="C1137" s="11" t="s">
        <v>1500</v>
      </c>
      <c r="D1137" s="11" t="s">
        <v>307</v>
      </c>
      <c r="E1137" s="11" t="s">
        <v>308</v>
      </c>
      <c r="F1137" s="11" t="s">
        <v>3605</v>
      </c>
      <c r="G1137" s="37" t="n">
        <v>-33615.41</v>
      </c>
      <c r="H1137" s="37" t="n">
        <v>542311.11</v>
      </c>
    </row>
    <row r="1138" customFormat="false" ht="15" hidden="false" customHeight="false" outlineLevel="0" collapsed="false">
      <c r="A1138" s="11" t="s">
        <v>3606</v>
      </c>
      <c r="B1138" s="38" t="n">
        <v>46192</v>
      </c>
      <c r="C1138" s="11" t="s">
        <v>1496</v>
      </c>
      <c r="D1138" s="11" t="s">
        <v>1497</v>
      </c>
      <c r="E1138" s="11" t="s">
        <v>392</v>
      </c>
      <c r="F1138" s="11" t="s">
        <v>3607</v>
      </c>
      <c r="G1138" s="37" t="n">
        <v>20376</v>
      </c>
      <c r="H1138" s="37" t="n">
        <v>562687.11</v>
      </c>
    </row>
    <row r="1139" customFormat="false" ht="15" hidden="false" customHeight="false" outlineLevel="0" collapsed="false">
      <c r="A1139" s="11" t="s">
        <v>3608</v>
      </c>
      <c r="B1139" s="38" t="n">
        <v>46195</v>
      </c>
      <c r="C1139" s="11" t="s">
        <v>1496</v>
      </c>
      <c r="D1139" s="11" t="s">
        <v>1497</v>
      </c>
      <c r="E1139" s="11" t="s">
        <v>331</v>
      </c>
      <c r="F1139" s="11" t="s">
        <v>3609</v>
      </c>
      <c r="G1139" s="37" t="n">
        <v>6276</v>
      </c>
      <c r="H1139" s="37" t="n">
        <v>568963.11</v>
      </c>
    </row>
    <row r="1140" customFormat="false" ht="15" hidden="false" customHeight="false" outlineLevel="0" collapsed="false">
      <c r="A1140" s="11" t="s">
        <v>3610</v>
      </c>
      <c r="B1140" s="38" t="n">
        <v>46195</v>
      </c>
      <c r="C1140" s="11" t="s">
        <v>1496</v>
      </c>
      <c r="D1140" s="11" t="s">
        <v>1497</v>
      </c>
      <c r="E1140" s="11" t="s">
        <v>280</v>
      </c>
      <c r="F1140" s="11" t="s">
        <v>3611</v>
      </c>
      <c r="G1140" s="37" t="n">
        <v>6708</v>
      </c>
      <c r="H1140" s="37" t="n">
        <v>575671.11</v>
      </c>
    </row>
    <row r="1141" customFormat="false" ht="15" hidden="false" customHeight="false" outlineLevel="0" collapsed="false">
      <c r="A1141" s="11" t="s">
        <v>3612</v>
      </c>
      <c r="B1141" s="38" t="n">
        <v>46195</v>
      </c>
      <c r="C1141" s="11" t="s">
        <v>1496</v>
      </c>
      <c r="D1141" s="11" t="s">
        <v>1497</v>
      </c>
      <c r="E1141" s="11" t="s">
        <v>280</v>
      </c>
      <c r="F1141" s="11" t="s">
        <v>3613</v>
      </c>
      <c r="G1141" s="37" t="n">
        <v>4176</v>
      </c>
      <c r="H1141" s="37" t="n">
        <v>579847.11</v>
      </c>
    </row>
    <row r="1142" customFormat="false" ht="15" hidden="false" customHeight="false" outlineLevel="0" collapsed="false">
      <c r="A1142" s="11" t="s">
        <v>3614</v>
      </c>
      <c r="B1142" s="38" t="n">
        <v>46195</v>
      </c>
      <c r="C1142" s="11" t="s">
        <v>1496</v>
      </c>
      <c r="D1142" s="11" t="s">
        <v>1497</v>
      </c>
      <c r="E1142" s="11" t="s">
        <v>327</v>
      </c>
      <c r="F1142" s="11" t="s">
        <v>3615</v>
      </c>
      <c r="G1142" s="37" t="n">
        <v>35004</v>
      </c>
      <c r="H1142" s="37" t="n">
        <v>614851.11</v>
      </c>
    </row>
    <row r="1143" customFormat="false" ht="15" hidden="false" customHeight="false" outlineLevel="0" collapsed="false">
      <c r="A1143" s="11" t="s">
        <v>3616</v>
      </c>
      <c r="B1143" s="38" t="n">
        <v>46195</v>
      </c>
      <c r="C1143" s="11" t="s">
        <v>1496</v>
      </c>
      <c r="D1143" s="11" t="s">
        <v>1497</v>
      </c>
      <c r="E1143" s="11" t="s">
        <v>280</v>
      </c>
      <c r="F1143" s="11" t="s">
        <v>3617</v>
      </c>
      <c r="G1143" s="37" t="n">
        <v>10092</v>
      </c>
      <c r="H1143" s="37" t="n">
        <v>624943.11</v>
      </c>
    </row>
    <row r="1144" customFormat="false" ht="15" hidden="false" customHeight="false" outlineLevel="0" collapsed="false">
      <c r="A1144" s="11" t="s">
        <v>3618</v>
      </c>
      <c r="B1144" s="38" t="n">
        <v>46196</v>
      </c>
      <c r="C1144" s="11" t="s">
        <v>1496</v>
      </c>
      <c r="D1144" s="11" t="s">
        <v>1497</v>
      </c>
      <c r="E1144" s="11" t="s">
        <v>349</v>
      </c>
      <c r="F1144" s="11" t="s">
        <v>3619</v>
      </c>
      <c r="G1144" s="37" t="n">
        <v>7824</v>
      </c>
      <c r="H1144" s="37" t="n">
        <v>632767.11</v>
      </c>
    </row>
    <row r="1145" customFormat="false" ht="15" hidden="false" customHeight="false" outlineLevel="0" collapsed="false">
      <c r="A1145" s="11" t="s">
        <v>3620</v>
      </c>
      <c r="B1145" s="38" t="n">
        <v>46196</v>
      </c>
      <c r="C1145" s="11" t="s">
        <v>1496</v>
      </c>
      <c r="D1145" s="11" t="s">
        <v>1497</v>
      </c>
      <c r="E1145" s="11" t="s">
        <v>335</v>
      </c>
      <c r="F1145" s="11" t="s">
        <v>3621</v>
      </c>
      <c r="G1145" s="37" t="n">
        <v>5004</v>
      </c>
      <c r="H1145" s="37" t="n">
        <v>637771.11</v>
      </c>
    </row>
    <row r="1146" customFormat="false" ht="15" hidden="false" customHeight="false" outlineLevel="0" collapsed="false">
      <c r="A1146" s="11" t="s">
        <v>3622</v>
      </c>
      <c r="B1146" s="38" t="n">
        <v>46196</v>
      </c>
      <c r="C1146" s="11" t="s">
        <v>1496</v>
      </c>
      <c r="D1146" s="11" t="s">
        <v>1497</v>
      </c>
      <c r="E1146" s="11" t="s">
        <v>327</v>
      </c>
      <c r="F1146" s="11" t="s">
        <v>3623</v>
      </c>
      <c r="G1146" s="37" t="n">
        <v>7860</v>
      </c>
      <c r="H1146" s="37" t="n">
        <v>645631.11</v>
      </c>
    </row>
    <row r="1147" customFormat="false" ht="15" hidden="false" customHeight="false" outlineLevel="0" collapsed="false">
      <c r="A1147" s="11" t="s">
        <v>3624</v>
      </c>
      <c r="B1147" s="38" t="n">
        <v>46197</v>
      </c>
      <c r="C1147" s="11" t="s">
        <v>1500</v>
      </c>
      <c r="D1147" s="11" t="s">
        <v>383</v>
      </c>
      <c r="E1147" s="11" t="s">
        <v>384</v>
      </c>
      <c r="F1147" s="11" t="s">
        <v>3625</v>
      </c>
      <c r="G1147" s="37" t="n">
        <v>-62416.53</v>
      </c>
      <c r="H1147" s="37" t="n">
        <v>583214.58</v>
      </c>
    </row>
    <row r="1148" customFormat="false" ht="15" hidden="false" customHeight="false" outlineLevel="0" collapsed="false">
      <c r="A1148" s="11" t="s">
        <v>3626</v>
      </c>
      <c r="B1148" s="38" t="n">
        <v>46197</v>
      </c>
      <c r="C1148" s="11" t="s">
        <v>1496</v>
      </c>
      <c r="D1148" s="11" t="s">
        <v>1497</v>
      </c>
      <c r="E1148" s="11" t="s">
        <v>349</v>
      </c>
      <c r="F1148" s="11" t="s">
        <v>3627</v>
      </c>
      <c r="G1148" s="37" t="n">
        <v>4584</v>
      </c>
      <c r="H1148" s="37" t="n">
        <v>587798.58</v>
      </c>
    </row>
    <row r="1149" customFormat="false" ht="15" hidden="false" customHeight="false" outlineLevel="0" collapsed="false">
      <c r="A1149" s="11" t="s">
        <v>3628</v>
      </c>
      <c r="B1149" s="38" t="n">
        <v>46197</v>
      </c>
      <c r="C1149" s="11" t="s">
        <v>1500</v>
      </c>
      <c r="D1149" s="11" t="s">
        <v>291</v>
      </c>
      <c r="E1149" s="11" t="s">
        <v>292</v>
      </c>
      <c r="F1149" s="11"/>
      <c r="G1149" s="37" t="n">
        <v>-4148.88</v>
      </c>
      <c r="H1149" s="37" t="n">
        <v>583649.7</v>
      </c>
    </row>
    <row r="1150" customFormat="false" ht="15" hidden="false" customHeight="false" outlineLevel="0" collapsed="false">
      <c r="A1150" s="11" t="s">
        <v>3629</v>
      </c>
      <c r="B1150" s="38" t="n">
        <v>46198</v>
      </c>
      <c r="C1150" s="11" t="s">
        <v>1496</v>
      </c>
      <c r="D1150" s="11" t="s">
        <v>1497</v>
      </c>
      <c r="E1150" s="11" t="s">
        <v>287</v>
      </c>
      <c r="F1150" s="11" t="s">
        <v>3630</v>
      </c>
      <c r="G1150" s="37" t="n">
        <v>7356</v>
      </c>
      <c r="H1150" s="37" t="n">
        <v>591005.7</v>
      </c>
    </row>
    <row r="1151" customFormat="false" ht="15" hidden="false" customHeight="false" outlineLevel="0" collapsed="false">
      <c r="A1151" s="11" t="s">
        <v>3631</v>
      </c>
      <c r="B1151" s="38" t="n">
        <v>46198</v>
      </c>
      <c r="C1151" s="11" t="s">
        <v>1496</v>
      </c>
      <c r="D1151" s="11" t="s">
        <v>1497</v>
      </c>
      <c r="E1151" s="11" t="s">
        <v>349</v>
      </c>
      <c r="F1151" s="11" t="s">
        <v>3632</v>
      </c>
      <c r="G1151" s="37" t="n">
        <v>5424</v>
      </c>
      <c r="H1151" s="37" t="n">
        <v>596429.7</v>
      </c>
    </row>
    <row r="1152" customFormat="false" ht="15" hidden="false" customHeight="false" outlineLevel="0" collapsed="false">
      <c r="A1152" s="11" t="s">
        <v>3633</v>
      </c>
      <c r="B1152" s="38" t="n">
        <v>46198</v>
      </c>
      <c r="C1152" s="11" t="s">
        <v>1496</v>
      </c>
      <c r="D1152" s="11" t="s">
        <v>1497</v>
      </c>
      <c r="E1152" s="11" t="s">
        <v>335</v>
      </c>
      <c r="F1152" s="11" t="s">
        <v>3634</v>
      </c>
      <c r="G1152" s="37" t="n">
        <v>8220</v>
      </c>
      <c r="H1152" s="37" t="n">
        <v>604649.7</v>
      </c>
    </row>
    <row r="1153" customFormat="false" ht="15" hidden="false" customHeight="false" outlineLevel="0" collapsed="false">
      <c r="A1153" s="11" t="s">
        <v>3635</v>
      </c>
      <c r="B1153" s="38" t="n">
        <v>46198</v>
      </c>
      <c r="C1153" s="11" t="s">
        <v>1500</v>
      </c>
      <c r="D1153" s="11" t="s">
        <v>307</v>
      </c>
      <c r="E1153" s="11" t="s">
        <v>414</v>
      </c>
      <c r="F1153" s="11" t="s">
        <v>3636</v>
      </c>
      <c r="G1153" s="37" t="n">
        <v>-17126.38</v>
      </c>
      <c r="H1153" s="37" t="n">
        <v>587523.32</v>
      </c>
    </row>
    <row r="1154" customFormat="false" ht="15" hidden="false" customHeight="false" outlineLevel="0" collapsed="false">
      <c r="A1154" s="11" t="s">
        <v>3637</v>
      </c>
      <c r="B1154" s="38" t="n">
        <v>46198</v>
      </c>
      <c r="C1154" s="11" t="s">
        <v>1500</v>
      </c>
      <c r="D1154" s="11" t="s">
        <v>307</v>
      </c>
      <c r="E1154" s="11" t="s">
        <v>313</v>
      </c>
      <c r="F1154" s="11" t="s">
        <v>3638</v>
      </c>
      <c r="G1154" s="37" t="n">
        <v>-5027.54</v>
      </c>
      <c r="H1154" s="37" t="n">
        <v>582495.78</v>
      </c>
    </row>
    <row r="1155" customFormat="false" ht="15" hidden="false" customHeight="false" outlineLevel="0" collapsed="false">
      <c r="A1155" s="11" t="s">
        <v>3639</v>
      </c>
      <c r="B1155" s="38" t="n">
        <v>46199</v>
      </c>
      <c r="C1155" s="11" t="s">
        <v>1496</v>
      </c>
      <c r="D1155" s="11" t="s">
        <v>1497</v>
      </c>
      <c r="E1155" s="11" t="s">
        <v>298</v>
      </c>
      <c r="F1155" s="11" t="s">
        <v>3640</v>
      </c>
      <c r="G1155" s="37" t="n">
        <v>9470</v>
      </c>
      <c r="H1155" s="37" t="n">
        <v>591965.78</v>
      </c>
    </row>
    <row r="1156" customFormat="false" ht="15" hidden="false" customHeight="false" outlineLevel="0" collapsed="false">
      <c r="A1156" s="11" t="s">
        <v>3641</v>
      </c>
      <c r="B1156" s="38" t="n">
        <v>46199</v>
      </c>
      <c r="C1156" s="11" t="s">
        <v>1500</v>
      </c>
      <c r="D1156" s="11" t="s">
        <v>1909</v>
      </c>
      <c r="E1156" s="11" t="s">
        <v>1910</v>
      </c>
      <c r="F1156" s="11"/>
      <c r="G1156" s="37" t="n">
        <v>-120000</v>
      </c>
      <c r="H1156" s="37" t="n">
        <v>471965.78</v>
      </c>
    </row>
    <row r="1157" customFormat="false" ht="15" hidden="false" customHeight="false" outlineLevel="0" collapsed="false">
      <c r="A1157" s="11" t="s">
        <v>3642</v>
      </c>
      <c r="B1157" s="38" t="n">
        <v>46202</v>
      </c>
      <c r="C1157" s="11" t="s">
        <v>1496</v>
      </c>
      <c r="D1157" s="11" t="s">
        <v>1497</v>
      </c>
      <c r="E1157" s="11" t="s">
        <v>335</v>
      </c>
      <c r="F1157" s="11" t="s">
        <v>3643</v>
      </c>
      <c r="G1157" s="37" t="n">
        <v>5940</v>
      </c>
      <c r="H1157" s="37" t="n">
        <v>477905.78</v>
      </c>
    </row>
    <row r="1158" customFormat="false" ht="15" hidden="false" customHeight="false" outlineLevel="0" collapsed="false">
      <c r="A1158" s="11" t="s">
        <v>3644</v>
      </c>
      <c r="B1158" s="38" t="n">
        <v>46202</v>
      </c>
      <c r="C1158" s="11" t="s">
        <v>1496</v>
      </c>
      <c r="D1158" s="11" t="s">
        <v>1497</v>
      </c>
      <c r="E1158" s="11" t="s">
        <v>323</v>
      </c>
      <c r="F1158" s="11" t="s">
        <v>3645</v>
      </c>
      <c r="G1158" s="37" t="n">
        <v>6072</v>
      </c>
      <c r="H1158" s="37" t="n">
        <v>483977.78</v>
      </c>
    </row>
    <row r="1159" customFormat="false" ht="15" hidden="false" customHeight="false" outlineLevel="0" collapsed="false">
      <c r="A1159" s="11" t="s">
        <v>3646</v>
      </c>
      <c r="B1159" s="38" t="n">
        <v>46202</v>
      </c>
      <c r="C1159" s="11" t="s">
        <v>1496</v>
      </c>
      <c r="D1159" s="11" t="s">
        <v>1497</v>
      </c>
      <c r="E1159" s="11" t="s">
        <v>349</v>
      </c>
      <c r="F1159" s="11" t="s">
        <v>3647</v>
      </c>
      <c r="G1159" s="37" t="n">
        <v>13488</v>
      </c>
      <c r="H1159" s="37" t="n">
        <v>497465.78</v>
      </c>
    </row>
    <row r="1160" customFormat="false" ht="15" hidden="false" customHeight="false" outlineLevel="0" collapsed="false">
      <c r="A1160" s="11" t="s">
        <v>3648</v>
      </c>
      <c r="B1160" s="38" t="n">
        <v>46202</v>
      </c>
      <c r="C1160" s="11" t="s">
        <v>1496</v>
      </c>
      <c r="D1160" s="11" t="s">
        <v>1497</v>
      </c>
      <c r="E1160" s="11" t="s">
        <v>349</v>
      </c>
      <c r="F1160" s="11" t="s">
        <v>3649</v>
      </c>
      <c r="G1160" s="37" t="n">
        <v>24264</v>
      </c>
      <c r="H1160" s="37" t="n">
        <v>521729.78</v>
      </c>
    </row>
    <row r="1161" customFormat="false" ht="15" hidden="false" customHeight="false" outlineLevel="0" collapsed="false">
      <c r="A1161" s="11" t="s">
        <v>3650</v>
      </c>
      <c r="B1161" s="38" t="n">
        <v>46202</v>
      </c>
      <c r="C1161" s="11" t="s">
        <v>1496</v>
      </c>
      <c r="D1161" s="11" t="s">
        <v>1497</v>
      </c>
      <c r="E1161" s="11" t="s">
        <v>335</v>
      </c>
      <c r="F1161" s="11" t="s">
        <v>3651</v>
      </c>
      <c r="G1161" s="37" t="n">
        <v>4116</v>
      </c>
      <c r="H1161" s="37" t="n">
        <v>525845.78</v>
      </c>
    </row>
    <row r="1162" customFormat="false" ht="15" hidden="false" customHeight="false" outlineLevel="0" collapsed="false">
      <c r="A1162" s="11" t="s">
        <v>3652</v>
      </c>
      <c r="B1162" s="38" t="n">
        <v>46203</v>
      </c>
      <c r="C1162" s="11" t="s">
        <v>1500</v>
      </c>
      <c r="D1162" s="11" t="s">
        <v>1634</v>
      </c>
      <c r="E1162" s="11" t="s">
        <v>425</v>
      </c>
      <c r="F1162" s="11"/>
      <c r="G1162" s="37" t="n">
        <v>-106000</v>
      </c>
      <c r="H1162" s="37" t="n">
        <v>419845.78</v>
      </c>
    </row>
    <row r="1163" customFormat="false" ht="15" hidden="false" customHeight="false" outlineLevel="0" collapsed="false">
      <c r="A1163" s="11" t="s">
        <v>3653</v>
      </c>
      <c r="B1163" s="38" t="n">
        <v>46204</v>
      </c>
      <c r="C1163" s="11" t="s">
        <v>1496</v>
      </c>
      <c r="D1163" s="11" t="s">
        <v>1497</v>
      </c>
      <c r="E1163" s="11" t="s">
        <v>399</v>
      </c>
      <c r="F1163" s="11" t="s">
        <v>3654</v>
      </c>
      <c r="G1163" s="37" t="n">
        <v>6960</v>
      </c>
      <c r="H1163" s="37" t="n">
        <v>426805.78</v>
      </c>
    </row>
    <row r="1164" customFormat="false" ht="15" hidden="false" customHeight="false" outlineLevel="0" collapsed="false">
      <c r="A1164" s="11" t="s">
        <v>3655</v>
      </c>
      <c r="B1164" s="38" t="n">
        <v>46204</v>
      </c>
      <c r="C1164" s="11" t="s">
        <v>1500</v>
      </c>
      <c r="D1164" s="11" t="s">
        <v>1503</v>
      </c>
      <c r="E1164" s="11" t="s">
        <v>847</v>
      </c>
      <c r="F1164" s="11"/>
      <c r="G1164" s="37" t="n">
        <v>-23400</v>
      </c>
      <c r="H1164" s="37" t="n">
        <v>403405.78</v>
      </c>
    </row>
    <row r="1165" customFormat="false" ht="15" hidden="false" customHeight="false" outlineLevel="0" collapsed="false">
      <c r="A1165" s="11" t="s">
        <v>3656</v>
      </c>
      <c r="B1165" s="38" t="n">
        <v>46204</v>
      </c>
      <c r="C1165" s="11" t="s">
        <v>1500</v>
      </c>
      <c r="D1165" s="11" t="s">
        <v>1501</v>
      </c>
      <c r="E1165" s="11" t="s">
        <v>853</v>
      </c>
      <c r="F1165" s="11"/>
      <c r="G1165" s="37" t="n">
        <v>-7800</v>
      </c>
      <c r="H1165" s="37" t="n">
        <v>395605.78</v>
      </c>
    </row>
    <row r="1166" customFormat="false" ht="15" hidden="false" customHeight="false" outlineLevel="0" collapsed="false">
      <c r="A1166" s="11" t="s">
        <v>3657</v>
      </c>
      <c r="B1166" s="38" t="n">
        <v>46204</v>
      </c>
      <c r="C1166" s="11" t="s">
        <v>1496</v>
      </c>
      <c r="D1166" s="11" t="s">
        <v>1497</v>
      </c>
      <c r="E1166" s="11" t="s">
        <v>298</v>
      </c>
      <c r="F1166" s="11" t="s">
        <v>3658</v>
      </c>
      <c r="G1166" s="37" t="n">
        <v>6370</v>
      </c>
      <c r="H1166" s="37" t="n">
        <v>401975.78</v>
      </c>
    </row>
    <row r="1167" customFormat="false" ht="15" hidden="false" customHeight="false" outlineLevel="0" collapsed="false">
      <c r="A1167" s="11" t="s">
        <v>3659</v>
      </c>
      <c r="B1167" s="38" t="n">
        <v>46204</v>
      </c>
      <c r="C1167" s="11" t="s">
        <v>1500</v>
      </c>
      <c r="D1167" s="11" t="s">
        <v>291</v>
      </c>
      <c r="E1167" s="11" t="s">
        <v>292</v>
      </c>
      <c r="F1167" s="11"/>
      <c r="G1167" s="37" t="n">
        <v>-4961.13</v>
      </c>
      <c r="H1167" s="37" t="n">
        <v>397014.65</v>
      </c>
    </row>
    <row r="1168" customFormat="false" ht="15" hidden="false" customHeight="false" outlineLevel="0" collapsed="false">
      <c r="A1168" s="11" t="s">
        <v>3660</v>
      </c>
      <c r="B1168" s="38" t="n">
        <v>46204</v>
      </c>
      <c r="C1168" s="11" t="s">
        <v>1496</v>
      </c>
      <c r="D1168" s="11" t="s">
        <v>1497</v>
      </c>
      <c r="E1168" s="11" t="s">
        <v>287</v>
      </c>
      <c r="F1168" s="11" t="s">
        <v>3661</v>
      </c>
      <c r="G1168" s="37" t="n">
        <v>2172</v>
      </c>
      <c r="H1168" s="37" t="n">
        <v>399186.65</v>
      </c>
    </row>
    <row r="1169" customFormat="false" ht="15" hidden="false" customHeight="false" outlineLevel="0" collapsed="false">
      <c r="A1169" s="11" t="s">
        <v>3662</v>
      </c>
      <c r="B1169" s="38" t="n">
        <v>46205</v>
      </c>
      <c r="C1169" s="11" t="s">
        <v>1500</v>
      </c>
      <c r="D1169" s="11" t="s">
        <v>307</v>
      </c>
      <c r="E1169" s="11" t="s">
        <v>313</v>
      </c>
      <c r="F1169" s="11" t="s">
        <v>3663</v>
      </c>
      <c r="G1169" s="37" t="n">
        <v>-4277.27</v>
      </c>
      <c r="H1169" s="37" t="n">
        <v>394909.38</v>
      </c>
    </row>
    <row r="1170" customFormat="false" ht="15" hidden="false" customHeight="false" outlineLevel="0" collapsed="false">
      <c r="A1170" s="11" t="s">
        <v>3664</v>
      </c>
      <c r="B1170" s="38" t="n">
        <v>46205</v>
      </c>
      <c r="C1170" s="11" t="s">
        <v>1500</v>
      </c>
      <c r="D1170" s="11" t="s">
        <v>307</v>
      </c>
      <c r="E1170" s="11" t="s">
        <v>308</v>
      </c>
      <c r="F1170" s="11" t="s">
        <v>3665</v>
      </c>
      <c r="G1170" s="37" t="n">
        <v>-37590.85</v>
      </c>
      <c r="H1170" s="37" t="n">
        <v>357318.53</v>
      </c>
    </row>
    <row r="1171" customFormat="false" ht="15" hidden="false" customHeight="false" outlineLevel="0" collapsed="false">
      <c r="A1171" s="11" t="s">
        <v>3666</v>
      </c>
      <c r="B1171" s="38" t="n">
        <v>46205</v>
      </c>
      <c r="C1171" s="11" t="s">
        <v>1500</v>
      </c>
      <c r="D1171" s="11" t="s">
        <v>307</v>
      </c>
      <c r="E1171" s="11" t="s">
        <v>420</v>
      </c>
      <c r="F1171" s="11" t="s">
        <v>3667</v>
      </c>
      <c r="G1171" s="37" t="n">
        <v>-109610.89</v>
      </c>
      <c r="H1171" s="37" t="n">
        <v>247707.64</v>
      </c>
    </row>
    <row r="1172" customFormat="false" ht="15" hidden="false" customHeight="false" outlineLevel="0" collapsed="false">
      <c r="A1172" s="11" t="s">
        <v>3668</v>
      </c>
      <c r="B1172" s="38" t="n">
        <v>46206</v>
      </c>
      <c r="C1172" s="11" t="s">
        <v>1496</v>
      </c>
      <c r="D1172" s="11" t="s">
        <v>1497</v>
      </c>
      <c r="E1172" s="11" t="s">
        <v>331</v>
      </c>
      <c r="F1172" s="11" t="s">
        <v>3669</v>
      </c>
      <c r="G1172" s="37" t="n">
        <v>11904</v>
      </c>
      <c r="H1172" s="37" t="n">
        <v>259611.64</v>
      </c>
    </row>
    <row r="1173" customFormat="false" ht="15" hidden="false" customHeight="false" outlineLevel="0" collapsed="false">
      <c r="A1173" s="11" t="s">
        <v>3670</v>
      </c>
      <c r="B1173" s="38" t="n">
        <v>46206</v>
      </c>
      <c r="C1173" s="11" t="s">
        <v>1500</v>
      </c>
      <c r="D1173" s="11" t="s">
        <v>448</v>
      </c>
      <c r="E1173" s="11" t="s">
        <v>449</v>
      </c>
      <c r="F1173" s="11"/>
      <c r="G1173" s="37" t="n">
        <v>-2880</v>
      </c>
      <c r="H1173" s="37" t="n">
        <v>256731.64</v>
      </c>
    </row>
    <row r="1174" customFormat="false" ht="15" hidden="false" customHeight="false" outlineLevel="0" collapsed="false">
      <c r="A1174" s="11" t="s">
        <v>3671</v>
      </c>
      <c r="B1174" s="38" t="n">
        <v>46209</v>
      </c>
      <c r="C1174" s="11" t="s">
        <v>1496</v>
      </c>
      <c r="D1174" s="11" t="s">
        <v>1497</v>
      </c>
      <c r="E1174" s="11" t="s">
        <v>335</v>
      </c>
      <c r="F1174" s="11" t="s">
        <v>3672</v>
      </c>
      <c r="G1174" s="37" t="n">
        <v>9996</v>
      </c>
      <c r="H1174" s="37" t="n">
        <v>266727.64</v>
      </c>
    </row>
    <row r="1175" customFormat="false" ht="15" hidden="false" customHeight="false" outlineLevel="0" collapsed="false">
      <c r="A1175" s="11" t="s">
        <v>3673</v>
      </c>
      <c r="B1175" s="38" t="n">
        <v>46209</v>
      </c>
      <c r="C1175" s="11" t="s">
        <v>1496</v>
      </c>
      <c r="D1175" s="11" t="s">
        <v>1497</v>
      </c>
      <c r="E1175" s="11" t="s">
        <v>280</v>
      </c>
      <c r="F1175" s="11" t="s">
        <v>3674</v>
      </c>
      <c r="G1175" s="37" t="n">
        <v>9948</v>
      </c>
      <c r="H1175" s="37" t="n">
        <v>276675.64</v>
      </c>
    </row>
    <row r="1176" customFormat="false" ht="15" hidden="false" customHeight="false" outlineLevel="0" collapsed="false">
      <c r="A1176" s="11" t="s">
        <v>3675</v>
      </c>
      <c r="B1176" s="38" t="n">
        <v>46209</v>
      </c>
      <c r="C1176" s="11" t="s">
        <v>1496</v>
      </c>
      <c r="D1176" s="11" t="s">
        <v>1497</v>
      </c>
      <c r="E1176" s="11" t="s">
        <v>335</v>
      </c>
      <c r="F1176" s="11" t="s">
        <v>3676</v>
      </c>
      <c r="G1176" s="37" t="n">
        <v>8076</v>
      </c>
      <c r="H1176" s="37" t="n">
        <v>284751.64</v>
      </c>
    </row>
    <row r="1177" customFormat="false" ht="15" hidden="false" customHeight="false" outlineLevel="0" collapsed="false">
      <c r="A1177" s="11" t="s">
        <v>3677</v>
      </c>
      <c r="B1177" s="38" t="n">
        <v>46209</v>
      </c>
      <c r="C1177" s="11" t="s">
        <v>1496</v>
      </c>
      <c r="D1177" s="11" t="s">
        <v>1497</v>
      </c>
      <c r="E1177" s="11" t="s">
        <v>335</v>
      </c>
      <c r="F1177" s="11" t="s">
        <v>3678</v>
      </c>
      <c r="G1177" s="37" t="n">
        <v>2892</v>
      </c>
      <c r="H1177" s="37" t="n">
        <v>287643.64</v>
      </c>
    </row>
    <row r="1178" customFormat="false" ht="15" hidden="false" customHeight="false" outlineLevel="0" collapsed="false">
      <c r="A1178" s="11" t="s">
        <v>3679</v>
      </c>
      <c r="B1178" s="38" t="n">
        <v>46209</v>
      </c>
      <c r="C1178" s="11" t="s">
        <v>1496</v>
      </c>
      <c r="D1178" s="11" t="s">
        <v>1497</v>
      </c>
      <c r="E1178" s="11" t="s">
        <v>280</v>
      </c>
      <c r="F1178" s="11" t="s">
        <v>3680</v>
      </c>
      <c r="G1178" s="37" t="n">
        <v>11184</v>
      </c>
      <c r="H1178" s="37" t="n">
        <v>298827.64</v>
      </c>
    </row>
    <row r="1179" customFormat="false" ht="15" hidden="false" customHeight="false" outlineLevel="0" collapsed="false">
      <c r="A1179" s="11" t="s">
        <v>3681</v>
      </c>
      <c r="B1179" s="38" t="n">
        <v>46209</v>
      </c>
      <c r="C1179" s="11" t="s">
        <v>1500</v>
      </c>
      <c r="D1179" s="11" t="s">
        <v>469</v>
      </c>
      <c r="E1179" s="11" t="s">
        <v>470</v>
      </c>
      <c r="F1179" s="11"/>
      <c r="G1179" s="37" t="n">
        <v>-8900</v>
      </c>
      <c r="H1179" s="37" t="n">
        <v>289927.64</v>
      </c>
    </row>
    <row r="1180" customFormat="false" ht="15" hidden="false" customHeight="false" outlineLevel="0" collapsed="false">
      <c r="A1180" s="11" t="s">
        <v>3682</v>
      </c>
      <c r="B1180" s="38" t="n">
        <v>46210</v>
      </c>
      <c r="C1180" s="11" t="s">
        <v>1496</v>
      </c>
      <c r="D1180" s="11" t="s">
        <v>1497</v>
      </c>
      <c r="E1180" s="11" t="s">
        <v>287</v>
      </c>
      <c r="F1180" s="11" t="s">
        <v>3683</v>
      </c>
      <c r="G1180" s="37" t="n">
        <v>5688</v>
      </c>
      <c r="H1180" s="37" t="n">
        <v>295615.64</v>
      </c>
    </row>
    <row r="1181" customFormat="false" ht="15" hidden="false" customHeight="false" outlineLevel="0" collapsed="false">
      <c r="A1181" s="11" t="s">
        <v>3684</v>
      </c>
      <c r="B1181" s="38" t="n">
        <v>46210</v>
      </c>
      <c r="C1181" s="11" t="s">
        <v>1496</v>
      </c>
      <c r="D1181" s="11" t="s">
        <v>1497</v>
      </c>
      <c r="E1181" s="11" t="s">
        <v>399</v>
      </c>
      <c r="F1181" s="11" t="s">
        <v>3685</v>
      </c>
      <c r="G1181" s="37" t="n">
        <v>22668</v>
      </c>
      <c r="H1181" s="37" t="n">
        <v>318283.64</v>
      </c>
    </row>
    <row r="1182" customFormat="false" ht="15" hidden="false" customHeight="false" outlineLevel="0" collapsed="false">
      <c r="A1182" s="11" t="s">
        <v>3686</v>
      </c>
      <c r="B1182" s="38" t="n">
        <v>46211</v>
      </c>
      <c r="C1182" s="11" t="s">
        <v>1496</v>
      </c>
      <c r="D1182" s="11" t="s">
        <v>1497</v>
      </c>
      <c r="E1182" s="11" t="s">
        <v>335</v>
      </c>
      <c r="F1182" s="11" t="s">
        <v>3687</v>
      </c>
      <c r="G1182" s="37" t="n">
        <v>3612</v>
      </c>
      <c r="H1182" s="37" t="n">
        <v>321895.64</v>
      </c>
    </row>
    <row r="1183" customFormat="false" ht="15" hidden="false" customHeight="false" outlineLevel="0" collapsed="false">
      <c r="A1183" s="11" t="s">
        <v>3688</v>
      </c>
      <c r="B1183" s="38" t="n">
        <v>46211</v>
      </c>
      <c r="C1183" s="11" t="s">
        <v>1496</v>
      </c>
      <c r="D1183" s="11" t="s">
        <v>1497</v>
      </c>
      <c r="E1183" s="11" t="s">
        <v>335</v>
      </c>
      <c r="F1183" s="11" t="s">
        <v>3689</v>
      </c>
      <c r="G1183" s="37" t="n">
        <v>4620</v>
      </c>
      <c r="H1183" s="37" t="n">
        <v>326515.64</v>
      </c>
    </row>
    <row r="1184" customFormat="false" ht="15" hidden="false" customHeight="false" outlineLevel="0" collapsed="false">
      <c r="A1184" s="11" t="s">
        <v>3690</v>
      </c>
      <c r="B1184" s="38" t="n">
        <v>46211</v>
      </c>
      <c r="C1184" s="11" t="s">
        <v>1500</v>
      </c>
      <c r="D1184" s="11" t="s">
        <v>480</v>
      </c>
      <c r="E1184" s="11" t="s">
        <v>481</v>
      </c>
      <c r="F1184" s="11"/>
      <c r="G1184" s="37" t="n">
        <v>-9840</v>
      </c>
      <c r="H1184" s="37" t="n">
        <v>316675.64</v>
      </c>
    </row>
    <row r="1185" customFormat="false" ht="15" hidden="false" customHeight="false" outlineLevel="0" collapsed="false">
      <c r="A1185" s="11" t="s">
        <v>3691</v>
      </c>
      <c r="B1185" s="38" t="n">
        <v>46211</v>
      </c>
      <c r="C1185" s="11" t="s">
        <v>1500</v>
      </c>
      <c r="D1185" s="11" t="s">
        <v>291</v>
      </c>
      <c r="E1185" s="11" t="s">
        <v>292</v>
      </c>
      <c r="F1185" s="11"/>
      <c r="G1185" s="37" t="n">
        <v>-5510.11</v>
      </c>
      <c r="H1185" s="37" t="n">
        <v>311165.53</v>
      </c>
    </row>
    <row r="1186" customFormat="false" ht="15" hidden="false" customHeight="false" outlineLevel="0" collapsed="false">
      <c r="A1186" s="11" t="s">
        <v>3692</v>
      </c>
      <c r="B1186" s="38" t="n">
        <v>46212</v>
      </c>
      <c r="C1186" s="11" t="s">
        <v>1500</v>
      </c>
      <c r="D1186" s="11" t="s">
        <v>307</v>
      </c>
      <c r="E1186" s="11" t="s">
        <v>464</v>
      </c>
      <c r="F1186" s="11" t="s">
        <v>3693</v>
      </c>
      <c r="G1186" s="37" t="n">
        <v>-10773.05</v>
      </c>
      <c r="H1186" s="37" t="n">
        <v>300392.48</v>
      </c>
    </row>
    <row r="1187" customFormat="false" ht="15" hidden="false" customHeight="false" outlineLevel="0" collapsed="false">
      <c r="A1187" s="11" t="s">
        <v>3694</v>
      </c>
      <c r="B1187" s="38" t="n">
        <v>46212</v>
      </c>
      <c r="C1187" s="11" t="s">
        <v>1500</v>
      </c>
      <c r="D1187" s="11" t="s">
        <v>307</v>
      </c>
      <c r="E1187" s="11" t="s">
        <v>313</v>
      </c>
      <c r="F1187" s="11" t="s">
        <v>3695</v>
      </c>
      <c r="G1187" s="37" t="n">
        <v>-4879.03</v>
      </c>
      <c r="H1187" s="37" t="n">
        <v>295513.45</v>
      </c>
    </row>
    <row r="1188" customFormat="false" ht="15" hidden="false" customHeight="false" outlineLevel="0" collapsed="false">
      <c r="A1188" s="11" t="s">
        <v>3696</v>
      </c>
      <c r="B1188" s="38" t="n">
        <v>46212</v>
      </c>
      <c r="C1188" s="11" t="s">
        <v>1500</v>
      </c>
      <c r="D1188" s="11" t="s">
        <v>307</v>
      </c>
      <c r="E1188" s="11" t="s">
        <v>458</v>
      </c>
      <c r="F1188" s="11" t="s">
        <v>3697</v>
      </c>
      <c r="G1188" s="37" t="n">
        <v>-32048.57</v>
      </c>
      <c r="H1188" s="37" t="n">
        <v>263464.88</v>
      </c>
    </row>
    <row r="1189" customFormat="false" ht="15" hidden="false" customHeight="false" outlineLevel="0" collapsed="false">
      <c r="A1189" s="11" t="s">
        <v>3698</v>
      </c>
      <c r="B1189" s="38" t="n">
        <v>46212</v>
      </c>
      <c r="C1189" s="11" t="s">
        <v>1496</v>
      </c>
      <c r="D1189" s="11" t="s">
        <v>1497</v>
      </c>
      <c r="E1189" s="11" t="s">
        <v>298</v>
      </c>
      <c r="F1189" s="11" t="s">
        <v>3699</v>
      </c>
      <c r="G1189" s="37" t="n">
        <v>4540</v>
      </c>
      <c r="H1189" s="37" t="n">
        <v>268004.88</v>
      </c>
    </row>
    <row r="1190" customFormat="false" ht="15" hidden="false" customHeight="false" outlineLevel="0" collapsed="false">
      <c r="A1190" s="11" t="s">
        <v>3700</v>
      </c>
      <c r="B1190" s="38" t="n">
        <v>46212</v>
      </c>
      <c r="C1190" s="11" t="s">
        <v>1496</v>
      </c>
      <c r="D1190" s="11" t="s">
        <v>1497</v>
      </c>
      <c r="E1190" s="11" t="s">
        <v>287</v>
      </c>
      <c r="F1190" s="11" t="s">
        <v>3701</v>
      </c>
      <c r="G1190" s="37" t="n">
        <v>4884</v>
      </c>
      <c r="H1190" s="37" t="n">
        <v>272888.88</v>
      </c>
    </row>
    <row r="1191" customFormat="false" ht="15" hidden="false" customHeight="false" outlineLevel="0" collapsed="false">
      <c r="A1191" s="11" t="s">
        <v>3702</v>
      </c>
      <c r="B1191" s="38" t="n">
        <v>46213</v>
      </c>
      <c r="C1191" s="11" t="s">
        <v>1500</v>
      </c>
      <c r="D1191" s="11" t="s">
        <v>272</v>
      </c>
      <c r="E1191" s="11" t="s">
        <v>273</v>
      </c>
      <c r="F1191" s="11"/>
      <c r="G1191" s="37" t="n">
        <v>-3840</v>
      </c>
      <c r="H1191" s="37" t="n">
        <v>269048.88</v>
      </c>
    </row>
    <row r="1192" customFormat="false" ht="15" hidden="false" customHeight="false" outlineLevel="0" collapsed="false">
      <c r="A1192" s="11" t="s">
        <v>3703</v>
      </c>
      <c r="B1192" s="38" t="n">
        <v>46213</v>
      </c>
      <c r="C1192" s="11" t="s">
        <v>1496</v>
      </c>
      <c r="D1192" s="11" t="s">
        <v>1497</v>
      </c>
      <c r="E1192" s="11" t="s">
        <v>323</v>
      </c>
      <c r="F1192" s="11" t="s">
        <v>3704</v>
      </c>
      <c r="G1192" s="37" t="n">
        <v>6228</v>
      </c>
      <c r="H1192" s="37" t="n">
        <v>275276.88</v>
      </c>
    </row>
    <row r="1193" customFormat="false" ht="15" hidden="false" customHeight="false" outlineLevel="0" collapsed="false">
      <c r="A1193" s="11" t="s">
        <v>3705</v>
      </c>
      <c r="B1193" s="38" t="n">
        <v>46216</v>
      </c>
      <c r="C1193" s="11" t="s">
        <v>1496</v>
      </c>
      <c r="D1193" s="11" t="s">
        <v>1497</v>
      </c>
      <c r="E1193" s="11" t="s">
        <v>280</v>
      </c>
      <c r="F1193" s="11" t="s">
        <v>3706</v>
      </c>
      <c r="G1193" s="37" t="n">
        <v>5796</v>
      </c>
      <c r="H1193" s="37" t="n">
        <v>281072.88</v>
      </c>
    </row>
    <row r="1194" customFormat="false" ht="15" hidden="false" customHeight="false" outlineLevel="0" collapsed="false">
      <c r="A1194" s="11" t="s">
        <v>3707</v>
      </c>
      <c r="B1194" s="38" t="n">
        <v>46216</v>
      </c>
      <c r="C1194" s="11" t="s">
        <v>1496</v>
      </c>
      <c r="D1194" s="11" t="s">
        <v>1497</v>
      </c>
      <c r="E1194" s="11" t="s">
        <v>335</v>
      </c>
      <c r="F1194" s="11" t="s">
        <v>3708</v>
      </c>
      <c r="G1194" s="37" t="n">
        <v>10392</v>
      </c>
      <c r="H1194" s="37" t="n">
        <v>291464.88</v>
      </c>
    </row>
    <row r="1195" customFormat="false" ht="15" hidden="false" customHeight="false" outlineLevel="0" collapsed="false">
      <c r="A1195" s="11" t="s">
        <v>3709</v>
      </c>
      <c r="B1195" s="38" t="n">
        <v>46216</v>
      </c>
      <c r="C1195" s="11" t="s">
        <v>1496</v>
      </c>
      <c r="D1195" s="11" t="s">
        <v>1497</v>
      </c>
      <c r="E1195" s="11" t="s">
        <v>280</v>
      </c>
      <c r="F1195" s="11" t="s">
        <v>3710</v>
      </c>
      <c r="G1195" s="37" t="n">
        <v>6300</v>
      </c>
      <c r="H1195" s="37" t="n">
        <v>297764.88</v>
      </c>
    </row>
    <row r="1196" customFormat="false" ht="15" hidden="false" customHeight="false" outlineLevel="0" collapsed="false">
      <c r="A1196" s="11" t="s">
        <v>3711</v>
      </c>
      <c r="B1196" s="38" t="n">
        <v>46216</v>
      </c>
      <c r="C1196" s="11" t="s">
        <v>1496</v>
      </c>
      <c r="D1196" s="11" t="s">
        <v>1497</v>
      </c>
      <c r="E1196" s="11" t="s">
        <v>298</v>
      </c>
      <c r="F1196" s="11" t="s">
        <v>3712</v>
      </c>
      <c r="G1196" s="37" t="n">
        <v>12190</v>
      </c>
      <c r="H1196" s="37" t="n">
        <v>309954.88</v>
      </c>
    </row>
    <row r="1197" customFormat="false" ht="15" hidden="false" customHeight="false" outlineLevel="0" collapsed="false">
      <c r="A1197" s="11" t="s">
        <v>3713</v>
      </c>
      <c r="B1197" s="38" t="n">
        <v>46216</v>
      </c>
      <c r="C1197" s="11" t="s">
        <v>1496</v>
      </c>
      <c r="D1197" s="11" t="s">
        <v>1497</v>
      </c>
      <c r="E1197" s="11" t="s">
        <v>327</v>
      </c>
      <c r="F1197" s="11" t="s">
        <v>3714</v>
      </c>
      <c r="G1197" s="37" t="n">
        <v>8076</v>
      </c>
      <c r="H1197" s="37" t="n">
        <v>318030.88</v>
      </c>
    </row>
    <row r="1198" customFormat="false" ht="15" hidden="false" customHeight="false" outlineLevel="0" collapsed="false">
      <c r="A1198" s="11" t="s">
        <v>3715</v>
      </c>
      <c r="B1198" s="38" t="n">
        <v>46216</v>
      </c>
      <c r="C1198" s="11" t="s">
        <v>1496</v>
      </c>
      <c r="D1198" s="11" t="s">
        <v>1497</v>
      </c>
      <c r="E1198" s="11" t="s">
        <v>349</v>
      </c>
      <c r="F1198" s="11" t="s">
        <v>3716</v>
      </c>
      <c r="G1198" s="37" t="n">
        <v>16692</v>
      </c>
      <c r="H1198" s="37" t="n">
        <v>334722.88</v>
      </c>
    </row>
    <row r="1199" customFormat="false" ht="15" hidden="false" customHeight="false" outlineLevel="0" collapsed="false">
      <c r="A1199" s="11" t="s">
        <v>3717</v>
      </c>
      <c r="B1199" s="38" t="n">
        <v>46216</v>
      </c>
      <c r="C1199" s="11" t="s">
        <v>1496</v>
      </c>
      <c r="D1199" s="11" t="s">
        <v>1497</v>
      </c>
      <c r="E1199" s="11" t="s">
        <v>349</v>
      </c>
      <c r="F1199" s="11" t="s">
        <v>3718</v>
      </c>
      <c r="G1199" s="37" t="n">
        <v>10776</v>
      </c>
      <c r="H1199" s="37" t="n">
        <v>345498.88</v>
      </c>
    </row>
    <row r="1200" customFormat="false" ht="15" hidden="false" customHeight="false" outlineLevel="0" collapsed="false">
      <c r="A1200" s="11" t="s">
        <v>3719</v>
      </c>
      <c r="B1200" s="38" t="n">
        <v>46218</v>
      </c>
      <c r="C1200" s="11" t="s">
        <v>1500</v>
      </c>
      <c r="D1200" s="11" t="s">
        <v>317</v>
      </c>
      <c r="E1200" s="11" t="s">
        <v>318</v>
      </c>
      <c r="F1200" s="11"/>
      <c r="G1200" s="37" t="n">
        <v>-86000</v>
      </c>
      <c r="H1200" s="37" t="n">
        <v>259498.88</v>
      </c>
    </row>
    <row r="1201" customFormat="false" ht="15" hidden="false" customHeight="false" outlineLevel="0" collapsed="false">
      <c r="A1201" s="11" t="s">
        <v>3720</v>
      </c>
      <c r="B1201" s="38" t="n">
        <v>46218</v>
      </c>
      <c r="C1201" s="11" t="s">
        <v>1496</v>
      </c>
      <c r="D1201" s="11" t="s">
        <v>1497</v>
      </c>
      <c r="E1201" s="11" t="s">
        <v>349</v>
      </c>
      <c r="F1201" s="11" t="s">
        <v>3721</v>
      </c>
      <c r="G1201" s="37" t="n">
        <v>23820</v>
      </c>
      <c r="H1201" s="37" t="n">
        <v>283318.88</v>
      </c>
    </row>
    <row r="1202" customFormat="false" ht="15" hidden="false" customHeight="false" outlineLevel="0" collapsed="false">
      <c r="A1202" s="11" t="s">
        <v>3722</v>
      </c>
      <c r="B1202" s="38" t="n">
        <v>46218</v>
      </c>
      <c r="C1202" s="11" t="s">
        <v>1500</v>
      </c>
      <c r="D1202" s="11" t="s">
        <v>291</v>
      </c>
      <c r="E1202" s="11" t="s">
        <v>292</v>
      </c>
      <c r="F1202" s="11"/>
      <c r="G1202" s="37" t="n">
        <v>-3881.91</v>
      </c>
      <c r="H1202" s="37" t="n">
        <v>279436.97</v>
      </c>
    </row>
    <row r="1203" customFormat="false" ht="15" hidden="false" customHeight="false" outlineLevel="0" collapsed="false">
      <c r="A1203" s="11" t="s">
        <v>3723</v>
      </c>
      <c r="B1203" s="38" t="n">
        <v>46218</v>
      </c>
      <c r="C1203" s="11" t="s">
        <v>1496</v>
      </c>
      <c r="D1203" s="11" t="s">
        <v>1497</v>
      </c>
      <c r="E1203" s="11" t="s">
        <v>298</v>
      </c>
      <c r="F1203" s="11" t="s">
        <v>3724</v>
      </c>
      <c r="G1203" s="37" t="n">
        <v>14880</v>
      </c>
      <c r="H1203" s="37" t="n">
        <v>294316.97</v>
      </c>
    </row>
    <row r="1204" customFormat="false" ht="15" hidden="false" customHeight="false" outlineLevel="0" collapsed="false">
      <c r="A1204" s="11" t="s">
        <v>3725</v>
      </c>
      <c r="B1204" s="38" t="n">
        <v>46219</v>
      </c>
      <c r="C1204" s="11" t="s">
        <v>1496</v>
      </c>
      <c r="D1204" s="11" t="s">
        <v>1497</v>
      </c>
      <c r="E1204" s="11" t="s">
        <v>331</v>
      </c>
      <c r="F1204" s="11" t="s">
        <v>3726</v>
      </c>
      <c r="G1204" s="37" t="n">
        <v>11760</v>
      </c>
      <c r="H1204" s="37" t="n">
        <v>306076.97</v>
      </c>
    </row>
    <row r="1205" customFormat="false" ht="15" hidden="false" customHeight="false" outlineLevel="0" collapsed="false">
      <c r="A1205" s="11" t="s">
        <v>3727</v>
      </c>
      <c r="B1205" s="38" t="n">
        <v>46219</v>
      </c>
      <c r="C1205" s="11" t="s">
        <v>1496</v>
      </c>
      <c r="D1205" s="11" t="s">
        <v>1497</v>
      </c>
      <c r="E1205" s="11" t="s">
        <v>323</v>
      </c>
      <c r="F1205" s="11" t="s">
        <v>3728</v>
      </c>
      <c r="G1205" s="37" t="n">
        <v>5040</v>
      </c>
      <c r="H1205" s="37" t="n">
        <v>311116.97</v>
      </c>
    </row>
    <row r="1206" customFormat="false" ht="15" hidden="false" customHeight="false" outlineLevel="0" collapsed="false">
      <c r="A1206" s="11" t="s">
        <v>3729</v>
      </c>
      <c r="B1206" s="38" t="n">
        <v>46219</v>
      </c>
      <c r="C1206" s="11" t="s">
        <v>1500</v>
      </c>
      <c r="D1206" s="11" t="s">
        <v>307</v>
      </c>
      <c r="E1206" s="11" t="s">
        <v>313</v>
      </c>
      <c r="F1206" s="11" t="s">
        <v>3730</v>
      </c>
      <c r="G1206" s="37" t="n">
        <v>-4868.27</v>
      </c>
      <c r="H1206" s="37" t="n">
        <v>306248.7</v>
      </c>
    </row>
    <row r="1207" customFormat="false" ht="15" hidden="false" customHeight="false" outlineLevel="0" collapsed="false">
      <c r="A1207" s="11" t="s">
        <v>3731</v>
      </c>
      <c r="B1207" s="38" t="n">
        <v>46219</v>
      </c>
      <c r="C1207" s="11" t="s">
        <v>1500</v>
      </c>
      <c r="D1207" s="11" t="s">
        <v>307</v>
      </c>
      <c r="E1207" s="11" t="s">
        <v>308</v>
      </c>
      <c r="F1207" s="11" t="s">
        <v>3732</v>
      </c>
      <c r="G1207" s="37" t="n">
        <v>-31127.12</v>
      </c>
      <c r="H1207" s="37" t="n">
        <v>275121.58</v>
      </c>
    </row>
    <row r="1208" customFormat="false" ht="15" hidden="false" customHeight="false" outlineLevel="0" collapsed="false">
      <c r="A1208" s="11" t="s">
        <v>3733</v>
      </c>
      <c r="B1208" s="38" t="n">
        <v>46219</v>
      </c>
      <c r="C1208" s="11" t="s">
        <v>1500</v>
      </c>
      <c r="D1208" s="11" t="s">
        <v>307</v>
      </c>
      <c r="E1208" s="11" t="s">
        <v>420</v>
      </c>
      <c r="F1208" s="11" t="s">
        <v>3734</v>
      </c>
      <c r="G1208" s="37" t="n">
        <v>-71000</v>
      </c>
      <c r="H1208" s="37" t="n">
        <v>204121.58</v>
      </c>
    </row>
    <row r="1209" customFormat="false" ht="15" hidden="false" customHeight="false" outlineLevel="0" collapsed="false">
      <c r="A1209" s="11" t="s">
        <v>3735</v>
      </c>
      <c r="B1209" s="38" t="n">
        <v>46220</v>
      </c>
      <c r="C1209" s="11" t="s">
        <v>1496</v>
      </c>
      <c r="D1209" s="11" t="s">
        <v>1497</v>
      </c>
      <c r="E1209" s="11" t="s">
        <v>335</v>
      </c>
      <c r="F1209" s="11" t="s">
        <v>3736</v>
      </c>
      <c r="G1209" s="37" t="n">
        <v>10548</v>
      </c>
      <c r="H1209" s="37" t="n">
        <v>214669.58</v>
      </c>
    </row>
    <row r="1210" customFormat="false" ht="15" hidden="false" customHeight="false" outlineLevel="0" collapsed="false">
      <c r="A1210" s="11" t="s">
        <v>3737</v>
      </c>
      <c r="B1210" s="38" t="n">
        <v>46223</v>
      </c>
      <c r="C1210" s="11" t="s">
        <v>1496</v>
      </c>
      <c r="D1210" s="11" t="s">
        <v>1497</v>
      </c>
      <c r="E1210" s="11" t="s">
        <v>331</v>
      </c>
      <c r="F1210" s="11" t="s">
        <v>3738</v>
      </c>
      <c r="G1210" s="37" t="n">
        <v>4524</v>
      </c>
      <c r="H1210" s="37" t="n">
        <v>219193.58</v>
      </c>
    </row>
    <row r="1211" customFormat="false" ht="15" hidden="false" customHeight="false" outlineLevel="0" collapsed="false">
      <c r="A1211" s="11" t="s">
        <v>3739</v>
      </c>
      <c r="B1211" s="38" t="n">
        <v>46223</v>
      </c>
      <c r="C1211" s="11" t="s">
        <v>1496</v>
      </c>
      <c r="D1211" s="11" t="s">
        <v>1497</v>
      </c>
      <c r="E1211" s="11" t="s">
        <v>331</v>
      </c>
      <c r="F1211" s="11" t="s">
        <v>3740</v>
      </c>
      <c r="G1211" s="37" t="n">
        <v>9048</v>
      </c>
      <c r="H1211" s="37" t="n">
        <v>228241.58</v>
      </c>
    </row>
    <row r="1212" customFormat="false" ht="15" hidden="false" customHeight="false" outlineLevel="0" collapsed="false">
      <c r="A1212" s="11" t="s">
        <v>3741</v>
      </c>
      <c r="B1212" s="38" t="n">
        <v>46224</v>
      </c>
      <c r="C1212" s="11" t="s">
        <v>1496</v>
      </c>
      <c r="D1212" s="11" t="s">
        <v>1497</v>
      </c>
      <c r="E1212" s="11" t="s">
        <v>331</v>
      </c>
      <c r="F1212" s="11" t="s">
        <v>3742</v>
      </c>
      <c r="G1212" s="37" t="n">
        <v>15012</v>
      </c>
      <c r="H1212" s="37" t="n">
        <v>243253.58</v>
      </c>
    </row>
    <row r="1213" customFormat="false" ht="15" hidden="false" customHeight="false" outlineLevel="0" collapsed="false">
      <c r="A1213" s="11" t="s">
        <v>3743</v>
      </c>
      <c r="B1213" s="38" t="n">
        <v>46224</v>
      </c>
      <c r="C1213" s="11" t="s">
        <v>1496</v>
      </c>
      <c r="D1213" s="11" t="s">
        <v>1497</v>
      </c>
      <c r="E1213" s="11" t="s">
        <v>327</v>
      </c>
      <c r="F1213" s="11" t="s">
        <v>3744</v>
      </c>
      <c r="G1213" s="37" t="n">
        <v>16776</v>
      </c>
      <c r="H1213" s="37" t="n">
        <v>260029.58</v>
      </c>
    </row>
    <row r="1214" customFormat="false" ht="15" hidden="false" customHeight="false" outlineLevel="0" collapsed="false">
      <c r="A1214" s="11" t="s">
        <v>3745</v>
      </c>
      <c r="B1214" s="38" t="n">
        <v>46224</v>
      </c>
      <c r="C1214" s="11" t="s">
        <v>1496</v>
      </c>
      <c r="D1214" s="11" t="s">
        <v>1497</v>
      </c>
      <c r="E1214" s="11" t="s">
        <v>298</v>
      </c>
      <c r="F1214" s="11" t="s">
        <v>3746</v>
      </c>
      <c r="G1214" s="37" t="n">
        <v>6630</v>
      </c>
      <c r="H1214" s="37" t="n">
        <v>266659.58</v>
      </c>
    </row>
    <row r="1215" customFormat="false" ht="15" hidden="false" customHeight="false" outlineLevel="0" collapsed="false">
      <c r="A1215" s="11" t="s">
        <v>3747</v>
      </c>
      <c r="B1215" s="38" t="n">
        <v>46224</v>
      </c>
      <c r="C1215" s="11" t="s">
        <v>1496</v>
      </c>
      <c r="D1215" s="11" t="s">
        <v>1497</v>
      </c>
      <c r="E1215" s="11" t="s">
        <v>349</v>
      </c>
      <c r="F1215" s="11" t="s">
        <v>3748</v>
      </c>
      <c r="G1215" s="37" t="n">
        <v>6504</v>
      </c>
      <c r="H1215" s="37" t="n">
        <v>273163.58</v>
      </c>
    </row>
    <row r="1216" customFormat="false" ht="15" hidden="false" customHeight="false" outlineLevel="0" collapsed="false">
      <c r="A1216" s="11" t="s">
        <v>3749</v>
      </c>
      <c r="B1216" s="38" t="n">
        <v>46224</v>
      </c>
      <c r="C1216" s="11" t="s">
        <v>1496</v>
      </c>
      <c r="D1216" s="11" t="s">
        <v>1497</v>
      </c>
      <c r="E1216" s="11" t="s">
        <v>287</v>
      </c>
      <c r="F1216" s="11" t="s">
        <v>3750</v>
      </c>
      <c r="G1216" s="37" t="n">
        <v>3420</v>
      </c>
      <c r="H1216" s="37" t="n">
        <v>276583.58</v>
      </c>
    </row>
    <row r="1217" customFormat="false" ht="15" hidden="false" customHeight="false" outlineLevel="0" collapsed="false">
      <c r="A1217" s="11" t="s">
        <v>3751</v>
      </c>
      <c r="B1217" s="38" t="n">
        <v>46225</v>
      </c>
      <c r="C1217" s="11" t="s">
        <v>1496</v>
      </c>
      <c r="D1217" s="11" t="s">
        <v>1497</v>
      </c>
      <c r="E1217" s="11" t="s">
        <v>399</v>
      </c>
      <c r="F1217" s="11" t="s">
        <v>3752</v>
      </c>
      <c r="G1217" s="37" t="n">
        <v>18000</v>
      </c>
      <c r="H1217" s="37" t="n">
        <v>294583.58</v>
      </c>
    </row>
    <row r="1218" customFormat="false" ht="15" hidden="false" customHeight="false" outlineLevel="0" collapsed="false">
      <c r="A1218" s="11" t="s">
        <v>3753</v>
      </c>
      <c r="B1218" s="38" t="n">
        <v>46225</v>
      </c>
      <c r="C1218" s="11" t="s">
        <v>1500</v>
      </c>
      <c r="D1218" s="11" t="s">
        <v>291</v>
      </c>
      <c r="E1218" s="11" t="s">
        <v>292</v>
      </c>
      <c r="F1218" s="11"/>
      <c r="G1218" s="37" t="n">
        <v>-4273.95</v>
      </c>
      <c r="H1218" s="37" t="n">
        <v>290309.63</v>
      </c>
    </row>
    <row r="1219" customFormat="false" ht="15" hidden="false" customHeight="false" outlineLevel="0" collapsed="false">
      <c r="A1219" s="11" t="s">
        <v>3754</v>
      </c>
      <c r="B1219" s="38" t="n">
        <v>46226</v>
      </c>
      <c r="C1219" s="11" t="s">
        <v>1496</v>
      </c>
      <c r="D1219" s="11" t="s">
        <v>1497</v>
      </c>
      <c r="E1219" s="11" t="s">
        <v>280</v>
      </c>
      <c r="F1219" s="11" t="s">
        <v>3755</v>
      </c>
      <c r="G1219" s="37" t="n">
        <v>12780</v>
      </c>
      <c r="H1219" s="37" t="n">
        <v>303089.63</v>
      </c>
    </row>
    <row r="1220" customFormat="false" ht="15" hidden="false" customHeight="false" outlineLevel="0" collapsed="false">
      <c r="A1220" s="11" t="s">
        <v>3756</v>
      </c>
      <c r="B1220" s="38" t="n">
        <v>46226</v>
      </c>
      <c r="C1220" s="11" t="s">
        <v>1500</v>
      </c>
      <c r="D1220" s="11" t="s">
        <v>307</v>
      </c>
      <c r="E1220" s="11" t="s">
        <v>313</v>
      </c>
      <c r="F1220" s="11" t="s">
        <v>3757</v>
      </c>
      <c r="G1220" s="37" t="n">
        <v>-4234.61</v>
      </c>
      <c r="H1220" s="37" t="n">
        <v>298855.02</v>
      </c>
    </row>
    <row r="1221" customFormat="false" ht="15" hidden="false" customHeight="false" outlineLevel="0" collapsed="false">
      <c r="A1221" s="11" t="s">
        <v>3758</v>
      </c>
      <c r="B1221" s="38" t="n">
        <v>46226</v>
      </c>
      <c r="C1221" s="11" t="s">
        <v>1496</v>
      </c>
      <c r="D1221" s="11" t="s">
        <v>1497</v>
      </c>
      <c r="E1221" s="11" t="s">
        <v>327</v>
      </c>
      <c r="F1221" s="11" t="s">
        <v>3759</v>
      </c>
      <c r="G1221" s="37" t="n">
        <v>28656</v>
      </c>
      <c r="H1221" s="37" t="n">
        <v>327511.02</v>
      </c>
    </row>
    <row r="1222" customFormat="false" ht="15" hidden="false" customHeight="false" outlineLevel="0" collapsed="false">
      <c r="A1222" s="11" t="s">
        <v>3760</v>
      </c>
      <c r="B1222" s="38" t="n">
        <v>46226</v>
      </c>
      <c r="C1222" s="11" t="s">
        <v>1496</v>
      </c>
      <c r="D1222" s="11" t="s">
        <v>1497</v>
      </c>
      <c r="E1222" s="11" t="s">
        <v>335</v>
      </c>
      <c r="F1222" s="11" t="s">
        <v>3761</v>
      </c>
      <c r="G1222" s="37" t="n">
        <v>9264</v>
      </c>
      <c r="H1222" s="37" t="n">
        <v>336775.02</v>
      </c>
    </row>
    <row r="1223" customFormat="false" ht="15" hidden="false" customHeight="false" outlineLevel="0" collapsed="false">
      <c r="A1223" s="11" t="s">
        <v>3762</v>
      </c>
      <c r="B1223" s="38" t="n">
        <v>46226</v>
      </c>
      <c r="C1223" s="11" t="s">
        <v>1496</v>
      </c>
      <c r="D1223" s="11" t="s">
        <v>1497</v>
      </c>
      <c r="E1223" s="11" t="s">
        <v>335</v>
      </c>
      <c r="F1223" s="11" t="s">
        <v>3763</v>
      </c>
      <c r="G1223" s="37" t="n">
        <v>5820</v>
      </c>
      <c r="H1223" s="37" t="n">
        <v>342595.02</v>
      </c>
    </row>
    <row r="1224" customFormat="false" ht="15" hidden="false" customHeight="false" outlineLevel="0" collapsed="false">
      <c r="A1224" s="11" t="s">
        <v>3764</v>
      </c>
      <c r="B1224" s="38" t="n">
        <v>46227</v>
      </c>
      <c r="C1224" s="11" t="s">
        <v>1496</v>
      </c>
      <c r="D1224" s="11" t="s">
        <v>1497</v>
      </c>
      <c r="E1224" s="11" t="s">
        <v>392</v>
      </c>
      <c r="F1224" s="11" t="s">
        <v>3765</v>
      </c>
      <c r="G1224" s="37" t="n">
        <v>8184</v>
      </c>
      <c r="H1224" s="37" t="n">
        <v>350779.02</v>
      </c>
    </row>
    <row r="1225" customFormat="false" ht="15" hidden="false" customHeight="false" outlineLevel="0" collapsed="false">
      <c r="A1225" s="11" t="s">
        <v>3766</v>
      </c>
      <c r="B1225" s="38" t="n">
        <v>46227</v>
      </c>
      <c r="C1225" s="11" t="s">
        <v>1500</v>
      </c>
      <c r="D1225" s="11" t="s">
        <v>383</v>
      </c>
      <c r="E1225" s="11" t="s">
        <v>384</v>
      </c>
      <c r="F1225" s="11" t="s">
        <v>3767</v>
      </c>
      <c r="G1225" s="37" t="n">
        <v>-99468.16</v>
      </c>
      <c r="H1225" s="37" t="n">
        <v>251310.86</v>
      </c>
    </row>
    <row r="1226" customFormat="false" ht="15" hidden="false" customHeight="false" outlineLevel="0" collapsed="false">
      <c r="A1226" s="11" t="s">
        <v>3768</v>
      </c>
      <c r="B1226" s="38" t="n">
        <v>46230</v>
      </c>
      <c r="C1226" s="11" t="s">
        <v>1496</v>
      </c>
      <c r="D1226" s="11" t="s">
        <v>1497</v>
      </c>
      <c r="E1226" s="11" t="s">
        <v>287</v>
      </c>
      <c r="F1226" s="11" t="s">
        <v>3769</v>
      </c>
      <c r="G1226" s="37" t="n">
        <v>5232</v>
      </c>
      <c r="H1226" s="37" t="n">
        <v>256542.86</v>
      </c>
    </row>
    <row r="1227" customFormat="false" ht="15" hidden="false" customHeight="false" outlineLevel="0" collapsed="false">
      <c r="A1227" s="11" t="s">
        <v>3770</v>
      </c>
      <c r="B1227" s="38" t="n">
        <v>46230</v>
      </c>
      <c r="C1227" s="11" t="s">
        <v>1496</v>
      </c>
      <c r="D1227" s="11" t="s">
        <v>1497</v>
      </c>
      <c r="E1227" s="11" t="s">
        <v>323</v>
      </c>
      <c r="F1227" s="11" t="s">
        <v>3771</v>
      </c>
      <c r="G1227" s="37" t="n">
        <v>5916</v>
      </c>
      <c r="H1227" s="37" t="n">
        <v>262458.86</v>
      </c>
    </row>
    <row r="1228" customFormat="false" ht="15" hidden="false" customHeight="false" outlineLevel="0" collapsed="false">
      <c r="A1228" s="11" t="s">
        <v>3772</v>
      </c>
      <c r="B1228" s="38" t="n">
        <v>46230</v>
      </c>
      <c r="C1228" s="11" t="s">
        <v>1496</v>
      </c>
      <c r="D1228" s="11" t="s">
        <v>1497</v>
      </c>
      <c r="E1228" s="11" t="s">
        <v>280</v>
      </c>
      <c r="F1228" s="11" t="s">
        <v>3773</v>
      </c>
      <c r="G1228" s="37" t="n">
        <v>5724</v>
      </c>
      <c r="H1228" s="37" t="n">
        <v>268182.86</v>
      </c>
    </row>
    <row r="1229" customFormat="false" ht="15" hidden="false" customHeight="false" outlineLevel="0" collapsed="false">
      <c r="A1229" s="11" t="s">
        <v>3774</v>
      </c>
      <c r="B1229" s="38" t="n">
        <v>46230</v>
      </c>
      <c r="C1229" s="11" t="s">
        <v>1496</v>
      </c>
      <c r="D1229" s="11" t="s">
        <v>1497</v>
      </c>
      <c r="E1229" s="11" t="s">
        <v>331</v>
      </c>
      <c r="F1229" s="11" t="s">
        <v>3775</v>
      </c>
      <c r="G1229" s="37" t="n">
        <v>9108</v>
      </c>
      <c r="H1229" s="37" t="n">
        <v>277290.86</v>
      </c>
    </row>
    <row r="1230" customFormat="false" ht="15" hidden="false" customHeight="false" outlineLevel="0" collapsed="false">
      <c r="A1230" s="11" t="s">
        <v>3776</v>
      </c>
      <c r="B1230" s="38" t="n">
        <v>46230</v>
      </c>
      <c r="C1230" s="11" t="s">
        <v>1496</v>
      </c>
      <c r="D1230" s="11" t="s">
        <v>1497</v>
      </c>
      <c r="E1230" s="11" t="s">
        <v>280</v>
      </c>
      <c r="F1230" s="11" t="s">
        <v>3777</v>
      </c>
      <c r="G1230" s="37" t="n">
        <v>9756</v>
      </c>
      <c r="H1230" s="37" t="n">
        <v>287046.86</v>
      </c>
    </row>
    <row r="1231" customFormat="false" ht="15" hidden="false" customHeight="false" outlineLevel="0" collapsed="false">
      <c r="A1231" s="11" t="s">
        <v>3778</v>
      </c>
      <c r="B1231" s="38" t="n">
        <v>46230</v>
      </c>
      <c r="C1231" s="11" t="s">
        <v>1496</v>
      </c>
      <c r="D1231" s="11" t="s">
        <v>1497</v>
      </c>
      <c r="E1231" s="11" t="s">
        <v>335</v>
      </c>
      <c r="F1231" s="11" t="s">
        <v>3779</v>
      </c>
      <c r="G1231" s="37" t="n">
        <v>6612</v>
      </c>
      <c r="H1231" s="37" t="n">
        <v>293658.86</v>
      </c>
    </row>
    <row r="1232" customFormat="false" ht="15" hidden="false" customHeight="false" outlineLevel="0" collapsed="false">
      <c r="A1232" s="11" t="s">
        <v>3780</v>
      </c>
      <c r="B1232" s="38" t="n">
        <v>46231</v>
      </c>
      <c r="C1232" s="11" t="s">
        <v>1496</v>
      </c>
      <c r="D1232" s="11" t="s">
        <v>1497</v>
      </c>
      <c r="E1232" s="11" t="s">
        <v>323</v>
      </c>
      <c r="F1232" s="11" t="s">
        <v>3781</v>
      </c>
      <c r="G1232" s="37" t="n">
        <v>9036</v>
      </c>
      <c r="H1232" s="37" t="n">
        <v>302694.86</v>
      </c>
    </row>
    <row r="1233" customFormat="false" ht="15" hidden="false" customHeight="false" outlineLevel="0" collapsed="false">
      <c r="A1233" s="11" t="s">
        <v>3782</v>
      </c>
      <c r="B1233" s="38" t="n">
        <v>46232</v>
      </c>
      <c r="C1233" s="11" t="s">
        <v>1496</v>
      </c>
      <c r="D1233" s="11" t="s">
        <v>1497</v>
      </c>
      <c r="E1233" s="11" t="s">
        <v>335</v>
      </c>
      <c r="F1233" s="11" t="s">
        <v>3783</v>
      </c>
      <c r="G1233" s="37" t="n">
        <v>5940</v>
      </c>
      <c r="H1233" s="37" t="n">
        <v>308634.86</v>
      </c>
    </row>
    <row r="1234" customFormat="false" ht="15" hidden="false" customHeight="false" outlineLevel="0" collapsed="false">
      <c r="A1234" s="11" t="s">
        <v>3784</v>
      </c>
      <c r="B1234" s="38" t="n">
        <v>46232</v>
      </c>
      <c r="C1234" s="11" t="s">
        <v>1496</v>
      </c>
      <c r="D1234" s="11" t="s">
        <v>1497</v>
      </c>
      <c r="E1234" s="11" t="s">
        <v>287</v>
      </c>
      <c r="F1234" s="11" t="s">
        <v>3785</v>
      </c>
      <c r="G1234" s="37" t="n">
        <v>6480</v>
      </c>
      <c r="H1234" s="37" t="n">
        <v>315114.86</v>
      </c>
    </row>
    <row r="1235" customFormat="false" ht="15" hidden="false" customHeight="false" outlineLevel="0" collapsed="false">
      <c r="A1235" s="11" t="s">
        <v>3786</v>
      </c>
      <c r="B1235" s="38" t="n">
        <v>46232</v>
      </c>
      <c r="C1235" s="11" t="s">
        <v>1500</v>
      </c>
      <c r="D1235" s="11" t="s">
        <v>291</v>
      </c>
      <c r="E1235" s="11" t="s">
        <v>292</v>
      </c>
      <c r="F1235" s="11"/>
      <c r="G1235" s="37" t="n">
        <v>-5501.92</v>
      </c>
      <c r="H1235" s="37" t="n">
        <v>309612.94</v>
      </c>
    </row>
    <row r="1236" customFormat="false" ht="15" hidden="false" customHeight="false" outlineLevel="0" collapsed="false">
      <c r="A1236" s="11" t="s">
        <v>3787</v>
      </c>
      <c r="B1236" s="38" t="n">
        <v>46233</v>
      </c>
      <c r="C1236" s="11" t="s">
        <v>1496</v>
      </c>
      <c r="D1236" s="11" t="s">
        <v>1497</v>
      </c>
      <c r="E1236" s="11" t="s">
        <v>335</v>
      </c>
      <c r="F1236" s="11" t="s">
        <v>3788</v>
      </c>
      <c r="G1236" s="37" t="n">
        <v>4740</v>
      </c>
      <c r="H1236" s="37" t="n">
        <v>314352.94</v>
      </c>
    </row>
    <row r="1237" customFormat="false" ht="15" hidden="false" customHeight="false" outlineLevel="0" collapsed="false">
      <c r="A1237" s="11" t="s">
        <v>3789</v>
      </c>
      <c r="B1237" s="38" t="n">
        <v>46233</v>
      </c>
      <c r="C1237" s="11" t="s">
        <v>1496</v>
      </c>
      <c r="D1237" s="11" t="s">
        <v>1497</v>
      </c>
      <c r="E1237" s="11" t="s">
        <v>287</v>
      </c>
      <c r="F1237" s="11" t="s">
        <v>3790</v>
      </c>
      <c r="G1237" s="37" t="n">
        <v>3276</v>
      </c>
      <c r="H1237" s="37" t="n">
        <v>317628.94</v>
      </c>
    </row>
    <row r="1238" customFormat="false" ht="15" hidden="false" customHeight="false" outlineLevel="0" collapsed="false">
      <c r="A1238" s="11" t="s">
        <v>3791</v>
      </c>
      <c r="B1238" s="38" t="n">
        <v>46233</v>
      </c>
      <c r="C1238" s="11" t="s">
        <v>1496</v>
      </c>
      <c r="D1238" s="11" t="s">
        <v>1497</v>
      </c>
      <c r="E1238" s="11" t="s">
        <v>331</v>
      </c>
      <c r="F1238" s="11" t="s">
        <v>3792</v>
      </c>
      <c r="G1238" s="37" t="n">
        <v>8532</v>
      </c>
      <c r="H1238" s="37" t="n">
        <v>326160.94</v>
      </c>
    </row>
    <row r="1239" customFormat="false" ht="15" hidden="false" customHeight="false" outlineLevel="0" collapsed="false">
      <c r="A1239" s="11" t="s">
        <v>3793</v>
      </c>
      <c r="B1239" s="38" t="n">
        <v>46233</v>
      </c>
      <c r="C1239" s="11" t="s">
        <v>1500</v>
      </c>
      <c r="D1239" s="11" t="s">
        <v>307</v>
      </c>
      <c r="E1239" s="11" t="s">
        <v>313</v>
      </c>
      <c r="F1239" s="11" t="s">
        <v>3794</v>
      </c>
      <c r="G1239" s="37" t="n">
        <v>-3027.71</v>
      </c>
      <c r="H1239" s="37" t="n">
        <v>323133.23</v>
      </c>
    </row>
    <row r="1240" customFormat="false" ht="15" hidden="false" customHeight="false" outlineLevel="0" collapsed="false">
      <c r="A1240" s="11" t="s">
        <v>3795</v>
      </c>
      <c r="B1240" s="38" t="n">
        <v>46233</v>
      </c>
      <c r="C1240" s="11" t="s">
        <v>1500</v>
      </c>
      <c r="D1240" s="11" t="s">
        <v>307</v>
      </c>
      <c r="E1240" s="11" t="s">
        <v>420</v>
      </c>
      <c r="F1240" s="11" t="s">
        <v>3796</v>
      </c>
      <c r="G1240" s="37" t="n">
        <v>-63746.61</v>
      </c>
      <c r="H1240" s="37" t="n">
        <v>259386.62</v>
      </c>
    </row>
    <row r="1241" customFormat="false" ht="15" hidden="false" customHeight="false" outlineLevel="0" collapsed="false">
      <c r="A1241" s="11" t="s">
        <v>3797</v>
      </c>
      <c r="B1241" s="38" t="n">
        <v>46233</v>
      </c>
      <c r="C1241" s="11" t="s">
        <v>1500</v>
      </c>
      <c r="D1241" s="11" t="s">
        <v>307</v>
      </c>
      <c r="E1241" s="11" t="s">
        <v>414</v>
      </c>
      <c r="F1241" s="11" t="s">
        <v>3798</v>
      </c>
      <c r="G1241" s="37" t="n">
        <v>-17608.33</v>
      </c>
      <c r="H1241" s="37" t="n">
        <v>241778.29</v>
      </c>
    </row>
    <row r="1242" customFormat="false" ht="15" hidden="false" customHeight="false" outlineLevel="0" collapsed="false">
      <c r="A1242" s="11" t="s">
        <v>3799</v>
      </c>
      <c r="B1242" s="38" t="n">
        <v>46233</v>
      </c>
      <c r="C1242" s="11" t="s">
        <v>1500</v>
      </c>
      <c r="D1242" s="11" t="s">
        <v>307</v>
      </c>
      <c r="E1242" s="11" t="s">
        <v>308</v>
      </c>
      <c r="F1242" s="11" t="s">
        <v>3800</v>
      </c>
      <c r="G1242" s="37" t="n">
        <v>-27680.02</v>
      </c>
      <c r="H1242" s="37" t="n">
        <v>214098.27</v>
      </c>
    </row>
    <row r="1243" customFormat="false" ht="15" hidden="false" customHeight="false" outlineLevel="0" collapsed="false">
      <c r="A1243" s="11" t="s">
        <v>3801</v>
      </c>
      <c r="B1243" s="38" t="n">
        <v>46233</v>
      </c>
      <c r="C1243" s="11" t="s">
        <v>1496</v>
      </c>
      <c r="D1243" s="11" t="s">
        <v>1497</v>
      </c>
      <c r="E1243" s="11" t="s">
        <v>331</v>
      </c>
      <c r="F1243" s="11" t="s">
        <v>3802</v>
      </c>
      <c r="G1243" s="37" t="n">
        <v>14940</v>
      </c>
      <c r="H1243" s="37" t="n">
        <v>229038.27</v>
      </c>
    </row>
    <row r="1244" customFormat="false" ht="15" hidden="false" customHeight="false" outlineLevel="0" collapsed="false">
      <c r="A1244" s="11" t="s">
        <v>3803</v>
      </c>
      <c r="B1244" s="38" t="n">
        <v>46234</v>
      </c>
      <c r="C1244" s="11" t="s">
        <v>1500</v>
      </c>
      <c r="D1244" s="11" t="s">
        <v>1634</v>
      </c>
      <c r="E1244" s="11" t="s">
        <v>425</v>
      </c>
      <c r="F1244" s="11"/>
      <c r="G1244" s="37" t="n">
        <v>-106000</v>
      </c>
      <c r="H1244" s="37" t="n">
        <v>123038.27</v>
      </c>
    </row>
    <row r="1245" customFormat="false" ht="15" hidden="false" customHeight="false" outlineLevel="0" collapsed="false">
      <c r="A1245" s="11" t="s">
        <v>3804</v>
      </c>
      <c r="B1245" s="38" t="n">
        <v>46234</v>
      </c>
      <c r="C1245" s="11" t="s">
        <v>1496</v>
      </c>
      <c r="D1245" s="11" t="s">
        <v>1497</v>
      </c>
      <c r="E1245" s="11" t="s">
        <v>327</v>
      </c>
      <c r="F1245" s="11" t="s">
        <v>3805</v>
      </c>
      <c r="G1245" s="37" t="n">
        <v>24828</v>
      </c>
      <c r="H1245" s="37" t="n">
        <v>147866.27</v>
      </c>
    </row>
    <row r="1246" customFormat="false" ht="15" hidden="false" customHeight="false" outlineLevel="0" collapsed="false">
      <c r="A1246" s="11" t="s">
        <v>3806</v>
      </c>
      <c r="B1246" s="38" t="n">
        <v>46237</v>
      </c>
      <c r="C1246" s="11" t="s">
        <v>1496</v>
      </c>
      <c r="D1246" s="11" t="s">
        <v>1497</v>
      </c>
      <c r="E1246" s="11" t="s">
        <v>335</v>
      </c>
      <c r="F1246" s="11" t="s">
        <v>3807</v>
      </c>
      <c r="G1246" s="37" t="n">
        <v>13728</v>
      </c>
      <c r="H1246" s="37" t="n">
        <v>161594.27</v>
      </c>
    </row>
    <row r="1247" customFormat="false" ht="15" hidden="false" customHeight="false" outlineLevel="0" collapsed="false">
      <c r="A1247" s="11" t="s">
        <v>3808</v>
      </c>
      <c r="B1247" s="38" t="n">
        <v>46237</v>
      </c>
      <c r="C1247" s="11" t="s">
        <v>1496</v>
      </c>
      <c r="D1247" s="11" t="s">
        <v>1497</v>
      </c>
      <c r="E1247" s="11" t="s">
        <v>349</v>
      </c>
      <c r="F1247" s="11" t="s">
        <v>3809</v>
      </c>
      <c r="G1247" s="37" t="n">
        <v>14664</v>
      </c>
      <c r="H1247" s="37" t="n">
        <v>176258.27</v>
      </c>
    </row>
    <row r="1248" customFormat="false" ht="15" hidden="false" customHeight="false" outlineLevel="0" collapsed="false">
      <c r="A1248" s="11" t="s">
        <v>3810</v>
      </c>
      <c r="B1248" s="38" t="n">
        <v>46237</v>
      </c>
      <c r="C1248" s="11" t="s">
        <v>1496</v>
      </c>
      <c r="D1248" s="11" t="s">
        <v>1497</v>
      </c>
      <c r="E1248" s="11" t="s">
        <v>287</v>
      </c>
      <c r="F1248" s="11" t="s">
        <v>3811</v>
      </c>
      <c r="G1248" s="37" t="n">
        <v>3768</v>
      </c>
      <c r="H1248" s="37" t="n">
        <v>180026.27</v>
      </c>
    </row>
    <row r="1249" customFormat="false" ht="15" hidden="false" customHeight="false" outlineLevel="0" collapsed="false">
      <c r="A1249" s="11" t="s">
        <v>3812</v>
      </c>
      <c r="B1249" s="38" t="n">
        <v>46237</v>
      </c>
      <c r="C1249" s="11" t="s">
        <v>1496</v>
      </c>
      <c r="D1249" s="11" t="s">
        <v>1497</v>
      </c>
      <c r="E1249" s="11" t="s">
        <v>335</v>
      </c>
      <c r="F1249" s="11" t="s">
        <v>3813</v>
      </c>
      <c r="G1249" s="37" t="n">
        <v>7488</v>
      </c>
      <c r="H1249" s="37" t="n">
        <v>187514.27</v>
      </c>
    </row>
    <row r="1250" customFormat="false" ht="15" hidden="false" customHeight="false" outlineLevel="0" collapsed="false">
      <c r="A1250" s="11" t="s">
        <v>3814</v>
      </c>
      <c r="B1250" s="38" t="n">
        <v>46237</v>
      </c>
      <c r="C1250" s="11" t="s">
        <v>1500</v>
      </c>
      <c r="D1250" s="11" t="s">
        <v>448</v>
      </c>
      <c r="E1250" s="11" t="s">
        <v>449</v>
      </c>
      <c r="F1250" s="11"/>
      <c r="G1250" s="37" t="n">
        <v>-2880</v>
      </c>
      <c r="H1250" s="37" t="n">
        <v>184634.27</v>
      </c>
    </row>
    <row r="1251" customFormat="false" ht="15" hidden="false" customHeight="false" outlineLevel="0" collapsed="false">
      <c r="A1251" s="11" t="s">
        <v>3815</v>
      </c>
      <c r="B1251" s="38" t="n">
        <v>46237</v>
      </c>
      <c r="C1251" s="11" t="s">
        <v>1496</v>
      </c>
      <c r="D1251" s="11" t="s">
        <v>1497</v>
      </c>
      <c r="E1251" s="11" t="s">
        <v>335</v>
      </c>
      <c r="F1251" s="11" t="s">
        <v>3816</v>
      </c>
      <c r="G1251" s="37" t="n">
        <v>5676</v>
      </c>
      <c r="H1251" s="37" t="n">
        <v>190310.27</v>
      </c>
    </row>
    <row r="1252" customFormat="false" ht="15" hidden="false" customHeight="false" outlineLevel="0" collapsed="false">
      <c r="A1252" s="11" t="s">
        <v>3817</v>
      </c>
      <c r="B1252" s="38" t="n">
        <v>46237</v>
      </c>
      <c r="C1252" s="11" t="s">
        <v>1496</v>
      </c>
      <c r="D1252" s="11" t="s">
        <v>1497</v>
      </c>
      <c r="E1252" s="11" t="s">
        <v>280</v>
      </c>
      <c r="F1252" s="11" t="s">
        <v>3818</v>
      </c>
      <c r="G1252" s="37" t="n">
        <v>14676</v>
      </c>
      <c r="H1252" s="37" t="n">
        <v>204986.27</v>
      </c>
    </row>
    <row r="1253" customFormat="false" ht="15" hidden="false" customHeight="false" outlineLevel="0" collapsed="false">
      <c r="A1253" s="11" t="s">
        <v>3819</v>
      </c>
      <c r="B1253" s="38" t="n">
        <v>46237</v>
      </c>
      <c r="C1253" s="11" t="s">
        <v>1496</v>
      </c>
      <c r="D1253" s="11" t="s">
        <v>1497</v>
      </c>
      <c r="E1253" s="11" t="s">
        <v>287</v>
      </c>
      <c r="F1253" s="11" t="s">
        <v>3820</v>
      </c>
      <c r="G1253" s="37" t="n">
        <v>3132</v>
      </c>
      <c r="H1253" s="37" t="n">
        <v>208118.27</v>
      </c>
    </row>
    <row r="1254" customFormat="false" ht="15" hidden="false" customHeight="false" outlineLevel="0" collapsed="false">
      <c r="A1254" s="11" t="s">
        <v>3821</v>
      </c>
      <c r="B1254" s="38" t="n">
        <v>46237</v>
      </c>
      <c r="C1254" s="11" t="s">
        <v>1496</v>
      </c>
      <c r="D1254" s="11" t="s">
        <v>1497</v>
      </c>
      <c r="E1254" s="11" t="s">
        <v>399</v>
      </c>
      <c r="F1254" s="11" t="s">
        <v>3822</v>
      </c>
      <c r="G1254" s="37" t="n">
        <v>15192</v>
      </c>
      <c r="H1254" s="37" t="n">
        <v>223310.27</v>
      </c>
    </row>
    <row r="1255" customFormat="false" ht="15" hidden="false" customHeight="false" outlineLevel="0" collapsed="false">
      <c r="A1255" s="11" t="s">
        <v>3823</v>
      </c>
      <c r="B1255" s="38" t="n">
        <v>46237</v>
      </c>
      <c r="C1255" s="11" t="s">
        <v>1496</v>
      </c>
      <c r="D1255" s="11" t="s">
        <v>1497</v>
      </c>
      <c r="E1255" s="11" t="s">
        <v>327</v>
      </c>
      <c r="F1255" s="11" t="s">
        <v>3824</v>
      </c>
      <c r="G1255" s="37" t="n">
        <v>17076</v>
      </c>
      <c r="H1255" s="37" t="n">
        <v>240386.27</v>
      </c>
    </row>
    <row r="1256" customFormat="false" ht="15" hidden="false" customHeight="false" outlineLevel="0" collapsed="false">
      <c r="A1256" s="11" t="s">
        <v>3825</v>
      </c>
      <c r="B1256" s="38" t="n">
        <v>46237</v>
      </c>
      <c r="C1256" s="11" t="s">
        <v>1496</v>
      </c>
      <c r="D1256" s="11" t="s">
        <v>1497</v>
      </c>
      <c r="E1256" s="11" t="s">
        <v>280</v>
      </c>
      <c r="F1256" s="11" t="s">
        <v>3826</v>
      </c>
      <c r="G1256" s="37" t="n">
        <v>12276</v>
      </c>
      <c r="H1256" s="37" t="n">
        <v>252662.27</v>
      </c>
    </row>
    <row r="1257" customFormat="false" ht="15" hidden="false" customHeight="false" outlineLevel="0" collapsed="false">
      <c r="A1257" s="11" t="s">
        <v>3827</v>
      </c>
      <c r="B1257" s="38" t="n">
        <v>46237</v>
      </c>
      <c r="C1257" s="11" t="s">
        <v>1496</v>
      </c>
      <c r="D1257" s="11" t="s">
        <v>1497</v>
      </c>
      <c r="E1257" s="11" t="s">
        <v>323</v>
      </c>
      <c r="F1257" s="11" t="s">
        <v>3828</v>
      </c>
      <c r="G1257" s="37" t="n">
        <v>5940</v>
      </c>
      <c r="H1257" s="37" t="n">
        <v>258602.27</v>
      </c>
    </row>
    <row r="1258" customFormat="false" ht="15" hidden="false" customHeight="false" outlineLevel="0" collapsed="false">
      <c r="A1258" s="11" t="s">
        <v>3829</v>
      </c>
      <c r="B1258" s="38" t="n">
        <v>46238</v>
      </c>
      <c r="C1258" s="11" t="s">
        <v>1496</v>
      </c>
      <c r="D1258" s="11" t="s">
        <v>1497</v>
      </c>
      <c r="E1258" s="11" t="s">
        <v>349</v>
      </c>
      <c r="F1258" s="11" t="s">
        <v>3830</v>
      </c>
      <c r="G1258" s="37" t="n">
        <v>31272</v>
      </c>
      <c r="H1258" s="37" t="n">
        <v>289874.27</v>
      </c>
    </row>
    <row r="1259" customFormat="false" ht="15" hidden="false" customHeight="false" outlineLevel="0" collapsed="false">
      <c r="A1259" s="11" t="s">
        <v>3831</v>
      </c>
      <c r="B1259" s="38" t="n">
        <v>46238</v>
      </c>
      <c r="C1259" s="11" t="s">
        <v>1496</v>
      </c>
      <c r="D1259" s="11" t="s">
        <v>1497</v>
      </c>
      <c r="E1259" s="11" t="s">
        <v>323</v>
      </c>
      <c r="F1259" s="11" t="s">
        <v>3832</v>
      </c>
      <c r="G1259" s="37" t="n">
        <v>6192</v>
      </c>
      <c r="H1259" s="37" t="n">
        <v>296066.27</v>
      </c>
    </row>
    <row r="1260" customFormat="false" ht="15" hidden="false" customHeight="false" outlineLevel="0" collapsed="false">
      <c r="A1260" s="11" t="s">
        <v>3833</v>
      </c>
      <c r="B1260" s="38" t="n">
        <v>46239</v>
      </c>
      <c r="C1260" s="11" t="s">
        <v>1500</v>
      </c>
      <c r="D1260" s="11" t="s">
        <v>291</v>
      </c>
      <c r="E1260" s="11" t="s">
        <v>292</v>
      </c>
      <c r="F1260" s="11"/>
      <c r="G1260" s="37" t="n">
        <v>-1334.38</v>
      </c>
      <c r="H1260" s="37" t="n">
        <v>294731.89</v>
      </c>
    </row>
    <row r="1261" customFormat="false" ht="15" hidden="false" customHeight="false" outlineLevel="0" collapsed="false">
      <c r="A1261" s="11" t="s">
        <v>3834</v>
      </c>
      <c r="B1261" s="38" t="n">
        <v>46239</v>
      </c>
      <c r="C1261" s="11" t="s">
        <v>1496</v>
      </c>
      <c r="D1261" s="11" t="s">
        <v>1497</v>
      </c>
      <c r="E1261" s="11" t="s">
        <v>335</v>
      </c>
      <c r="F1261" s="11" t="s">
        <v>3835</v>
      </c>
      <c r="G1261" s="37" t="n">
        <v>4764</v>
      </c>
      <c r="H1261" s="37" t="n">
        <v>299495.89</v>
      </c>
    </row>
    <row r="1262" customFormat="false" ht="15" hidden="false" customHeight="false" outlineLevel="0" collapsed="false">
      <c r="A1262" s="11" t="s">
        <v>3836</v>
      </c>
      <c r="B1262" s="38" t="n">
        <v>46239</v>
      </c>
      <c r="C1262" s="11" t="s">
        <v>1500</v>
      </c>
      <c r="D1262" s="11" t="s">
        <v>469</v>
      </c>
      <c r="E1262" s="11" t="s">
        <v>470</v>
      </c>
      <c r="F1262" s="11"/>
      <c r="G1262" s="37" t="n">
        <v>-8900</v>
      </c>
      <c r="H1262" s="37" t="n">
        <v>290595.89</v>
      </c>
    </row>
    <row r="1263" customFormat="false" ht="15" hidden="false" customHeight="false" outlineLevel="0" collapsed="false">
      <c r="A1263" s="11" t="s">
        <v>3837</v>
      </c>
      <c r="B1263" s="38" t="n">
        <v>46240</v>
      </c>
      <c r="C1263" s="11" t="s">
        <v>1500</v>
      </c>
      <c r="D1263" s="11" t="s">
        <v>307</v>
      </c>
      <c r="E1263" s="11" t="s">
        <v>313</v>
      </c>
      <c r="F1263" s="11" t="s">
        <v>3838</v>
      </c>
      <c r="G1263" s="37" t="n">
        <v>-3144.67</v>
      </c>
      <c r="H1263" s="37" t="n">
        <v>287451.22</v>
      </c>
    </row>
    <row r="1264" customFormat="false" ht="15" hidden="false" customHeight="false" outlineLevel="0" collapsed="false">
      <c r="A1264" s="11" t="s">
        <v>3839</v>
      </c>
      <c r="B1264" s="38" t="n">
        <v>46240</v>
      </c>
      <c r="C1264" s="11" t="s">
        <v>1500</v>
      </c>
      <c r="D1264" s="11" t="s">
        <v>307</v>
      </c>
      <c r="E1264" s="11" t="s">
        <v>458</v>
      </c>
      <c r="F1264" s="11" t="s">
        <v>3840</v>
      </c>
      <c r="G1264" s="37" t="n">
        <v>-29622.67</v>
      </c>
      <c r="H1264" s="37" t="n">
        <v>257828.55</v>
      </c>
    </row>
    <row r="1265" customFormat="false" ht="15" hidden="false" customHeight="false" outlineLevel="0" collapsed="false">
      <c r="A1265" s="11" t="s">
        <v>3841</v>
      </c>
      <c r="B1265" s="38" t="n">
        <v>46240</v>
      </c>
      <c r="C1265" s="11" t="s">
        <v>1500</v>
      </c>
      <c r="D1265" s="11" t="s">
        <v>307</v>
      </c>
      <c r="E1265" s="11" t="s">
        <v>464</v>
      </c>
      <c r="F1265" s="11" t="s">
        <v>3842</v>
      </c>
      <c r="G1265" s="37" t="n">
        <v>-6752.32</v>
      </c>
      <c r="H1265" s="37" t="n">
        <v>251076.23</v>
      </c>
    </row>
    <row r="1266" customFormat="false" ht="15" hidden="false" customHeight="false" outlineLevel="0" collapsed="false">
      <c r="A1266" s="11" t="s">
        <v>3843</v>
      </c>
      <c r="B1266" s="38" t="n">
        <v>46240</v>
      </c>
      <c r="C1266" s="11" t="s">
        <v>1496</v>
      </c>
      <c r="D1266" s="11" t="s">
        <v>1497</v>
      </c>
      <c r="E1266" s="11" t="s">
        <v>335</v>
      </c>
      <c r="F1266" s="11" t="s">
        <v>3844</v>
      </c>
      <c r="G1266" s="37" t="n">
        <v>4812</v>
      </c>
      <c r="H1266" s="37" t="n">
        <v>255888.23</v>
      </c>
    </row>
    <row r="1267" customFormat="false" ht="15" hidden="false" customHeight="false" outlineLevel="0" collapsed="false">
      <c r="A1267" s="11" t="s">
        <v>3845</v>
      </c>
      <c r="B1267" s="38" t="n">
        <v>46240</v>
      </c>
      <c r="C1267" s="11" t="s">
        <v>1496</v>
      </c>
      <c r="D1267" s="11" t="s">
        <v>1497</v>
      </c>
      <c r="E1267" s="11" t="s">
        <v>280</v>
      </c>
      <c r="F1267" s="11" t="s">
        <v>3846</v>
      </c>
      <c r="G1267" s="37" t="n">
        <v>8412</v>
      </c>
      <c r="H1267" s="37" t="n">
        <v>264300.23</v>
      </c>
    </row>
    <row r="1268" customFormat="false" ht="15" hidden="false" customHeight="false" outlineLevel="0" collapsed="false">
      <c r="A1268" s="11" t="s">
        <v>3847</v>
      </c>
      <c r="B1268" s="38" t="n">
        <v>46244</v>
      </c>
      <c r="C1268" s="11" t="s">
        <v>1496</v>
      </c>
      <c r="D1268" s="11" t="s">
        <v>1497</v>
      </c>
      <c r="E1268" s="11" t="s">
        <v>349</v>
      </c>
      <c r="F1268" s="11" t="s">
        <v>3848</v>
      </c>
      <c r="G1268" s="37" t="n">
        <v>22440</v>
      </c>
      <c r="H1268" s="37" t="n">
        <v>286740.23</v>
      </c>
    </row>
    <row r="1269" customFormat="false" ht="15" hidden="false" customHeight="false" outlineLevel="0" collapsed="false">
      <c r="A1269" s="11" t="s">
        <v>3849</v>
      </c>
      <c r="B1269" s="38" t="n">
        <v>46244</v>
      </c>
      <c r="C1269" s="11" t="s">
        <v>1500</v>
      </c>
      <c r="D1269" s="11" t="s">
        <v>480</v>
      </c>
      <c r="E1269" s="11" t="s">
        <v>481</v>
      </c>
      <c r="F1269" s="11"/>
      <c r="G1269" s="37" t="n">
        <v>-9840</v>
      </c>
      <c r="H1269" s="37" t="n">
        <v>276900.23</v>
      </c>
    </row>
    <row r="1270" customFormat="false" ht="15" hidden="false" customHeight="false" outlineLevel="0" collapsed="false">
      <c r="A1270" s="11" t="s">
        <v>3850</v>
      </c>
      <c r="B1270" s="38" t="n">
        <v>46244</v>
      </c>
      <c r="C1270" s="11" t="s">
        <v>1496</v>
      </c>
      <c r="D1270" s="11" t="s">
        <v>1497</v>
      </c>
      <c r="E1270" s="11" t="s">
        <v>280</v>
      </c>
      <c r="F1270" s="11" t="s">
        <v>3851</v>
      </c>
      <c r="G1270" s="37" t="n">
        <v>7908</v>
      </c>
      <c r="H1270" s="37" t="n">
        <v>284808.23</v>
      </c>
    </row>
    <row r="1271" customFormat="false" ht="15" hidden="false" customHeight="false" outlineLevel="0" collapsed="false">
      <c r="A1271" s="11" t="s">
        <v>3852</v>
      </c>
      <c r="B1271" s="38" t="n">
        <v>46244</v>
      </c>
      <c r="C1271" s="11" t="s">
        <v>1496</v>
      </c>
      <c r="D1271" s="11" t="s">
        <v>1497</v>
      </c>
      <c r="E1271" s="11" t="s">
        <v>331</v>
      </c>
      <c r="F1271" s="11" t="s">
        <v>3853</v>
      </c>
      <c r="G1271" s="37" t="n">
        <v>14472</v>
      </c>
      <c r="H1271" s="37" t="n">
        <v>299280.23</v>
      </c>
    </row>
    <row r="1272" customFormat="false" ht="15" hidden="false" customHeight="false" outlineLevel="0" collapsed="false">
      <c r="A1272" s="11" t="s">
        <v>3854</v>
      </c>
      <c r="B1272" s="38" t="n">
        <v>46244</v>
      </c>
      <c r="C1272" s="11" t="s">
        <v>1496</v>
      </c>
      <c r="D1272" s="11" t="s">
        <v>1497</v>
      </c>
      <c r="E1272" s="11" t="s">
        <v>327</v>
      </c>
      <c r="F1272" s="11" t="s">
        <v>3855</v>
      </c>
      <c r="G1272" s="37" t="n">
        <v>14628</v>
      </c>
      <c r="H1272" s="37" t="n">
        <v>313908.23</v>
      </c>
    </row>
    <row r="1273" customFormat="false" ht="15" hidden="false" customHeight="false" outlineLevel="0" collapsed="false">
      <c r="A1273" s="11" t="s">
        <v>3856</v>
      </c>
      <c r="B1273" s="38" t="n">
        <v>46244</v>
      </c>
      <c r="C1273" s="11" t="s">
        <v>1496</v>
      </c>
      <c r="D1273" s="11" t="s">
        <v>1497</v>
      </c>
      <c r="E1273" s="11" t="s">
        <v>280</v>
      </c>
      <c r="F1273" s="11" t="s">
        <v>3857</v>
      </c>
      <c r="G1273" s="37" t="n">
        <v>9636</v>
      </c>
      <c r="H1273" s="37" t="n">
        <v>323544.23</v>
      </c>
    </row>
    <row r="1274" customFormat="false" ht="15" hidden="false" customHeight="false" outlineLevel="0" collapsed="false">
      <c r="A1274" s="11" t="s">
        <v>3858</v>
      </c>
      <c r="B1274" s="38" t="n">
        <v>46244</v>
      </c>
      <c r="C1274" s="11" t="s">
        <v>1500</v>
      </c>
      <c r="D1274" s="11" t="s">
        <v>272</v>
      </c>
      <c r="E1274" s="11" t="s">
        <v>273</v>
      </c>
      <c r="F1274" s="11"/>
      <c r="G1274" s="37" t="n">
        <v>-3840</v>
      </c>
      <c r="H1274" s="37" t="n">
        <v>319704.23</v>
      </c>
    </row>
    <row r="1275" customFormat="false" ht="15" hidden="false" customHeight="false" outlineLevel="0" collapsed="false">
      <c r="A1275" s="11" t="s">
        <v>3859</v>
      </c>
      <c r="B1275" s="38" t="n">
        <v>46244</v>
      </c>
      <c r="C1275" s="11" t="s">
        <v>1496</v>
      </c>
      <c r="D1275" s="11" t="s">
        <v>1497</v>
      </c>
      <c r="E1275" s="11" t="s">
        <v>327</v>
      </c>
      <c r="F1275" s="11" t="s">
        <v>3860</v>
      </c>
      <c r="G1275" s="37" t="n">
        <v>34752</v>
      </c>
      <c r="H1275" s="37" t="n">
        <v>354456.23</v>
      </c>
    </row>
    <row r="1276" customFormat="false" ht="15" hidden="false" customHeight="false" outlineLevel="0" collapsed="false">
      <c r="A1276" s="11" t="s">
        <v>3861</v>
      </c>
      <c r="B1276" s="38" t="n">
        <v>46244</v>
      </c>
      <c r="C1276" s="11" t="s">
        <v>1496</v>
      </c>
      <c r="D1276" s="11" t="s">
        <v>1497</v>
      </c>
      <c r="E1276" s="11" t="s">
        <v>327</v>
      </c>
      <c r="F1276" s="11" t="s">
        <v>3862</v>
      </c>
      <c r="G1276" s="37" t="n">
        <v>18960</v>
      </c>
      <c r="H1276" s="37" t="n">
        <v>373416.23</v>
      </c>
    </row>
    <row r="1277" customFormat="false" ht="15" hidden="false" customHeight="false" outlineLevel="0" collapsed="false">
      <c r="A1277" s="11" t="s">
        <v>3863</v>
      </c>
      <c r="B1277" s="38" t="n">
        <v>46245</v>
      </c>
      <c r="C1277" s="11" t="s">
        <v>1496</v>
      </c>
      <c r="D1277" s="11" t="s">
        <v>1497</v>
      </c>
      <c r="E1277" s="11" t="s">
        <v>331</v>
      </c>
      <c r="F1277" s="11" t="s">
        <v>3864</v>
      </c>
      <c r="G1277" s="37" t="n">
        <v>6480</v>
      </c>
      <c r="H1277" s="37" t="n">
        <v>379896.23</v>
      </c>
    </row>
    <row r="1278" customFormat="false" ht="15" hidden="false" customHeight="false" outlineLevel="0" collapsed="false">
      <c r="A1278" s="11" t="s">
        <v>3865</v>
      </c>
      <c r="B1278" s="38" t="n">
        <v>46246</v>
      </c>
      <c r="C1278" s="11" t="s">
        <v>1500</v>
      </c>
      <c r="D1278" s="11" t="s">
        <v>291</v>
      </c>
      <c r="E1278" s="11" t="s">
        <v>292</v>
      </c>
      <c r="F1278" s="11"/>
      <c r="G1278" s="37" t="n">
        <v>-1703.6</v>
      </c>
      <c r="H1278" s="37" t="n">
        <v>378192.63</v>
      </c>
    </row>
    <row r="1279" customFormat="false" ht="15" hidden="false" customHeight="false" outlineLevel="0" collapsed="false">
      <c r="A1279" s="11" t="s">
        <v>3866</v>
      </c>
      <c r="B1279" s="38" t="n">
        <v>46247</v>
      </c>
      <c r="C1279" s="11" t="s">
        <v>1500</v>
      </c>
      <c r="D1279" s="11" t="s">
        <v>307</v>
      </c>
      <c r="E1279" s="11" t="s">
        <v>308</v>
      </c>
      <c r="F1279" s="11" t="s">
        <v>3867</v>
      </c>
      <c r="G1279" s="37" t="n">
        <v>-18085.93</v>
      </c>
      <c r="H1279" s="37" t="n">
        <v>360106.7</v>
      </c>
    </row>
    <row r="1280" customFormat="false" ht="15" hidden="false" customHeight="false" outlineLevel="0" collapsed="false">
      <c r="A1280" s="11" t="s">
        <v>3868</v>
      </c>
      <c r="B1280" s="38" t="n">
        <v>46247</v>
      </c>
      <c r="C1280" s="11" t="s">
        <v>1496</v>
      </c>
      <c r="D1280" s="11" t="s">
        <v>1497</v>
      </c>
      <c r="E1280" s="11" t="s">
        <v>597</v>
      </c>
      <c r="F1280" s="11" t="s">
        <v>3869</v>
      </c>
      <c r="G1280" s="37" t="n">
        <v>172800</v>
      </c>
      <c r="H1280" s="37" t="n">
        <v>532906.7</v>
      </c>
    </row>
    <row r="1281" customFormat="false" ht="15" hidden="false" customHeight="false" outlineLevel="0" collapsed="false">
      <c r="A1281" s="11" t="s">
        <v>3870</v>
      </c>
      <c r="B1281" s="38" t="n">
        <v>46247</v>
      </c>
      <c r="C1281" s="11" t="s">
        <v>1500</v>
      </c>
      <c r="D1281" s="11" t="s">
        <v>307</v>
      </c>
      <c r="E1281" s="11" t="s">
        <v>313</v>
      </c>
      <c r="F1281" s="11" t="s">
        <v>3871</v>
      </c>
      <c r="G1281" s="37" t="n">
        <v>-2704.34</v>
      </c>
      <c r="H1281" s="37" t="n">
        <v>530202.36</v>
      </c>
    </row>
    <row r="1282" customFormat="false" ht="15" hidden="false" customHeight="false" outlineLevel="0" collapsed="false">
      <c r="A1282" s="11" t="s">
        <v>3872</v>
      </c>
      <c r="B1282" s="38" t="n">
        <v>46247</v>
      </c>
      <c r="C1282" s="11" t="s">
        <v>1496</v>
      </c>
      <c r="D1282" s="11" t="s">
        <v>1497</v>
      </c>
      <c r="E1282" s="11" t="s">
        <v>280</v>
      </c>
      <c r="F1282" s="11" t="s">
        <v>3873</v>
      </c>
      <c r="G1282" s="37" t="n">
        <v>5424</v>
      </c>
      <c r="H1282" s="37" t="n">
        <v>535626.36</v>
      </c>
    </row>
    <row r="1283" customFormat="false" ht="15" hidden="false" customHeight="false" outlineLevel="0" collapsed="false">
      <c r="A1283" s="11" t="s">
        <v>3874</v>
      </c>
      <c r="B1283" s="38" t="n">
        <v>46247</v>
      </c>
      <c r="C1283" s="11" t="s">
        <v>1496</v>
      </c>
      <c r="D1283" s="11" t="s">
        <v>1497</v>
      </c>
      <c r="E1283" s="11" t="s">
        <v>280</v>
      </c>
      <c r="F1283" s="11" t="s">
        <v>3875</v>
      </c>
      <c r="G1283" s="37" t="n">
        <v>4980</v>
      </c>
      <c r="H1283" s="37" t="n">
        <v>540606.36</v>
      </c>
    </row>
    <row r="1284" customFormat="false" ht="15" hidden="false" customHeight="false" outlineLevel="0" collapsed="false">
      <c r="A1284" s="11" t="s">
        <v>3876</v>
      </c>
      <c r="B1284" s="38" t="n">
        <v>46248</v>
      </c>
      <c r="C1284" s="11" t="s">
        <v>1496</v>
      </c>
      <c r="D1284" s="11" t="s">
        <v>1497</v>
      </c>
      <c r="E1284" s="11" t="s">
        <v>280</v>
      </c>
      <c r="F1284" s="11" t="s">
        <v>3877</v>
      </c>
      <c r="G1284" s="37" t="n">
        <v>4764</v>
      </c>
      <c r="H1284" s="37" t="n">
        <v>545370.36</v>
      </c>
    </row>
    <row r="1285" customFormat="false" ht="15" hidden="false" customHeight="false" outlineLevel="0" collapsed="false">
      <c r="A1285" s="11" t="s">
        <v>3878</v>
      </c>
      <c r="B1285" s="38" t="n">
        <v>46251</v>
      </c>
      <c r="C1285" s="11" t="s">
        <v>1496</v>
      </c>
      <c r="D1285" s="11" t="s">
        <v>1497</v>
      </c>
      <c r="E1285" s="11" t="s">
        <v>392</v>
      </c>
      <c r="F1285" s="11" t="s">
        <v>3879</v>
      </c>
      <c r="G1285" s="37" t="n">
        <v>11700</v>
      </c>
      <c r="H1285" s="37" t="n">
        <v>557070.36</v>
      </c>
    </row>
    <row r="1286" customFormat="false" ht="15" hidden="false" customHeight="false" outlineLevel="0" collapsed="false">
      <c r="A1286" s="11" t="s">
        <v>3880</v>
      </c>
      <c r="B1286" s="38" t="n">
        <v>46251</v>
      </c>
      <c r="C1286" s="11" t="s">
        <v>1496</v>
      </c>
      <c r="D1286" s="11" t="s">
        <v>1497</v>
      </c>
      <c r="E1286" s="11" t="s">
        <v>280</v>
      </c>
      <c r="F1286" s="11" t="s">
        <v>3881</v>
      </c>
      <c r="G1286" s="37" t="n">
        <v>8340</v>
      </c>
      <c r="H1286" s="37" t="n">
        <v>565410.36</v>
      </c>
    </row>
    <row r="1287" customFormat="false" ht="15" hidden="false" customHeight="false" outlineLevel="0" collapsed="false">
      <c r="A1287" s="11" t="s">
        <v>3882</v>
      </c>
      <c r="B1287" s="38" t="n">
        <v>46251</v>
      </c>
      <c r="C1287" s="11" t="s">
        <v>1500</v>
      </c>
      <c r="D1287" s="11" t="s">
        <v>317</v>
      </c>
      <c r="E1287" s="11" t="s">
        <v>318</v>
      </c>
      <c r="F1287" s="11"/>
      <c r="G1287" s="37" t="n">
        <v>-86000</v>
      </c>
      <c r="H1287" s="37" t="n">
        <v>479410.36</v>
      </c>
    </row>
    <row r="1288" customFormat="false" ht="15" hidden="false" customHeight="false" outlineLevel="0" collapsed="false">
      <c r="A1288" s="11" t="s">
        <v>3883</v>
      </c>
      <c r="B1288" s="38" t="n">
        <v>46251</v>
      </c>
      <c r="C1288" s="11" t="s">
        <v>1496</v>
      </c>
      <c r="D1288" s="11" t="s">
        <v>1497</v>
      </c>
      <c r="E1288" s="11" t="s">
        <v>335</v>
      </c>
      <c r="F1288" s="11" t="s">
        <v>3884</v>
      </c>
      <c r="G1288" s="37" t="n">
        <v>2124</v>
      </c>
      <c r="H1288" s="37" t="n">
        <v>481534.36</v>
      </c>
    </row>
    <row r="1289" customFormat="false" ht="15" hidden="false" customHeight="false" outlineLevel="0" collapsed="false">
      <c r="A1289" s="11" t="s">
        <v>3885</v>
      </c>
      <c r="B1289" s="38" t="n">
        <v>46253</v>
      </c>
      <c r="C1289" s="11" t="s">
        <v>1500</v>
      </c>
      <c r="D1289" s="11" t="s">
        <v>291</v>
      </c>
      <c r="E1289" s="11" t="s">
        <v>292</v>
      </c>
      <c r="F1289" s="11"/>
      <c r="G1289" s="37" t="n">
        <v>-2165.69</v>
      </c>
      <c r="H1289" s="37" t="n">
        <v>479368.67</v>
      </c>
    </row>
    <row r="1290" customFormat="false" ht="15" hidden="false" customHeight="false" outlineLevel="0" collapsed="false">
      <c r="A1290" s="11" t="s">
        <v>3886</v>
      </c>
      <c r="B1290" s="38" t="n">
        <v>46253</v>
      </c>
      <c r="C1290" s="11" t="s">
        <v>1496</v>
      </c>
      <c r="D1290" s="11" t="s">
        <v>1497</v>
      </c>
      <c r="E1290" s="11" t="s">
        <v>392</v>
      </c>
      <c r="F1290" s="11" t="s">
        <v>3887</v>
      </c>
      <c r="G1290" s="37" t="n">
        <v>5760</v>
      </c>
      <c r="H1290" s="37" t="n">
        <v>485128.67</v>
      </c>
    </row>
    <row r="1291" customFormat="false" ht="15" hidden="false" customHeight="false" outlineLevel="0" collapsed="false">
      <c r="A1291" s="11" t="s">
        <v>3888</v>
      </c>
      <c r="B1291" s="38" t="n">
        <v>46254</v>
      </c>
      <c r="C1291" s="11" t="s">
        <v>1500</v>
      </c>
      <c r="D1291" s="11" t="s">
        <v>307</v>
      </c>
      <c r="E1291" s="11" t="s">
        <v>308</v>
      </c>
      <c r="F1291" s="11" t="s">
        <v>3889</v>
      </c>
      <c r="G1291" s="37" t="n">
        <v>-34800</v>
      </c>
      <c r="H1291" s="37" t="n">
        <v>450328.67</v>
      </c>
    </row>
    <row r="1292" customFormat="false" ht="15" hidden="false" customHeight="false" outlineLevel="0" collapsed="false">
      <c r="A1292" s="11" t="s">
        <v>3890</v>
      </c>
      <c r="B1292" s="38" t="n">
        <v>46254</v>
      </c>
      <c r="C1292" s="11" t="s">
        <v>1500</v>
      </c>
      <c r="D1292" s="11" t="s">
        <v>307</v>
      </c>
      <c r="E1292" s="11" t="s">
        <v>313</v>
      </c>
      <c r="F1292" s="11" t="s">
        <v>3891</v>
      </c>
      <c r="G1292" s="37" t="n">
        <v>-3074.45</v>
      </c>
      <c r="H1292" s="37" t="n">
        <v>447254.22</v>
      </c>
    </row>
    <row r="1293" customFormat="false" ht="15" hidden="false" customHeight="false" outlineLevel="0" collapsed="false">
      <c r="A1293" s="11" t="s">
        <v>3892</v>
      </c>
      <c r="B1293" s="38" t="n">
        <v>46255</v>
      </c>
      <c r="C1293" s="11" t="s">
        <v>1496</v>
      </c>
      <c r="D1293" s="11" t="s">
        <v>1497</v>
      </c>
      <c r="E1293" s="11" t="s">
        <v>323</v>
      </c>
      <c r="F1293" s="11" t="s">
        <v>3893</v>
      </c>
      <c r="G1293" s="37" t="n">
        <v>9576</v>
      </c>
      <c r="H1293" s="37" t="n">
        <v>456830.22</v>
      </c>
    </row>
    <row r="1294" customFormat="false" ht="15" hidden="false" customHeight="false" outlineLevel="0" collapsed="false">
      <c r="A1294" s="11" t="s">
        <v>3894</v>
      </c>
      <c r="B1294" s="38" t="n">
        <v>46255</v>
      </c>
      <c r="C1294" s="11" t="s">
        <v>1496</v>
      </c>
      <c r="D1294" s="11" t="s">
        <v>1497</v>
      </c>
      <c r="E1294" s="11" t="s">
        <v>298</v>
      </c>
      <c r="F1294" s="11" t="s">
        <v>3895</v>
      </c>
      <c r="G1294" s="37" t="n">
        <v>13430</v>
      </c>
      <c r="H1294" s="37" t="n">
        <v>470260.22</v>
      </c>
    </row>
    <row r="1295" customFormat="false" ht="15" hidden="false" customHeight="false" outlineLevel="0" collapsed="false">
      <c r="A1295" s="11" t="s">
        <v>3896</v>
      </c>
      <c r="B1295" s="38" t="n">
        <v>46258</v>
      </c>
      <c r="C1295" s="11" t="s">
        <v>1496</v>
      </c>
      <c r="D1295" s="11" t="s">
        <v>1497</v>
      </c>
      <c r="E1295" s="11" t="s">
        <v>287</v>
      </c>
      <c r="F1295" s="11" t="s">
        <v>3897</v>
      </c>
      <c r="G1295" s="37" t="n">
        <v>7128</v>
      </c>
      <c r="H1295" s="37" t="n">
        <v>477388.22</v>
      </c>
    </row>
    <row r="1296" customFormat="false" ht="15" hidden="false" customHeight="false" outlineLevel="0" collapsed="false">
      <c r="A1296" s="11" t="s">
        <v>3898</v>
      </c>
      <c r="B1296" s="38" t="n">
        <v>46258</v>
      </c>
      <c r="C1296" s="11" t="s">
        <v>1496</v>
      </c>
      <c r="D1296" s="11" t="s">
        <v>1497</v>
      </c>
      <c r="E1296" s="11" t="s">
        <v>327</v>
      </c>
      <c r="F1296" s="11" t="s">
        <v>3899</v>
      </c>
      <c r="G1296" s="37" t="n">
        <v>13488</v>
      </c>
      <c r="H1296" s="37" t="n">
        <v>490876.22</v>
      </c>
    </row>
    <row r="1297" customFormat="false" ht="15" hidden="false" customHeight="false" outlineLevel="0" collapsed="false">
      <c r="A1297" s="11" t="s">
        <v>3900</v>
      </c>
      <c r="B1297" s="38" t="n">
        <v>46258</v>
      </c>
      <c r="C1297" s="11" t="s">
        <v>1496</v>
      </c>
      <c r="D1297" s="11" t="s">
        <v>1497</v>
      </c>
      <c r="E1297" s="11" t="s">
        <v>280</v>
      </c>
      <c r="F1297" s="11" t="s">
        <v>3901</v>
      </c>
      <c r="G1297" s="37" t="n">
        <v>13848</v>
      </c>
      <c r="H1297" s="37" t="n">
        <v>504724.22</v>
      </c>
    </row>
    <row r="1298" customFormat="false" ht="15" hidden="false" customHeight="false" outlineLevel="0" collapsed="false">
      <c r="A1298" s="11" t="s">
        <v>3902</v>
      </c>
      <c r="B1298" s="38" t="n">
        <v>46258</v>
      </c>
      <c r="C1298" s="11" t="s">
        <v>1500</v>
      </c>
      <c r="D1298" s="11" t="s">
        <v>383</v>
      </c>
      <c r="E1298" s="11" t="s">
        <v>384</v>
      </c>
      <c r="F1298" s="11" t="s">
        <v>3903</v>
      </c>
      <c r="G1298" s="37" t="n">
        <v>-50838.21</v>
      </c>
      <c r="H1298" s="37" t="n">
        <v>453886.01</v>
      </c>
    </row>
    <row r="1299" customFormat="false" ht="15" hidden="false" customHeight="false" outlineLevel="0" collapsed="false">
      <c r="A1299" s="11" t="s">
        <v>3904</v>
      </c>
      <c r="B1299" s="38" t="n">
        <v>46258</v>
      </c>
      <c r="C1299" s="11" t="s">
        <v>1496</v>
      </c>
      <c r="D1299" s="11" t="s">
        <v>1497</v>
      </c>
      <c r="E1299" s="11" t="s">
        <v>327</v>
      </c>
      <c r="F1299" s="11" t="s">
        <v>3905</v>
      </c>
      <c r="G1299" s="37" t="n">
        <v>13932</v>
      </c>
      <c r="H1299" s="37" t="n">
        <v>467818.01</v>
      </c>
    </row>
    <row r="1300" customFormat="false" ht="15" hidden="false" customHeight="false" outlineLevel="0" collapsed="false">
      <c r="A1300" s="11" t="s">
        <v>3906</v>
      </c>
      <c r="B1300" s="38" t="n">
        <v>46259</v>
      </c>
      <c r="C1300" s="11" t="s">
        <v>1496</v>
      </c>
      <c r="D1300" s="11" t="s">
        <v>1497</v>
      </c>
      <c r="E1300" s="11" t="s">
        <v>331</v>
      </c>
      <c r="F1300" s="11" t="s">
        <v>3907</v>
      </c>
      <c r="G1300" s="37" t="n">
        <v>5652</v>
      </c>
      <c r="H1300" s="37" t="n">
        <v>473470.01</v>
      </c>
    </row>
    <row r="1301" customFormat="false" ht="15" hidden="false" customHeight="false" outlineLevel="0" collapsed="false">
      <c r="A1301" s="11" t="s">
        <v>3908</v>
      </c>
      <c r="B1301" s="38" t="n">
        <v>46259</v>
      </c>
      <c r="C1301" s="11" t="s">
        <v>1496</v>
      </c>
      <c r="D1301" s="11" t="s">
        <v>1497</v>
      </c>
      <c r="E1301" s="11" t="s">
        <v>335</v>
      </c>
      <c r="F1301" s="11" t="s">
        <v>3909</v>
      </c>
      <c r="G1301" s="37" t="n">
        <v>9120</v>
      </c>
      <c r="H1301" s="37" t="n">
        <v>482590.01</v>
      </c>
    </row>
    <row r="1302" customFormat="false" ht="15" hidden="false" customHeight="false" outlineLevel="0" collapsed="false">
      <c r="A1302" s="11" t="s">
        <v>3910</v>
      </c>
      <c r="B1302" s="38" t="n">
        <v>46259</v>
      </c>
      <c r="C1302" s="11" t="s">
        <v>1496</v>
      </c>
      <c r="D1302" s="11" t="s">
        <v>1497</v>
      </c>
      <c r="E1302" s="11" t="s">
        <v>335</v>
      </c>
      <c r="F1302" s="11" t="s">
        <v>3911</v>
      </c>
      <c r="G1302" s="37" t="n">
        <v>6120</v>
      </c>
      <c r="H1302" s="37" t="n">
        <v>488710.01</v>
      </c>
    </row>
    <row r="1303" customFormat="false" ht="15" hidden="false" customHeight="false" outlineLevel="0" collapsed="false">
      <c r="A1303" s="11" t="s">
        <v>3912</v>
      </c>
      <c r="B1303" s="38" t="n">
        <v>46260</v>
      </c>
      <c r="C1303" s="11" t="s">
        <v>1500</v>
      </c>
      <c r="D1303" s="11" t="s">
        <v>291</v>
      </c>
      <c r="E1303" s="11" t="s">
        <v>292</v>
      </c>
      <c r="F1303" s="11"/>
      <c r="G1303" s="37" t="n">
        <v>-1352.66</v>
      </c>
      <c r="H1303" s="37" t="n">
        <v>487357.35</v>
      </c>
    </row>
    <row r="1304" customFormat="false" ht="15" hidden="false" customHeight="false" outlineLevel="0" collapsed="false">
      <c r="A1304" s="11" t="s">
        <v>3913</v>
      </c>
      <c r="B1304" s="38" t="n">
        <v>46260</v>
      </c>
      <c r="C1304" s="11" t="s">
        <v>1496</v>
      </c>
      <c r="D1304" s="11" t="s">
        <v>1497</v>
      </c>
      <c r="E1304" s="11" t="s">
        <v>298</v>
      </c>
      <c r="F1304" s="11" t="s">
        <v>3914</v>
      </c>
      <c r="G1304" s="37" t="n">
        <v>9650</v>
      </c>
      <c r="H1304" s="37" t="n">
        <v>497007.35</v>
      </c>
    </row>
    <row r="1305" customFormat="false" ht="15" hidden="false" customHeight="false" outlineLevel="0" collapsed="false">
      <c r="A1305" s="11" t="s">
        <v>3915</v>
      </c>
      <c r="B1305" s="38" t="n">
        <v>46260</v>
      </c>
      <c r="C1305" s="11" t="s">
        <v>1496</v>
      </c>
      <c r="D1305" s="11" t="s">
        <v>1497</v>
      </c>
      <c r="E1305" s="11" t="s">
        <v>327</v>
      </c>
      <c r="F1305" s="11" t="s">
        <v>3916</v>
      </c>
      <c r="G1305" s="37" t="n">
        <v>19752</v>
      </c>
      <c r="H1305" s="37" t="n">
        <v>516759.35</v>
      </c>
    </row>
    <row r="1306" customFormat="false" ht="15" hidden="false" customHeight="false" outlineLevel="0" collapsed="false">
      <c r="A1306" s="11" t="s">
        <v>3917</v>
      </c>
      <c r="B1306" s="38" t="n">
        <v>46261</v>
      </c>
      <c r="C1306" s="11" t="s">
        <v>1500</v>
      </c>
      <c r="D1306" s="11" t="s">
        <v>307</v>
      </c>
      <c r="E1306" s="11" t="s">
        <v>313</v>
      </c>
      <c r="F1306" s="11" t="s">
        <v>3918</v>
      </c>
      <c r="G1306" s="37" t="n">
        <v>-6345.47</v>
      </c>
      <c r="H1306" s="37" t="n">
        <v>510413.88</v>
      </c>
    </row>
    <row r="1307" customFormat="false" ht="15" hidden="false" customHeight="false" outlineLevel="0" collapsed="false">
      <c r="A1307" s="11" t="s">
        <v>3919</v>
      </c>
      <c r="B1307" s="38" t="n">
        <v>46261</v>
      </c>
      <c r="C1307" s="11" t="s">
        <v>1500</v>
      </c>
      <c r="D1307" s="11" t="s">
        <v>307</v>
      </c>
      <c r="E1307" s="11" t="s">
        <v>414</v>
      </c>
      <c r="F1307" s="11" t="s">
        <v>3920</v>
      </c>
      <c r="G1307" s="37" t="n">
        <v>-17048.54</v>
      </c>
      <c r="H1307" s="37" t="n">
        <v>493365.34</v>
      </c>
    </row>
    <row r="1308" customFormat="false" ht="15" hidden="false" customHeight="false" outlineLevel="0" collapsed="false">
      <c r="A1308" s="11" t="s">
        <v>3921</v>
      </c>
      <c r="B1308" s="38" t="n">
        <v>46261</v>
      </c>
      <c r="C1308" s="11" t="s">
        <v>1500</v>
      </c>
      <c r="D1308" s="11" t="s">
        <v>307</v>
      </c>
      <c r="E1308" s="11" t="s">
        <v>308</v>
      </c>
      <c r="F1308" s="11" t="s">
        <v>3922</v>
      </c>
      <c r="G1308" s="37" t="n">
        <v>-17544.08</v>
      </c>
      <c r="H1308" s="37" t="n">
        <v>475821.26</v>
      </c>
    </row>
    <row r="1309" customFormat="false" ht="15" hidden="false" customHeight="false" outlineLevel="0" collapsed="false">
      <c r="A1309" s="11" t="s">
        <v>3923</v>
      </c>
      <c r="B1309" s="38" t="n">
        <v>46261</v>
      </c>
      <c r="C1309" s="11" t="s">
        <v>1496</v>
      </c>
      <c r="D1309" s="11" t="s">
        <v>1497</v>
      </c>
      <c r="E1309" s="11" t="s">
        <v>399</v>
      </c>
      <c r="F1309" s="11" t="s">
        <v>3924</v>
      </c>
      <c r="G1309" s="37" t="n">
        <v>19740</v>
      </c>
      <c r="H1309" s="37" t="n">
        <v>495561.26</v>
      </c>
    </row>
    <row r="1310" customFormat="false" ht="15" hidden="false" customHeight="false" outlineLevel="0" collapsed="false">
      <c r="A1310" s="11" t="s">
        <v>3925</v>
      </c>
      <c r="B1310" s="38" t="n">
        <v>46261</v>
      </c>
      <c r="C1310" s="11" t="s">
        <v>1496</v>
      </c>
      <c r="D1310" s="11" t="s">
        <v>1497</v>
      </c>
      <c r="E1310" s="11" t="s">
        <v>280</v>
      </c>
      <c r="F1310" s="11" t="s">
        <v>3926</v>
      </c>
      <c r="G1310" s="37" t="n">
        <v>4584</v>
      </c>
      <c r="H1310" s="37" t="n">
        <v>500145.26</v>
      </c>
    </row>
    <row r="1311" customFormat="false" ht="15" hidden="false" customHeight="false" outlineLevel="0" collapsed="false">
      <c r="A1311" s="11" t="s">
        <v>3927</v>
      </c>
      <c r="B1311" s="38" t="n">
        <v>46261</v>
      </c>
      <c r="C1311" s="11" t="s">
        <v>1496</v>
      </c>
      <c r="D1311" s="11" t="s">
        <v>1497</v>
      </c>
      <c r="E1311" s="11" t="s">
        <v>280</v>
      </c>
      <c r="F1311" s="11" t="s">
        <v>3928</v>
      </c>
      <c r="G1311" s="37" t="n">
        <v>10680</v>
      </c>
      <c r="H1311" s="37" t="n">
        <v>510825.26</v>
      </c>
    </row>
    <row r="1312" customFormat="false" ht="15" hidden="false" customHeight="false" outlineLevel="0" collapsed="false">
      <c r="A1312" s="11" t="s">
        <v>3929</v>
      </c>
      <c r="B1312" s="38" t="n">
        <v>46262</v>
      </c>
      <c r="C1312" s="11" t="s">
        <v>1496</v>
      </c>
      <c r="D1312" s="11" t="s">
        <v>1497</v>
      </c>
      <c r="E1312" s="11" t="s">
        <v>287</v>
      </c>
      <c r="F1312" s="11" t="s">
        <v>3930</v>
      </c>
      <c r="G1312" s="37" t="n">
        <v>6576</v>
      </c>
      <c r="H1312" s="37" t="n">
        <v>517401.26</v>
      </c>
    </row>
    <row r="1313" customFormat="false" ht="15" hidden="false" customHeight="false" outlineLevel="0" collapsed="false">
      <c r="A1313" s="11" t="s">
        <v>3931</v>
      </c>
      <c r="B1313" s="38" t="n">
        <v>46262</v>
      </c>
      <c r="C1313" s="11" t="s">
        <v>1496</v>
      </c>
      <c r="D1313" s="11" t="s">
        <v>1497</v>
      </c>
      <c r="E1313" s="11" t="s">
        <v>287</v>
      </c>
      <c r="F1313" s="11" t="s">
        <v>3932</v>
      </c>
      <c r="G1313" s="37" t="n">
        <v>3564</v>
      </c>
      <c r="H1313" s="37" t="n">
        <v>520965.26</v>
      </c>
    </row>
    <row r="1314" customFormat="false" ht="15" hidden="false" customHeight="false" outlineLevel="0" collapsed="false">
      <c r="A1314" s="11" t="s">
        <v>3933</v>
      </c>
      <c r="B1314" s="38" t="n">
        <v>46262</v>
      </c>
      <c r="C1314" s="11" t="s">
        <v>1496</v>
      </c>
      <c r="D1314" s="11" t="s">
        <v>1497</v>
      </c>
      <c r="E1314" s="11" t="s">
        <v>392</v>
      </c>
      <c r="F1314" s="11" t="s">
        <v>3934</v>
      </c>
      <c r="G1314" s="37" t="n">
        <v>14652</v>
      </c>
      <c r="H1314" s="37" t="n">
        <v>535617.26</v>
      </c>
    </row>
    <row r="1315" customFormat="false" ht="15" hidden="false" customHeight="false" outlineLevel="0" collapsed="false">
      <c r="A1315" s="11" t="s">
        <v>3935</v>
      </c>
      <c r="B1315" s="38" t="n">
        <v>46265</v>
      </c>
      <c r="C1315" s="11" t="s">
        <v>1496</v>
      </c>
      <c r="D1315" s="11" t="s">
        <v>1497</v>
      </c>
      <c r="E1315" s="11" t="s">
        <v>287</v>
      </c>
      <c r="F1315" s="11" t="s">
        <v>3936</v>
      </c>
      <c r="G1315" s="37" t="n">
        <v>2868</v>
      </c>
      <c r="H1315" s="37" t="n">
        <v>538485.26</v>
      </c>
    </row>
    <row r="1316" customFormat="false" ht="15" hidden="false" customHeight="false" outlineLevel="0" collapsed="false">
      <c r="A1316" s="11" t="s">
        <v>3937</v>
      </c>
      <c r="B1316" s="38" t="n">
        <v>46265</v>
      </c>
      <c r="C1316" s="11" t="s">
        <v>1496</v>
      </c>
      <c r="D1316" s="11" t="s">
        <v>1497</v>
      </c>
      <c r="E1316" s="11" t="s">
        <v>327</v>
      </c>
      <c r="F1316" s="11" t="s">
        <v>3938</v>
      </c>
      <c r="G1316" s="37" t="n">
        <v>35292</v>
      </c>
      <c r="H1316" s="37" t="n">
        <v>573777.26</v>
      </c>
    </row>
    <row r="1317" customFormat="false" ht="15" hidden="false" customHeight="false" outlineLevel="0" collapsed="false">
      <c r="A1317" s="11" t="s">
        <v>3939</v>
      </c>
      <c r="B1317" s="38" t="n">
        <v>46265</v>
      </c>
      <c r="C1317" s="11" t="s">
        <v>1496</v>
      </c>
      <c r="D1317" s="11" t="s">
        <v>1497</v>
      </c>
      <c r="E1317" s="11" t="s">
        <v>280</v>
      </c>
      <c r="F1317" s="11" t="s">
        <v>3940</v>
      </c>
      <c r="G1317" s="37" t="n">
        <v>8292</v>
      </c>
      <c r="H1317" s="37" t="n">
        <v>582069.26</v>
      </c>
    </row>
    <row r="1318" customFormat="false" ht="15" hidden="false" customHeight="false" outlineLevel="0" collapsed="false">
      <c r="A1318" s="11" t="s">
        <v>3941</v>
      </c>
      <c r="B1318" s="38" t="n">
        <v>46265</v>
      </c>
      <c r="C1318" s="11" t="s">
        <v>1496</v>
      </c>
      <c r="D1318" s="11" t="s">
        <v>1497</v>
      </c>
      <c r="E1318" s="11" t="s">
        <v>335</v>
      </c>
      <c r="F1318" s="11" t="s">
        <v>3942</v>
      </c>
      <c r="G1318" s="37" t="n">
        <v>6120</v>
      </c>
      <c r="H1318" s="37" t="n">
        <v>588189.26</v>
      </c>
    </row>
    <row r="1319" customFormat="false" ht="15" hidden="false" customHeight="false" outlineLevel="0" collapsed="false">
      <c r="A1319" s="11" t="s">
        <v>3943</v>
      </c>
      <c r="B1319" s="38" t="n">
        <v>46265</v>
      </c>
      <c r="C1319" s="11" t="s">
        <v>1500</v>
      </c>
      <c r="D1319" s="11" t="s">
        <v>1634</v>
      </c>
      <c r="E1319" s="11" t="s">
        <v>425</v>
      </c>
      <c r="F1319" s="11"/>
      <c r="G1319" s="37" t="n">
        <v>-106000</v>
      </c>
      <c r="H1319" s="37" t="n">
        <v>482189.26</v>
      </c>
    </row>
    <row r="1320" customFormat="false" ht="15" hidden="false" customHeight="false" outlineLevel="0" collapsed="false">
      <c r="A1320" s="11" t="s">
        <v>3944</v>
      </c>
      <c r="B1320" s="38" t="n">
        <v>46265</v>
      </c>
      <c r="C1320" s="11" t="s">
        <v>1496</v>
      </c>
      <c r="D1320" s="11" t="s">
        <v>1497</v>
      </c>
      <c r="E1320" s="11" t="s">
        <v>331</v>
      </c>
      <c r="F1320" s="11" t="s">
        <v>3945</v>
      </c>
      <c r="G1320" s="37" t="n">
        <v>7452</v>
      </c>
      <c r="H1320" s="37" t="n">
        <v>489641.26</v>
      </c>
    </row>
    <row r="1321" customFormat="false" ht="15" hidden="false" customHeight="false" outlineLevel="0" collapsed="false">
      <c r="A1321" s="11" t="s">
        <v>3946</v>
      </c>
      <c r="B1321" s="38" t="n">
        <v>46266</v>
      </c>
      <c r="C1321" s="11" t="s">
        <v>1496</v>
      </c>
      <c r="D1321" s="11" t="s">
        <v>1497</v>
      </c>
      <c r="E1321" s="11" t="s">
        <v>392</v>
      </c>
      <c r="F1321" s="11" t="s">
        <v>3947</v>
      </c>
      <c r="G1321" s="37" t="n">
        <v>22392</v>
      </c>
      <c r="H1321" s="37" t="n">
        <v>512033.26</v>
      </c>
    </row>
    <row r="1322" customFormat="false" ht="15" hidden="false" customHeight="false" outlineLevel="0" collapsed="false">
      <c r="A1322" s="11" t="s">
        <v>3948</v>
      </c>
      <c r="B1322" s="38" t="n">
        <v>46266</v>
      </c>
      <c r="C1322" s="11" t="s">
        <v>1496</v>
      </c>
      <c r="D1322" s="11" t="s">
        <v>1497</v>
      </c>
      <c r="E1322" s="11" t="s">
        <v>349</v>
      </c>
      <c r="F1322" s="11" t="s">
        <v>3949</v>
      </c>
      <c r="G1322" s="37" t="n">
        <v>10140</v>
      </c>
      <c r="H1322" s="37" t="n">
        <v>522173.26</v>
      </c>
    </row>
    <row r="1323" customFormat="false" ht="15" hidden="false" customHeight="false" outlineLevel="0" collapsed="false">
      <c r="A1323" s="11" t="s">
        <v>3950</v>
      </c>
      <c r="B1323" s="38" t="n">
        <v>46266</v>
      </c>
      <c r="C1323" s="11" t="s">
        <v>1496</v>
      </c>
      <c r="D1323" s="11" t="s">
        <v>1497</v>
      </c>
      <c r="E1323" s="11" t="s">
        <v>287</v>
      </c>
      <c r="F1323" s="11" t="s">
        <v>3951</v>
      </c>
      <c r="G1323" s="37" t="n">
        <v>864</v>
      </c>
      <c r="H1323" s="37" t="n">
        <v>523037.26</v>
      </c>
    </row>
    <row r="1324" customFormat="false" ht="15" hidden="false" customHeight="false" outlineLevel="0" collapsed="false">
      <c r="A1324" s="11" t="s">
        <v>3952</v>
      </c>
      <c r="B1324" s="38" t="n">
        <v>46266</v>
      </c>
      <c r="C1324" s="11" t="s">
        <v>1496</v>
      </c>
      <c r="D1324" s="11" t="s">
        <v>1497</v>
      </c>
      <c r="E1324" s="11" t="s">
        <v>287</v>
      </c>
      <c r="F1324" s="11" t="s">
        <v>3953</v>
      </c>
      <c r="G1324" s="37" t="n">
        <v>4044</v>
      </c>
      <c r="H1324" s="37" t="n">
        <v>527081.26</v>
      </c>
    </row>
    <row r="1325" customFormat="false" ht="15" hidden="false" customHeight="false" outlineLevel="0" collapsed="false">
      <c r="A1325" s="11" t="s">
        <v>3954</v>
      </c>
      <c r="B1325" s="38" t="n">
        <v>46266</v>
      </c>
      <c r="C1325" s="11" t="s">
        <v>1496</v>
      </c>
      <c r="D1325" s="11" t="s">
        <v>1497</v>
      </c>
      <c r="E1325" s="11" t="s">
        <v>327</v>
      </c>
      <c r="F1325" s="11" t="s">
        <v>3955</v>
      </c>
      <c r="G1325" s="37" t="n">
        <v>23436</v>
      </c>
      <c r="H1325" s="37" t="n">
        <v>550517.26</v>
      </c>
    </row>
    <row r="1326" customFormat="false" ht="15" hidden="false" customHeight="false" outlineLevel="0" collapsed="false">
      <c r="A1326" s="11" t="s">
        <v>3956</v>
      </c>
      <c r="B1326" s="38" t="n">
        <v>46267</v>
      </c>
      <c r="C1326" s="11" t="s">
        <v>1500</v>
      </c>
      <c r="D1326" s="11" t="s">
        <v>291</v>
      </c>
      <c r="E1326" s="11" t="s">
        <v>292</v>
      </c>
      <c r="F1326" s="11"/>
      <c r="G1326" s="37" t="n">
        <v>-3925.29</v>
      </c>
      <c r="H1326" s="37" t="n">
        <v>546591.97</v>
      </c>
    </row>
    <row r="1327" customFormat="false" ht="15" hidden="false" customHeight="false" outlineLevel="0" collapsed="false">
      <c r="A1327" s="11" t="s">
        <v>3957</v>
      </c>
      <c r="B1327" s="38" t="n">
        <v>46268</v>
      </c>
      <c r="C1327" s="11" t="s">
        <v>1500</v>
      </c>
      <c r="D1327" s="11" t="s">
        <v>448</v>
      </c>
      <c r="E1327" s="11" t="s">
        <v>449</v>
      </c>
      <c r="F1327" s="11"/>
      <c r="G1327" s="37" t="n">
        <v>-2880</v>
      </c>
      <c r="H1327" s="37" t="n">
        <v>543711.97</v>
      </c>
    </row>
    <row r="1328" customFormat="false" ht="15" hidden="false" customHeight="false" outlineLevel="0" collapsed="false">
      <c r="A1328" s="11" t="s">
        <v>3958</v>
      </c>
      <c r="B1328" s="38" t="n">
        <v>46268</v>
      </c>
      <c r="C1328" s="11" t="s">
        <v>1500</v>
      </c>
      <c r="D1328" s="11" t="s">
        <v>307</v>
      </c>
      <c r="E1328" s="11" t="s">
        <v>458</v>
      </c>
      <c r="F1328" s="11" t="s">
        <v>3959</v>
      </c>
      <c r="G1328" s="37" t="n">
        <v>-16800</v>
      </c>
      <c r="H1328" s="37" t="n">
        <v>526911.97</v>
      </c>
    </row>
    <row r="1329" customFormat="false" ht="15" hidden="false" customHeight="false" outlineLevel="0" collapsed="false">
      <c r="A1329" s="11" t="s">
        <v>3960</v>
      </c>
      <c r="B1329" s="38" t="n">
        <v>46268</v>
      </c>
      <c r="C1329" s="11" t="s">
        <v>1496</v>
      </c>
      <c r="D1329" s="11" t="s">
        <v>1497</v>
      </c>
      <c r="E1329" s="11" t="s">
        <v>335</v>
      </c>
      <c r="F1329" s="11" t="s">
        <v>3961</v>
      </c>
      <c r="G1329" s="37" t="n">
        <v>10284</v>
      </c>
      <c r="H1329" s="37" t="n">
        <v>537195.97</v>
      </c>
    </row>
    <row r="1330" customFormat="false" ht="15" hidden="false" customHeight="false" outlineLevel="0" collapsed="false">
      <c r="A1330" s="11" t="s">
        <v>3962</v>
      </c>
      <c r="B1330" s="38" t="n">
        <v>46268</v>
      </c>
      <c r="C1330" s="11" t="s">
        <v>1500</v>
      </c>
      <c r="D1330" s="11" t="s">
        <v>307</v>
      </c>
      <c r="E1330" s="11" t="s">
        <v>458</v>
      </c>
      <c r="F1330" s="11" t="s">
        <v>3963</v>
      </c>
      <c r="G1330" s="37" t="n">
        <v>-17179.74</v>
      </c>
      <c r="H1330" s="37" t="n">
        <v>520016.23</v>
      </c>
    </row>
    <row r="1331" customFormat="false" ht="15" hidden="false" customHeight="false" outlineLevel="0" collapsed="false">
      <c r="A1331" s="11" t="s">
        <v>3964</v>
      </c>
      <c r="B1331" s="38" t="n">
        <v>46268</v>
      </c>
      <c r="C1331" s="11" t="s">
        <v>1500</v>
      </c>
      <c r="D1331" s="11" t="s">
        <v>307</v>
      </c>
      <c r="E1331" s="11" t="s">
        <v>420</v>
      </c>
      <c r="F1331" s="11" t="s">
        <v>3965</v>
      </c>
      <c r="G1331" s="37" t="n">
        <v>-137062.03</v>
      </c>
      <c r="H1331" s="37" t="n">
        <v>382954.2</v>
      </c>
    </row>
    <row r="1332" customFormat="false" ht="15" hidden="false" customHeight="false" outlineLevel="0" collapsed="false">
      <c r="A1332" s="11" t="s">
        <v>3966</v>
      </c>
      <c r="B1332" s="38" t="n">
        <v>46268</v>
      </c>
      <c r="C1332" s="11" t="s">
        <v>1496</v>
      </c>
      <c r="D1332" s="11" t="s">
        <v>1497</v>
      </c>
      <c r="E1332" s="11" t="s">
        <v>280</v>
      </c>
      <c r="F1332" s="11" t="s">
        <v>3967</v>
      </c>
      <c r="G1332" s="37" t="n">
        <v>7944</v>
      </c>
      <c r="H1332" s="37" t="n">
        <v>390898.2</v>
      </c>
    </row>
    <row r="1333" customFormat="false" ht="15" hidden="false" customHeight="false" outlineLevel="0" collapsed="false">
      <c r="A1333" s="11" t="s">
        <v>3968</v>
      </c>
      <c r="B1333" s="38" t="n">
        <v>46268</v>
      </c>
      <c r="C1333" s="11" t="s">
        <v>1500</v>
      </c>
      <c r="D1333" s="11" t="s">
        <v>307</v>
      </c>
      <c r="E1333" s="11" t="s">
        <v>313</v>
      </c>
      <c r="F1333" s="11" t="s">
        <v>3969</v>
      </c>
      <c r="G1333" s="37" t="n">
        <v>-5609.6</v>
      </c>
      <c r="H1333" s="37" t="n">
        <v>385288.6</v>
      </c>
    </row>
    <row r="1334" customFormat="false" ht="15" hidden="false" customHeight="false" outlineLevel="0" collapsed="false">
      <c r="A1334" s="11" t="s">
        <v>3970</v>
      </c>
      <c r="B1334" s="38" t="n">
        <v>46269</v>
      </c>
      <c r="C1334" s="11" t="s">
        <v>1496</v>
      </c>
      <c r="D1334" s="11" t="s">
        <v>1497</v>
      </c>
      <c r="E1334" s="11" t="s">
        <v>349</v>
      </c>
      <c r="F1334" s="11" t="s">
        <v>3971</v>
      </c>
      <c r="G1334" s="37" t="n">
        <v>11964</v>
      </c>
      <c r="H1334" s="37" t="n">
        <v>397252.6</v>
      </c>
    </row>
    <row r="1335" customFormat="false" ht="15" hidden="false" customHeight="false" outlineLevel="0" collapsed="false">
      <c r="A1335" s="11" t="s">
        <v>3972</v>
      </c>
      <c r="B1335" s="38" t="n">
        <v>46269</v>
      </c>
      <c r="C1335" s="11" t="s">
        <v>1496</v>
      </c>
      <c r="D1335" s="11" t="s">
        <v>1497</v>
      </c>
      <c r="E1335" s="11" t="s">
        <v>280</v>
      </c>
      <c r="F1335" s="11" t="s">
        <v>3973</v>
      </c>
      <c r="G1335" s="37" t="n">
        <v>6480</v>
      </c>
      <c r="H1335" s="37" t="n">
        <v>403732.6</v>
      </c>
    </row>
    <row r="1336" customFormat="false" ht="15" hidden="false" customHeight="false" outlineLevel="0" collapsed="false">
      <c r="A1336" s="11" t="s">
        <v>3974</v>
      </c>
      <c r="B1336" s="38" t="n">
        <v>46272</v>
      </c>
      <c r="C1336" s="11" t="s">
        <v>1496</v>
      </c>
      <c r="D1336" s="11" t="s">
        <v>1497</v>
      </c>
      <c r="E1336" s="11" t="s">
        <v>327</v>
      </c>
      <c r="F1336" s="11" t="s">
        <v>3975</v>
      </c>
      <c r="G1336" s="37" t="n">
        <v>6756</v>
      </c>
      <c r="H1336" s="37" t="n">
        <v>410488.6</v>
      </c>
    </row>
    <row r="1337" customFormat="false" ht="15" hidden="false" customHeight="false" outlineLevel="0" collapsed="false">
      <c r="A1337" s="11" t="s">
        <v>3976</v>
      </c>
      <c r="B1337" s="38" t="n">
        <v>46272</v>
      </c>
      <c r="C1337" s="11" t="s">
        <v>1496</v>
      </c>
      <c r="D1337" s="11" t="s">
        <v>1497</v>
      </c>
      <c r="E1337" s="11" t="s">
        <v>323</v>
      </c>
      <c r="F1337" s="11" t="s">
        <v>3977</v>
      </c>
      <c r="G1337" s="37" t="n">
        <v>7284</v>
      </c>
      <c r="H1337" s="37" t="n">
        <v>417772.6</v>
      </c>
    </row>
    <row r="1338" customFormat="false" ht="15" hidden="false" customHeight="false" outlineLevel="0" collapsed="false">
      <c r="A1338" s="11" t="s">
        <v>3978</v>
      </c>
      <c r="B1338" s="38" t="n">
        <v>46272</v>
      </c>
      <c r="C1338" s="11" t="s">
        <v>1496</v>
      </c>
      <c r="D1338" s="11" t="s">
        <v>1497</v>
      </c>
      <c r="E1338" s="11" t="s">
        <v>323</v>
      </c>
      <c r="F1338" s="11" t="s">
        <v>3979</v>
      </c>
      <c r="G1338" s="37" t="n">
        <v>10668</v>
      </c>
      <c r="H1338" s="37" t="n">
        <v>428440.6</v>
      </c>
    </row>
    <row r="1339" customFormat="false" ht="15" hidden="false" customHeight="false" outlineLevel="0" collapsed="false">
      <c r="A1339" s="11" t="s">
        <v>3980</v>
      </c>
      <c r="B1339" s="38" t="n">
        <v>46272</v>
      </c>
      <c r="C1339" s="11" t="s">
        <v>1496</v>
      </c>
      <c r="D1339" s="11" t="s">
        <v>1497</v>
      </c>
      <c r="E1339" s="11" t="s">
        <v>280</v>
      </c>
      <c r="F1339" s="11" t="s">
        <v>3981</v>
      </c>
      <c r="G1339" s="37" t="n">
        <v>5028</v>
      </c>
      <c r="H1339" s="37" t="n">
        <v>433468.6</v>
      </c>
    </row>
    <row r="1340" customFormat="false" ht="15" hidden="false" customHeight="false" outlineLevel="0" collapsed="false">
      <c r="A1340" s="11" t="s">
        <v>3982</v>
      </c>
      <c r="B1340" s="38" t="n">
        <v>46272</v>
      </c>
      <c r="C1340" s="11" t="s">
        <v>1496</v>
      </c>
      <c r="D1340" s="11" t="s">
        <v>1497</v>
      </c>
      <c r="E1340" s="11" t="s">
        <v>298</v>
      </c>
      <c r="F1340" s="11" t="s">
        <v>3983</v>
      </c>
      <c r="G1340" s="37" t="n">
        <v>17060</v>
      </c>
      <c r="H1340" s="37" t="n">
        <v>450528.6</v>
      </c>
    </row>
    <row r="1341" customFormat="false" ht="15" hidden="false" customHeight="false" outlineLevel="0" collapsed="false">
      <c r="A1341" s="11" t="s">
        <v>3984</v>
      </c>
      <c r="B1341" s="38" t="n">
        <v>46272</v>
      </c>
      <c r="C1341" s="11" t="s">
        <v>1496</v>
      </c>
      <c r="D1341" s="11" t="s">
        <v>1497</v>
      </c>
      <c r="E1341" s="11" t="s">
        <v>298</v>
      </c>
      <c r="F1341" s="11" t="s">
        <v>3985</v>
      </c>
      <c r="G1341" s="37" t="n">
        <v>14080</v>
      </c>
      <c r="H1341" s="37" t="n">
        <v>464608.6</v>
      </c>
    </row>
    <row r="1342" customFormat="false" ht="15" hidden="false" customHeight="false" outlineLevel="0" collapsed="false">
      <c r="A1342" s="11" t="s">
        <v>3986</v>
      </c>
      <c r="B1342" s="38" t="n">
        <v>46272</v>
      </c>
      <c r="C1342" s="11" t="s">
        <v>1500</v>
      </c>
      <c r="D1342" s="11" t="s">
        <v>469</v>
      </c>
      <c r="E1342" s="11" t="s">
        <v>470</v>
      </c>
      <c r="F1342" s="11"/>
      <c r="G1342" s="37" t="n">
        <v>-8900</v>
      </c>
      <c r="H1342" s="37" t="n">
        <v>455708.6</v>
      </c>
    </row>
    <row r="1343" customFormat="false" ht="15" hidden="false" customHeight="false" outlineLevel="0" collapsed="false">
      <c r="A1343" s="11" t="s">
        <v>3987</v>
      </c>
      <c r="B1343" s="38" t="n">
        <v>46272</v>
      </c>
      <c r="C1343" s="11" t="s">
        <v>1496</v>
      </c>
      <c r="D1343" s="11" t="s">
        <v>1497</v>
      </c>
      <c r="E1343" s="11" t="s">
        <v>280</v>
      </c>
      <c r="F1343" s="11" t="s">
        <v>3988</v>
      </c>
      <c r="G1343" s="37" t="n">
        <v>12648</v>
      </c>
      <c r="H1343" s="37" t="n">
        <v>468356.6</v>
      </c>
    </row>
    <row r="1344" customFormat="false" ht="15" hidden="false" customHeight="false" outlineLevel="0" collapsed="false">
      <c r="A1344" s="11" t="s">
        <v>3989</v>
      </c>
      <c r="B1344" s="38" t="n">
        <v>46272</v>
      </c>
      <c r="C1344" s="11" t="s">
        <v>1496</v>
      </c>
      <c r="D1344" s="11" t="s">
        <v>1497</v>
      </c>
      <c r="E1344" s="11" t="s">
        <v>287</v>
      </c>
      <c r="F1344" s="11" t="s">
        <v>3990</v>
      </c>
      <c r="G1344" s="37" t="n">
        <v>6096</v>
      </c>
      <c r="H1344" s="37" t="n">
        <v>474452.6</v>
      </c>
    </row>
    <row r="1345" customFormat="false" ht="15" hidden="false" customHeight="false" outlineLevel="0" collapsed="false">
      <c r="A1345" s="11" t="s">
        <v>3991</v>
      </c>
      <c r="B1345" s="38" t="n">
        <v>46273</v>
      </c>
      <c r="C1345" s="11" t="s">
        <v>1496</v>
      </c>
      <c r="D1345" s="11" t="s">
        <v>1497</v>
      </c>
      <c r="E1345" s="11" t="s">
        <v>399</v>
      </c>
      <c r="F1345" s="11" t="s">
        <v>3992</v>
      </c>
      <c r="G1345" s="37" t="n">
        <v>14676</v>
      </c>
      <c r="H1345" s="37" t="n">
        <v>489128.6</v>
      </c>
    </row>
    <row r="1346" customFormat="false" ht="15" hidden="false" customHeight="false" outlineLevel="0" collapsed="false">
      <c r="A1346" s="11" t="s">
        <v>3993</v>
      </c>
      <c r="B1346" s="38" t="n">
        <v>46273</v>
      </c>
      <c r="C1346" s="11" t="s">
        <v>1496</v>
      </c>
      <c r="D1346" s="11" t="s">
        <v>1497</v>
      </c>
      <c r="E1346" s="11" t="s">
        <v>331</v>
      </c>
      <c r="F1346" s="11" t="s">
        <v>3994</v>
      </c>
      <c r="G1346" s="37" t="n">
        <v>12804</v>
      </c>
      <c r="H1346" s="37" t="n">
        <v>501932.6</v>
      </c>
    </row>
    <row r="1347" customFormat="false" ht="15" hidden="false" customHeight="false" outlineLevel="0" collapsed="false">
      <c r="A1347" s="11" t="s">
        <v>3995</v>
      </c>
      <c r="B1347" s="38" t="n">
        <v>46273</v>
      </c>
      <c r="C1347" s="11" t="s">
        <v>1500</v>
      </c>
      <c r="D1347" s="11" t="s">
        <v>480</v>
      </c>
      <c r="E1347" s="11" t="s">
        <v>481</v>
      </c>
      <c r="F1347" s="11"/>
      <c r="G1347" s="37" t="n">
        <v>-9840</v>
      </c>
      <c r="H1347" s="37" t="n">
        <v>492092.6</v>
      </c>
    </row>
    <row r="1348" customFormat="false" ht="15" hidden="false" customHeight="false" outlineLevel="0" collapsed="false">
      <c r="A1348" s="11" t="s">
        <v>3996</v>
      </c>
      <c r="B1348" s="38" t="n">
        <v>46274</v>
      </c>
      <c r="C1348" s="11" t="s">
        <v>1500</v>
      </c>
      <c r="D1348" s="11" t="s">
        <v>291</v>
      </c>
      <c r="E1348" s="11" t="s">
        <v>292</v>
      </c>
      <c r="F1348" s="11"/>
      <c r="G1348" s="37" t="n">
        <v>-4303.23</v>
      </c>
      <c r="H1348" s="37" t="n">
        <v>487789.37</v>
      </c>
    </row>
    <row r="1349" customFormat="false" ht="15" hidden="false" customHeight="false" outlineLevel="0" collapsed="false">
      <c r="A1349" s="11" t="s">
        <v>3997</v>
      </c>
      <c r="B1349" s="38" t="n">
        <v>46274</v>
      </c>
      <c r="C1349" s="11" t="s">
        <v>1496</v>
      </c>
      <c r="D1349" s="11" t="s">
        <v>1497</v>
      </c>
      <c r="E1349" s="11" t="s">
        <v>349</v>
      </c>
      <c r="F1349" s="11" t="s">
        <v>3998</v>
      </c>
      <c r="G1349" s="37" t="n">
        <v>16944</v>
      </c>
      <c r="H1349" s="37" t="n">
        <v>504733.37</v>
      </c>
    </row>
    <row r="1350" customFormat="false" ht="15" hidden="false" customHeight="false" outlineLevel="0" collapsed="false">
      <c r="A1350" s="11" t="s">
        <v>3999</v>
      </c>
      <c r="B1350" s="38" t="n">
        <v>46274</v>
      </c>
      <c r="C1350" s="11" t="s">
        <v>1496</v>
      </c>
      <c r="D1350" s="11" t="s">
        <v>1497</v>
      </c>
      <c r="E1350" s="11" t="s">
        <v>287</v>
      </c>
      <c r="F1350" s="11" t="s">
        <v>4000</v>
      </c>
      <c r="G1350" s="37" t="n">
        <v>3636</v>
      </c>
      <c r="H1350" s="37" t="n">
        <v>508369.37</v>
      </c>
    </row>
    <row r="1351" customFormat="false" ht="15" hidden="false" customHeight="false" outlineLevel="0" collapsed="false">
      <c r="A1351" s="11" t="s">
        <v>4001</v>
      </c>
      <c r="B1351" s="38" t="n">
        <v>46274</v>
      </c>
      <c r="C1351" s="11" t="s">
        <v>1496</v>
      </c>
      <c r="D1351" s="11" t="s">
        <v>1497</v>
      </c>
      <c r="E1351" s="11" t="s">
        <v>331</v>
      </c>
      <c r="F1351" s="11" t="s">
        <v>4002</v>
      </c>
      <c r="G1351" s="37" t="n">
        <v>16260</v>
      </c>
      <c r="H1351" s="37" t="n">
        <v>524629.37</v>
      </c>
    </row>
    <row r="1352" customFormat="false" ht="15" hidden="false" customHeight="false" outlineLevel="0" collapsed="false">
      <c r="A1352" s="11" t="s">
        <v>4003</v>
      </c>
      <c r="B1352" s="38" t="n">
        <v>46274</v>
      </c>
      <c r="C1352" s="11" t="s">
        <v>1496</v>
      </c>
      <c r="D1352" s="11" t="s">
        <v>1497</v>
      </c>
      <c r="E1352" s="11" t="s">
        <v>399</v>
      </c>
      <c r="F1352" s="11" t="s">
        <v>4004</v>
      </c>
      <c r="G1352" s="37" t="n">
        <v>21024</v>
      </c>
      <c r="H1352" s="37" t="n">
        <v>545653.37</v>
      </c>
    </row>
    <row r="1353" customFormat="false" ht="15" hidden="false" customHeight="false" outlineLevel="0" collapsed="false">
      <c r="A1353" s="11" t="s">
        <v>4005</v>
      </c>
      <c r="B1353" s="38" t="n">
        <v>46275</v>
      </c>
      <c r="C1353" s="11" t="s">
        <v>1496</v>
      </c>
      <c r="D1353" s="11" t="s">
        <v>1497</v>
      </c>
      <c r="E1353" s="11" t="s">
        <v>335</v>
      </c>
      <c r="F1353" s="11" t="s">
        <v>4006</v>
      </c>
      <c r="G1353" s="37" t="n">
        <v>7380</v>
      </c>
      <c r="H1353" s="37" t="n">
        <v>553033.37</v>
      </c>
    </row>
    <row r="1354" customFormat="false" ht="15" hidden="false" customHeight="false" outlineLevel="0" collapsed="false">
      <c r="A1354" s="11" t="s">
        <v>4007</v>
      </c>
      <c r="B1354" s="38" t="n">
        <v>46275</v>
      </c>
      <c r="C1354" s="11" t="s">
        <v>1500</v>
      </c>
      <c r="D1354" s="11" t="s">
        <v>307</v>
      </c>
      <c r="E1354" s="11" t="s">
        <v>464</v>
      </c>
      <c r="F1354" s="11" t="s">
        <v>4008</v>
      </c>
      <c r="G1354" s="37" t="n">
        <v>-14363.77</v>
      </c>
      <c r="H1354" s="37" t="n">
        <v>538669.6</v>
      </c>
    </row>
    <row r="1355" customFormat="false" ht="15" hidden="false" customHeight="false" outlineLevel="0" collapsed="false">
      <c r="A1355" s="11" t="s">
        <v>4009</v>
      </c>
      <c r="B1355" s="38" t="n">
        <v>46275</v>
      </c>
      <c r="C1355" s="11" t="s">
        <v>1496</v>
      </c>
      <c r="D1355" s="11" t="s">
        <v>1497</v>
      </c>
      <c r="E1355" s="11" t="s">
        <v>349</v>
      </c>
      <c r="F1355" s="11" t="s">
        <v>4010</v>
      </c>
      <c r="G1355" s="37" t="n">
        <v>17988</v>
      </c>
      <c r="H1355" s="37" t="n">
        <v>556657.6</v>
      </c>
    </row>
    <row r="1356" customFormat="false" ht="15" hidden="false" customHeight="false" outlineLevel="0" collapsed="false">
      <c r="A1356" s="11" t="s">
        <v>4011</v>
      </c>
      <c r="B1356" s="38" t="n">
        <v>46275</v>
      </c>
      <c r="C1356" s="11" t="s">
        <v>1500</v>
      </c>
      <c r="D1356" s="11" t="s">
        <v>272</v>
      </c>
      <c r="E1356" s="11" t="s">
        <v>273</v>
      </c>
      <c r="F1356" s="11"/>
      <c r="G1356" s="37" t="n">
        <v>-3840</v>
      </c>
      <c r="H1356" s="37" t="n">
        <v>552817.6</v>
      </c>
    </row>
    <row r="1357" customFormat="false" ht="15" hidden="false" customHeight="false" outlineLevel="0" collapsed="false">
      <c r="A1357" s="11" t="s">
        <v>4012</v>
      </c>
      <c r="B1357" s="38" t="n">
        <v>46275</v>
      </c>
      <c r="C1357" s="11" t="s">
        <v>1496</v>
      </c>
      <c r="D1357" s="11" t="s">
        <v>1497</v>
      </c>
      <c r="E1357" s="11" t="s">
        <v>323</v>
      </c>
      <c r="F1357" s="11" t="s">
        <v>4013</v>
      </c>
      <c r="G1357" s="37" t="n">
        <v>4620</v>
      </c>
      <c r="H1357" s="37" t="n">
        <v>557437.6</v>
      </c>
    </row>
    <row r="1358" customFormat="false" ht="15" hidden="false" customHeight="false" outlineLevel="0" collapsed="false">
      <c r="A1358" s="11" t="s">
        <v>4014</v>
      </c>
      <c r="B1358" s="38" t="n">
        <v>46275</v>
      </c>
      <c r="C1358" s="11" t="s">
        <v>1500</v>
      </c>
      <c r="D1358" s="11" t="s">
        <v>307</v>
      </c>
      <c r="E1358" s="11" t="s">
        <v>313</v>
      </c>
      <c r="F1358" s="11" t="s">
        <v>4015</v>
      </c>
      <c r="G1358" s="37" t="n">
        <v>-6331.02</v>
      </c>
      <c r="H1358" s="37" t="n">
        <v>551106.58</v>
      </c>
    </row>
    <row r="1359" customFormat="false" ht="15" hidden="false" customHeight="false" outlineLevel="0" collapsed="false">
      <c r="A1359" s="11" t="s">
        <v>4016</v>
      </c>
      <c r="B1359" s="38" t="n">
        <v>46276</v>
      </c>
      <c r="C1359" s="11" t="s">
        <v>1496</v>
      </c>
      <c r="D1359" s="11" t="s">
        <v>1497</v>
      </c>
      <c r="E1359" s="11" t="s">
        <v>327</v>
      </c>
      <c r="F1359" s="11" t="s">
        <v>4017</v>
      </c>
      <c r="G1359" s="37" t="n">
        <v>10224</v>
      </c>
      <c r="H1359" s="37" t="n">
        <v>561330.58</v>
      </c>
    </row>
    <row r="1360" customFormat="false" ht="15" hidden="false" customHeight="false" outlineLevel="0" collapsed="false">
      <c r="A1360" s="11" t="s">
        <v>4018</v>
      </c>
      <c r="B1360" s="38" t="n">
        <v>46276</v>
      </c>
      <c r="C1360" s="11" t="s">
        <v>1496</v>
      </c>
      <c r="D1360" s="11" t="s">
        <v>1497</v>
      </c>
      <c r="E1360" s="11" t="s">
        <v>287</v>
      </c>
      <c r="F1360" s="11" t="s">
        <v>4019</v>
      </c>
      <c r="G1360" s="37" t="n">
        <v>2580</v>
      </c>
      <c r="H1360" s="37" t="n">
        <v>563910.58</v>
      </c>
    </row>
    <row r="1361" customFormat="false" ht="15" hidden="false" customHeight="false" outlineLevel="0" collapsed="false">
      <c r="A1361" s="11" t="s">
        <v>4020</v>
      </c>
      <c r="B1361" s="38" t="n">
        <v>46279</v>
      </c>
      <c r="C1361" s="11" t="s">
        <v>1496</v>
      </c>
      <c r="D1361" s="11" t="s">
        <v>1497</v>
      </c>
      <c r="E1361" s="11" t="s">
        <v>335</v>
      </c>
      <c r="F1361" s="11" t="s">
        <v>4021</v>
      </c>
      <c r="G1361" s="37" t="n">
        <v>4752</v>
      </c>
      <c r="H1361" s="37" t="n">
        <v>568662.58</v>
      </c>
    </row>
    <row r="1362" customFormat="false" ht="15" hidden="false" customHeight="false" outlineLevel="0" collapsed="false">
      <c r="A1362" s="11" t="s">
        <v>4022</v>
      </c>
      <c r="B1362" s="38" t="n">
        <v>46279</v>
      </c>
      <c r="C1362" s="11" t="s">
        <v>1496</v>
      </c>
      <c r="D1362" s="11" t="s">
        <v>1497</v>
      </c>
      <c r="E1362" s="11" t="s">
        <v>280</v>
      </c>
      <c r="F1362" s="11" t="s">
        <v>4023</v>
      </c>
      <c r="G1362" s="37" t="n">
        <v>4728</v>
      </c>
      <c r="H1362" s="37" t="n">
        <v>573390.58</v>
      </c>
    </row>
    <row r="1363" customFormat="false" ht="15" hidden="false" customHeight="false" outlineLevel="0" collapsed="false">
      <c r="A1363" s="11" t="s">
        <v>4024</v>
      </c>
      <c r="B1363" s="38" t="n">
        <v>46279</v>
      </c>
      <c r="C1363" s="11" t="s">
        <v>1496</v>
      </c>
      <c r="D1363" s="11" t="s">
        <v>1497</v>
      </c>
      <c r="E1363" s="11" t="s">
        <v>287</v>
      </c>
      <c r="F1363" s="11" t="s">
        <v>4025</v>
      </c>
      <c r="G1363" s="37" t="n">
        <v>3240</v>
      </c>
      <c r="H1363" s="37" t="n">
        <v>576630.58</v>
      </c>
    </row>
    <row r="1364" customFormat="false" ht="15" hidden="false" customHeight="false" outlineLevel="0" collapsed="false">
      <c r="A1364" s="11" t="s">
        <v>4026</v>
      </c>
      <c r="B1364" s="38" t="n">
        <v>46279</v>
      </c>
      <c r="C1364" s="11" t="s">
        <v>1496</v>
      </c>
      <c r="D1364" s="11" t="s">
        <v>1497</v>
      </c>
      <c r="E1364" s="11" t="s">
        <v>335</v>
      </c>
      <c r="F1364" s="11" t="s">
        <v>4027</v>
      </c>
      <c r="G1364" s="37" t="n">
        <v>7956</v>
      </c>
      <c r="H1364" s="37" t="n">
        <v>584586.58</v>
      </c>
    </row>
    <row r="1365" customFormat="false" ht="15" hidden="false" customHeight="false" outlineLevel="0" collapsed="false">
      <c r="A1365" s="11" t="s">
        <v>4028</v>
      </c>
      <c r="B1365" s="38" t="n">
        <v>46280</v>
      </c>
      <c r="C1365" s="11" t="s">
        <v>1496</v>
      </c>
      <c r="D1365" s="11" t="s">
        <v>1497</v>
      </c>
      <c r="E1365" s="11" t="s">
        <v>298</v>
      </c>
      <c r="F1365" s="11" t="s">
        <v>4029</v>
      </c>
      <c r="G1365" s="37" t="n">
        <v>10920</v>
      </c>
      <c r="H1365" s="37" t="n">
        <v>595506.58</v>
      </c>
    </row>
    <row r="1366" customFormat="false" ht="15" hidden="false" customHeight="false" outlineLevel="0" collapsed="false">
      <c r="A1366" s="11" t="s">
        <v>4030</v>
      </c>
      <c r="B1366" s="38" t="n">
        <v>46280</v>
      </c>
      <c r="C1366" s="11" t="s">
        <v>1500</v>
      </c>
      <c r="D1366" s="11" t="s">
        <v>722</v>
      </c>
      <c r="E1366" s="11" t="s">
        <v>384</v>
      </c>
      <c r="F1366" s="11"/>
      <c r="G1366" s="37" t="n">
        <v>-24500</v>
      </c>
      <c r="H1366" s="37" t="n">
        <v>571006.58</v>
      </c>
    </row>
    <row r="1367" customFormat="false" ht="15" hidden="false" customHeight="false" outlineLevel="0" collapsed="false">
      <c r="A1367" s="11" t="s">
        <v>4031</v>
      </c>
      <c r="B1367" s="38" t="n">
        <v>46280</v>
      </c>
      <c r="C1367" s="11" t="s">
        <v>1500</v>
      </c>
      <c r="D1367" s="11" t="s">
        <v>317</v>
      </c>
      <c r="E1367" s="11" t="s">
        <v>318</v>
      </c>
      <c r="F1367" s="11"/>
      <c r="G1367" s="37" t="n">
        <v>-86000</v>
      </c>
      <c r="H1367" s="37" t="n">
        <v>485006.58</v>
      </c>
    </row>
    <row r="1368" customFormat="false" ht="15" hidden="false" customHeight="false" outlineLevel="0" collapsed="false">
      <c r="A1368" s="11" t="s">
        <v>4032</v>
      </c>
      <c r="B1368" s="38" t="n">
        <v>46281</v>
      </c>
      <c r="C1368" s="11" t="s">
        <v>1496</v>
      </c>
      <c r="D1368" s="11" t="s">
        <v>1497</v>
      </c>
      <c r="E1368" s="11" t="s">
        <v>327</v>
      </c>
      <c r="F1368" s="11" t="s">
        <v>4033</v>
      </c>
      <c r="G1368" s="37" t="n">
        <v>12552</v>
      </c>
      <c r="H1368" s="37" t="n">
        <v>497558.58</v>
      </c>
    </row>
    <row r="1369" customFormat="false" ht="15" hidden="false" customHeight="false" outlineLevel="0" collapsed="false">
      <c r="A1369" s="11" t="s">
        <v>4034</v>
      </c>
      <c r="B1369" s="38" t="n">
        <v>46281</v>
      </c>
      <c r="C1369" s="11" t="s">
        <v>1496</v>
      </c>
      <c r="D1369" s="11" t="s">
        <v>1497</v>
      </c>
      <c r="E1369" s="11" t="s">
        <v>349</v>
      </c>
      <c r="F1369" s="11" t="s">
        <v>4035</v>
      </c>
      <c r="G1369" s="37" t="n">
        <v>24756</v>
      </c>
      <c r="H1369" s="37" t="n">
        <v>522314.58</v>
      </c>
    </row>
    <row r="1370" customFormat="false" ht="15" hidden="false" customHeight="false" outlineLevel="0" collapsed="false">
      <c r="A1370" s="11" t="s">
        <v>4036</v>
      </c>
      <c r="B1370" s="38" t="n">
        <v>46281</v>
      </c>
      <c r="C1370" s="11" t="s">
        <v>1500</v>
      </c>
      <c r="D1370" s="11" t="s">
        <v>291</v>
      </c>
      <c r="E1370" s="11" t="s">
        <v>292</v>
      </c>
      <c r="F1370" s="11"/>
      <c r="G1370" s="37" t="n">
        <v>-4063.76</v>
      </c>
      <c r="H1370" s="37" t="n">
        <v>518250.82</v>
      </c>
    </row>
    <row r="1371" customFormat="false" ht="15" hidden="false" customHeight="false" outlineLevel="0" collapsed="false">
      <c r="A1371" s="11" t="s">
        <v>4037</v>
      </c>
      <c r="B1371" s="38" t="n">
        <v>46282</v>
      </c>
      <c r="C1371" s="11" t="s">
        <v>1496</v>
      </c>
      <c r="D1371" s="11" t="s">
        <v>1497</v>
      </c>
      <c r="E1371" s="11" t="s">
        <v>280</v>
      </c>
      <c r="F1371" s="11" t="s">
        <v>4038</v>
      </c>
      <c r="G1371" s="37" t="n">
        <v>7224</v>
      </c>
      <c r="H1371" s="37" t="n">
        <v>525474.82</v>
      </c>
    </row>
    <row r="1372" customFormat="false" ht="15" hidden="false" customHeight="false" outlineLevel="0" collapsed="false">
      <c r="A1372" s="11" t="s">
        <v>4039</v>
      </c>
      <c r="B1372" s="38" t="n">
        <v>46282</v>
      </c>
      <c r="C1372" s="11" t="s">
        <v>1500</v>
      </c>
      <c r="D1372" s="11" t="s">
        <v>307</v>
      </c>
      <c r="E1372" s="11" t="s">
        <v>308</v>
      </c>
      <c r="F1372" s="11" t="s">
        <v>4040</v>
      </c>
      <c r="G1372" s="37" t="n">
        <v>-35901.08</v>
      </c>
      <c r="H1372" s="37" t="n">
        <v>489573.74</v>
      </c>
    </row>
    <row r="1373" customFormat="false" ht="15" hidden="false" customHeight="false" outlineLevel="0" collapsed="false">
      <c r="A1373" s="11" t="s">
        <v>4041</v>
      </c>
      <c r="B1373" s="38" t="n">
        <v>46282</v>
      </c>
      <c r="C1373" s="11" t="s">
        <v>1500</v>
      </c>
      <c r="D1373" s="11" t="s">
        <v>307</v>
      </c>
      <c r="E1373" s="11" t="s">
        <v>313</v>
      </c>
      <c r="F1373" s="11" t="s">
        <v>4042</v>
      </c>
      <c r="G1373" s="37" t="n">
        <v>-6133.43</v>
      </c>
      <c r="H1373" s="37" t="n">
        <v>483440.31</v>
      </c>
    </row>
    <row r="1374" customFormat="false" ht="15" hidden="false" customHeight="false" outlineLevel="0" collapsed="false">
      <c r="A1374" s="11" t="s">
        <v>4043</v>
      </c>
      <c r="B1374" s="38" t="n">
        <v>46283</v>
      </c>
      <c r="C1374" s="11" t="s">
        <v>1496</v>
      </c>
      <c r="D1374" s="11" t="s">
        <v>1497</v>
      </c>
      <c r="E1374" s="11" t="s">
        <v>323</v>
      </c>
      <c r="F1374" s="11" t="s">
        <v>4044</v>
      </c>
      <c r="G1374" s="37" t="n">
        <v>7152</v>
      </c>
      <c r="H1374" s="37" t="n">
        <v>490592.31</v>
      </c>
    </row>
    <row r="1375" customFormat="false" ht="15" hidden="false" customHeight="false" outlineLevel="0" collapsed="false">
      <c r="A1375" s="11" t="s">
        <v>4045</v>
      </c>
      <c r="B1375" s="38" t="n">
        <v>46286</v>
      </c>
      <c r="C1375" s="11" t="s">
        <v>1496</v>
      </c>
      <c r="D1375" s="11" t="s">
        <v>1497</v>
      </c>
      <c r="E1375" s="11" t="s">
        <v>280</v>
      </c>
      <c r="F1375" s="11" t="s">
        <v>4046</v>
      </c>
      <c r="G1375" s="37" t="n">
        <v>7092</v>
      </c>
      <c r="H1375" s="37" t="n">
        <v>497684.31</v>
      </c>
    </row>
    <row r="1376" customFormat="false" ht="15" hidden="false" customHeight="false" outlineLevel="0" collapsed="false">
      <c r="A1376" s="11" t="s">
        <v>4047</v>
      </c>
      <c r="B1376" s="38" t="n">
        <v>46286</v>
      </c>
      <c r="C1376" s="11" t="s">
        <v>1496</v>
      </c>
      <c r="D1376" s="11" t="s">
        <v>1497</v>
      </c>
      <c r="E1376" s="11" t="s">
        <v>335</v>
      </c>
      <c r="F1376" s="11" t="s">
        <v>4048</v>
      </c>
      <c r="G1376" s="37" t="n">
        <v>10212</v>
      </c>
      <c r="H1376" s="37" t="n">
        <v>507896.31</v>
      </c>
    </row>
    <row r="1377" customFormat="false" ht="15" hidden="false" customHeight="false" outlineLevel="0" collapsed="false">
      <c r="A1377" s="11" t="s">
        <v>4049</v>
      </c>
      <c r="B1377" s="38" t="n">
        <v>46286</v>
      </c>
      <c r="C1377" s="11" t="s">
        <v>1496</v>
      </c>
      <c r="D1377" s="11" t="s">
        <v>1497</v>
      </c>
      <c r="E1377" s="11" t="s">
        <v>298</v>
      </c>
      <c r="F1377" s="11" t="s">
        <v>4050</v>
      </c>
      <c r="G1377" s="37" t="n">
        <v>9410</v>
      </c>
      <c r="H1377" s="37" t="n">
        <v>517306.31</v>
      </c>
    </row>
    <row r="1378" customFormat="false" ht="15" hidden="false" customHeight="false" outlineLevel="0" collapsed="false">
      <c r="A1378" s="11" t="s">
        <v>4051</v>
      </c>
      <c r="B1378" s="38" t="n">
        <v>46287</v>
      </c>
      <c r="C1378" s="11" t="s">
        <v>1496</v>
      </c>
      <c r="D1378" s="11" t="s">
        <v>1497</v>
      </c>
      <c r="E1378" s="11" t="s">
        <v>349</v>
      </c>
      <c r="F1378" s="11" t="s">
        <v>4052</v>
      </c>
      <c r="G1378" s="37" t="n">
        <v>16932</v>
      </c>
      <c r="H1378" s="37" t="n">
        <v>534238.31</v>
      </c>
    </row>
    <row r="1379" customFormat="false" ht="15" hidden="false" customHeight="false" outlineLevel="0" collapsed="false">
      <c r="A1379" s="11" t="s">
        <v>4053</v>
      </c>
      <c r="B1379" s="38" t="n">
        <v>46287</v>
      </c>
      <c r="C1379" s="11" t="s">
        <v>1496</v>
      </c>
      <c r="D1379" s="11" t="s">
        <v>1497</v>
      </c>
      <c r="E1379" s="11" t="s">
        <v>331</v>
      </c>
      <c r="F1379" s="11" t="s">
        <v>4054</v>
      </c>
      <c r="G1379" s="37" t="n">
        <v>12468</v>
      </c>
      <c r="H1379" s="37" t="n">
        <v>546706.31</v>
      </c>
    </row>
    <row r="1380" customFormat="false" ht="15" hidden="false" customHeight="false" outlineLevel="0" collapsed="false">
      <c r="A1380" s="11" t="s">
        <v>4055</v>
      </c>
      <c r="B1380" s="38" t="n">
        <v>46287</v>
      </c>
      <c r="C1380" s="11" t="s">
        <v>1496</v>
      </c>
      <c r="D1380" s="11" t="s">
        <v>1497</v>
      </c>
      <c r="E1380" s="11" t="s">
        <v>392</v>
      </c>
      <c r="F1380" s="11" t="s">
        <v>4056</v>
      </c>
      <c r="G1380" s="37" t="n">
        <v>8844</v>
      </c>
      <c r="H1380" s="37" t="n">
        <v>555550.31</v>
      </c>
    </row>
    <row r="1381" customFormat="false" ht="15" hidden="false" customHeight="false" outlineLevel="0" collapsed="false">
      <c r="A1381" s="11" t="s">
        <v>4057</v>
      </c>
      <c r="B1381" s="38" t="n">
        <v>46288</v>
      </c>
      <c r="C1381" s="11" t="s">
        <v>1496</v>
      </c>
      <c r="D1381" s="11" t="s">
        <v>1497</v>
      </c>
      <c r="E1381" s="11" t="s">
        <v>327</v>
      </c>
      <c r="F1381" s="11" t="s">
        <v>4058</v>
      </c>
      <c r="G1381" s="37" t="n">
        <v>35520</v>
      </c>
      <c r="H1381" s="37" t="n">
        <v>591070.31</v>
      </c>
    </row>
    <row r="1382" customFormat="false" ht="15" hidden="false" customHeight="false" outlineLevel="0" collapsed="false">
      <c r="A1382" s="11" t="s">
        <v>4059</v>
      </c>
      <c r="B1382" s="38" t="n">
        <v>46288</v>
      </c>
      <c r="C1382" s="11" t="s">
        <v>1496</v>
      </c>
      <c r="D1382" s="11" t="s">
        <v>1497</v>
      </c>
      <c r="E1382" s="11" t="s">
        <v>327</v>
      </c>
      <c r="F1382" s="11" t="s">
        <v>4060</v>
      </c>
      <c r="G1382" s="37" t="n">
        <v>35256</v>
      </c>
      <c r="H1382" s="37" t="n">
        <v>626326.31</v>
      </c>
    </row>
    <row r="1383" customFormat="false" ht="15" hidden="false" customHeight="false" outlineLevel="0" collapsed="false">
      <c r="A1383" s="11" t="s">
        <v>4061</v>
      </c>
      <c r="B1383" s="38" t="n">
        <v>46288</v>
      </c>
      <c r="C1383" s="11" t="s">
        <v>1500</v>
      </c>
      <c r="D1383" s="11" t="s">
        <v>291</v>
      </c>
      <c r="E1383" s="11" t="s">
        <v>292</v>
      </c>
      <c r="F1383" s="11"/>
      <c r="G1383" s="37" t="n">
        <v>-3805.29</v>
      </c>
      <c r="H1383" s="37" t="n">
        <v>622521.02</v>
      </c>
    </row>
    <row r="1384" customFormat="false" ht="15" hidden="false" customHeight="false" outlineLevel="0" collapsed="false">
      <c r="A1384" s="11" t="s">
        <v>4062</v>
      </c>
      <c r="B1384" s="38" t="n">
        <v>46289</v>
      </c>
      <c r="C1384" s="11" t="s">
        <v>1496</v>
      </c>
      <c r="D1384" s="11" t="s">
        <v>1497</v>
      </c>
      <c r="E1384" s="11" t="s">
        <v>349</v>
      </c>
      <c r="F1384" s="11" t="s">
        <v>4063</v>
      </c>
      <c r="G1384" s="37" t="n">
        <v>10812</v>
      </c>
      <c r="H1384" s="37" t="n">
        <v>633333.02</v>
      </c>
    </row>
    <row r="1385" customFormat="false" ht="15" hidden="false" customHeight="false" outlineLevel="0" collapsed="false">
      <c r="A1385" s="11" t="s">
        <v>4064</v>
      </c>
      <c r="B1385" s="38" t="n">
        <v>46289</v>
      </c>
      <c r="C1385" s="11" t="s">
        <v>1500</v>
      </c>
      <c r="D1385" s="11" t="s">
        <v>307</v>
      </c>
      <c r="E1385" s="11" t="s">
        <v>414</v>
      </c>
      <c r="F1385" s="11" t="s">
        <v>4065</v>
      </c>
      <c r="G1385" s="37" t="n">
        <v>-9256.39</v>
      </c>
      <c r="H1385" s="37" t="n">
        <v>624076.63</v>
      </c>
    </row>
    <row r="1386" customFormat="false" ht="15" hidden="false" customHeight="false" outlineLevel="0" collapsed="false">
      <c r="A1386" s="11" t="s">
        <v>4066</v>
      </c>
      <c r="B1386" s="38" t="n">
        <v>46289</v>
      </c>
      <c r="C1386" s="11" t="s">
        <v>1500</v>
      </c>
      <c r="D1386" s="11" t="s">
        <v>383</v>
      </c>
      <c r="E1386" s="11" t="s">
        <v>384</v>
      </c>
      <c r="F1386" s="11" t="s">
        <v>4067</v>
      </c>
      <c r="G1386" s="37" t="n">
        <v>-21945.24</v>
      </c>
      <c r="H1386" s="37" t="n">
        <v>602131.39</v>
      </c>
    </row>
    <row r="1387" customFormat="false" ht="15" hidden="false" customHeight="false" outlineLevel="0" collapsed="false">
      <c r="A1387" s="11" t="s">
        <v>4068</v>
      </c>
      <c r="B1387" s="38" t="n">
        <v>46290</v>
      </c>
      <c r="C1387" s="11" t="s">
        <v>1496</v>
      </c>
      <c r="D1387" s="11" t="s">
        <v>1497</v>
      </c>
      <c r="E1387" s="11" t="s">
        <v>331</v>
      </c>
      <c r="F1387" s="11" t="s">
        <v>4069</v>
      </c>
      <c r="G1387" s="37" t="n">
        <v>10116</v>
      </c>
      <c r="H1387" s="37" t="n">
        <v>612247.39</v>
      </c>
    </row>
    <row r="1388" customFormat="false" ht="15" hidden="false" customHeight="false" outlineLevel="0" collapsed="false">
      <c r="A1388" s="11" t="s">
        <v>4070</v>
      </c>
      <c r="B1388" s="38" t="n">
        <v>46290</v>
      </c>
      <c r="C1388" s="11" t="s">
        <v>1496</v>
      </c>
      <c r="D1388" s="11" t="s">
        <v>1497</v>
      </c>
      <c r="E1388" s="11" t="s">
        <v>327</v>
      </c>
      <c r="F1388" s="11" t="s">
        <v>4071</v>
      </c>
      <c r="G1388" s="37" t="n">
        <v>15636</v>
      </c>
      <c r="H1388" s="37" t="n">
        <v>627883.39</v>
      </c>
    </row>
    <row r="1389" customFormat="false" ht="15" hidden="false" customHeight="false" outlineLevel="0" collapsed="false">
      <c r="A1389" s="11" t="s">
        <v>4072</v>
      </c>
      <c r="B1389" s="38" t="n">
        <v>46290</v>
      </c>
      <c r="C1389" s="11" t="s">
        <v>1496</v>
      </c>
      <c r="D1389" s="11" t="s">
        <v>1497</v>
      </c>
      <c r="E1389" s="11" t="s">
        <v>280</v>
      </c>
      <c r="F1389" s="11" t="s">
        <v>4073</v>
      </c>
      <c r="G1389" s="37" t="n">
        <v>11124</v>
      </c>
      <c r="H1389" s="37" t="n">
        <v>639007.39</v>
      </c>
    </row>
    <row r="1390" customFormat="false" ht="15" hidden="false" customHeight="false" outlineLevel="0" collapsed="false">
      <c r="A1390" s="11" t="s">
        <v>4074</v>
      </c>
      <c r="B1390" s="38" t="n">
        <v>46293</v>
      </c>
      <c r="C1390" s="11" t="s">
        <v>1496</v>
      </c>
      <c r="D1390" s="11" t="s">
        <v>1497</v>
      </c>
      <c r="E1390" s="11" t="s">
        <v>331</v>
      </c>
      <c r="F1390" s="11" t="s">
        <v>4075</v>
      </c>
      <c r="G1390" s="37" t="n">
        <v>15912</v>
      </c>
      <c r="H1390" s="37" t="n">
        <v>654919.39</v>
      </c>
    </row>
    <row r="1391" customFormat="false" ht="15" hidden="false" customHeight="false" outlineLevel="0" collapsed="false">
      <c r="A1391" s="11" t="s">
        <v>4076</v>
      </c>
      <c r="B1391" s="38" t="n">
        <v>46293</v>
      </c>
      <c r="C1391" s="11" t="s">
        <v>1496</v>
      </c>
      <c r="D1391" s="11" t="s">
        <v>1497</v>
      </c>
      <c r="E1391" s="11" t="s">
        <v>327</v>
      </c>
      <c r="F1391" s="11" t="s">
        <v>4077</v>
      </c>
      <c r="G1391" s="37" t="n">
        <v>20820</v>
      </c>
      <c r="H1391" s="37" t="n">
        <v>675739.39</v>
      </c>
    </row>
    <row r="1392" customFormat="false" ht="15" hidden="false" customHeight="false" outlineLevel="0" collapsed="false">
      <c r="A1392" s="11" t="s">
        <v>4078</v>
      </c>
      <c r="B1392" s="38" t="n">
        <v>46293</v>
      </c>
      <c r="C1392" s="11" t="s">
        <v>1496</v>
      </c>
      <c r="D1392" s="11" t="s">
        <v>1497</v>
      </c>
      <c r="E1392" s="11" t="s">
        <v>335</v>
      </c>
      <c r="F1392" s="11" t="s">
        <v>4079</v>
      </c>
      <c r="G1392" s="37" t="n">
        <v>13572</v>
      </c>
      <c r="H1392" s="37" t="n">
        <v>689311.39</v>
      </c>
    </row>
    <row r="1393" customFormat="false" ht="15" hidden="false" customHeight="false" outlineLevel="0" collapsed="false">
      <c r="A1393" s="11" t="s">
        <v>4080</v>
      </c>
      <c r="B1393" s="38" t="n">
        <v>46293</v>
      </c>
      <c r="C1393" s="11" t="s">
        <v>1496</v>
      </c>
      <c r="D1393" s="11" t="s">
        <v>1497</v>
      </c>
      <c r="E1393" s="11" t="s">
        <v>335</v>
      </c>
      <c r="F1393" s="11" t="s">
        <v>4081</v>
      </c>
      <c r="G1393" s="37" t="n">
        <v>5952</v>
      </c>
      <c r="H1393" s="37" t="n">
        <v>695263.39</v>
      </c>
    </row>
    <row r="1394" customFormat="false" ht="15" hidden="false" customHeight="false" outlineLevel="0" collapsed="false">
      <c r="A1394" s="11" t="s">
        <v>4082</v>
      </c>
      <c r="B1394" s="38" t="n">
        <v>46293</v>
      </c>
      <c r="C1394" s="11" t="s">
        <v>1496</v>
      </c>
      <c r="D1394" s="11" t="s">
        <v>1497</v>
      </c>
      <c r="E1394" s="11" t="s">
        <v>280</v>
      </c>
      <c r="F1394" s="11" t="s">
        <v>4083</v>
      </c>
      <c r="G1394" s="37" t="n">
        <v>17184</v>
      </c>
      <c r="H1394" s="37" t="n">
        <v>712447.39</v>
      </c>
    </row>
    <row r="1395" customFormat="false" ht="15" hidden="false" customHeight="false" outlineLevel="0" collapsed="false">
      <c r="A1395" s="11" t="s">
        <v>4084</v>
      </c>
      <c r="B1395" s="38" t="n">
        <v>46294</v>
      </c>
      <c r="C1395" s="11" t="s">
        <v>1496</v>
      </c>
      <c r="D1395" s="11" t="s">
        <v>1497</v>
      </c>
      <c r="E1395" s="11" t="s">
        <v>335</v>
      </c>
      <c r="F1395" s="11" t="s">
        <v>4085</v>
      </c>
      <c r="G1395" s="37" t="n">
        <v>1836</v>
      </c>
      <c r="H1395" s="37" t="n">
        <v>714283.39</v>
      </c>
    </row>
    <row r="1396" customFormat="false" ht="15" hidden="false" customHeight="false" outlineLevel="0" collapsed="false">
      <c r="A1396" s="11" t="s">
        <v>4086</v>
      </c>
      <c r="B1396" s="38" t="n">
        <v>46294</v>
      </c>
      <c r="C1396" s="11" t="s">
        <v>1496</v>
      </c>
      <c r="D1396" s="11" t="s">
        <v>1497</v>
      </c>
      <c r="E1396" s="11" t="s">
        <v>335</v>
      </c>
      <c r="F1396" s="11" t="s">
        <v>4087</v>
      </c>
      <c r="G1396" s="37" t="n">
        <v>4308</v>
      </c>
      <c r="H1396" s="37" t="n">
        <v>718591.39</v>
      </c>
    </row>
    <row r="1397" customFormat="false" ht="15" hidden="false" customHeight="false" outlineLevel="0" collapsed="false">
      <c r="A1397" s="11" t="s">
        <v>4088</v>
      </c>
      <c r="B1397" s="38" t="n">
        <v>46294</v>
      </c>
      <c r="C1397" s="11" t="s">
        <v>1496</v>
      </c>
      <c r="D1397" s="11" t="s">
        <v>1497</v>
      </c>
      <c r="E1397" s="11" t="s">
        <v>331</v>
      </c>
      <c r="F1397" s="11" t="s">
        <v>4089</v>
      </c>
      <c r="G1397" s="37" t="n">
        <v>16692</v>
      </c>
      <c r="H1397" s="37" t="n">
        <v>735283.39</v>
      </c>
    </row>
    <row r="1398" customFormat="false" ht="15" hidden="false" customHeight="false" outlineLevel="0" collapsed="false">
      <c r="A1398" s="11" t="s">
        <v>4090</v>
      </c>
      <c r="B1398" s="38" t="n">
        <v>46295</v>
      </c>
      <c r="C1398" s="11" t="s">
        <v>1500</v>
      </c>
      <c r="D1398" s="11" t="s">
        <v>291</v>
      </c>
      <c r="E1398" s="11" t="s">
        <v>292</v>
      </c>
      <c r="F1398" s="11"/>
      <c r="G1398" s="37" t="n">
        <v>-4678.52</v>
      </c>
      <c r="H1398" s="37" t="n">
        <v>730604.87</v>
      </c>
    </row>
    <row r="1399" customFormat="false" ht="15" hidden="false" customHeight="false" outlineLevel="0" collapsed="false">
      <c r="A1399" s="11" t="s">
        <v>4091</v>
      </c>
      <c r="B1399" s="38" t="n">
        <v>46295</v>
      </c>
      <c r="C1399" s="11" t="s">
        <v>1496</v>
      </c>
      <c r="D1399" s="11" t="s">
        <v>1497</v>
      </c>
      <c r="E1399" s="11" t="s">
        <v>392</v>
      </c>
      <c r="F1399" s="11" t="s">
        <v>4092</v>
      </c>
      <c r="G1399" s="37" t="n">
        <v>18684</v>
      </c>
      <c r="H1399" s="37" t="n">
        <v>749288.87</v>
      </c>
    </row>
    <row r="1400" customFormat="false" ht="15" hidden="false" customHeight="false" outlineLevel="0" collapsed="false">
      <c r="A1400" s="11" t="s">
        <v>4093</v>
      </c>
      <c r="B1400" s="38" t="n">
        <v>46295</v>
      </c>
      <c r="C1400" s="11" t="s">
        <v>1500</v>
      </c>
      <c r="D1400" s="11" t="s">
        <v>1634</v>
      </c>
      <c r="E1400" s="11" t="s">
        <v>425</v>
      </c>
      <c r="F1400" s="11"/>
      <c r="G1400" s="37" t="n">
        <v>-106000</v>
      </c>
      <c r="H1400" s="37" t="n">
        <v>643288.87</v>
      </c>
    </row>
    <row r="1401" customFormat="false" ht="15" hidden="false" customHeight="false" outlineLevel="0" collapsed="false">
      <c r="A1401" s="11" t="s">
        <v>4094</v>
      </c>
      <c r="B1401" s="38" t="n">
        <v>46296</v>
      </c>
      <c r="C1401" s="11" t="s">
        <v>1500</v>
      </c>
      <c r="D1401" s="11" t="s">
        <v>307</v>
      </c>
      <c r="E1401" s="11" t="s">
        <v>308</v>
      </c>
      <c r="F1401" s="11" t="s">
        <v>4095</v>
      </c>
      <c r="G1401" s="37" t="n">
        <v>-35572.38</v>
      </c>
      <c r="H1401" s="37" t="n">
        <v>607716.49</v>
      </c>
    </row>
    <row r="1402" customFormat="false" ht="15" hidden="false" customHeight="false" outlineLevel="0" collapsed="false">
      <c r="A1402" s="11" t="s">
        <v>4096</v>
      </c>
      <c r="B1402" s="38" t="n">
        <v>46296</v>
      </c>
      <c r="C1402" s="11" t="s">
        <v>1500</v>
      </c>
      <c r="D1402" s="11" t="s">
        <v>1503</v>
      </c>
      <c r="E1402" s="11" t="s">
        <v>847</v>
      </c>
      <c r="F1402" s="11"/>
      <c r="G1402" s="37" t="n">
        <v>-23400</v>
      </c>
      <c r="H1402" s="37" t="n">
        <v>584316.49</v>
      </c>
    </row>
    <row r="1403" customFormat="false" ht="15" hidden="false" customHeight="false" outlineLevel="0" collapsed="false">
      <c r="A1403" s="11" t="s">
        <v>4097</v>
      </c>
      <c r="B1403" s="38" t="n">
        <v>46296</v>
      </c>
      <c r="C1403" s="11" t="s">
        <v>1500</v>
      </c>
      <c r="D1403" s="11" t="s">
        <v>1501</v>
      </c>
      <c r="E1403" s="11" t="s">
        <v>853</v>
      </c>
      <c r="F1403" s="11"/>
      <c r="G1403" s="37" t="n">
        <v>-7800</v>
      </c>
      <c r="H1403" s="37" t="n">
        <v>576516.49</v>
      </c>
    </row>
    <row r="1404" customFormat="false" ht="15" hidden="false" customHeight="false" outlineLevel="0" collapsed="false">
      <c r="A1404" s="11" t="s">
        <v>4098</v>
      </c>
      <c r="B1404" s="38" t="n">
        <v>46296</v>
      </c>
      <c r="C1404" s="11" t="s">
        <v>1500</v>
      </c>
      <c r="D1404" s="11" t="s">
        <v>307</v>
      </c>
      <c r="E1404" s="11" t="s">
        <v>420</v>
      </c>
      <c r="F1404" s="11" t="s">
        <v>4099</v>
      </c>
      <c r="G1404" s="37" t="n">
        <v>-140143.95</v>
      </c>
      <c r="H1404" s="37" t="n">
        <v>436372.54</v>
      </c>
    </row>
    <row r="1405" customFormat="false" ht="15" hidden="false" customHeight="false" outlineLevel="0" collapsed="false">
      <c r="A1405" s="11" t="s">
        <v>4100</v>
      </c>
      <c r="B1405" s="38" t="n">
        <v>46296</v>
      </c>
      <c r="C1405" s="11" t="s">
        <v>1500</v>
      </c>
      <c r="D1405" s="11" t="s">
        <v>307</v>
      </c>
      <c r="E1405" s="11" t="s">
        <v>313</v>
      </c>
      <c r="F1405" s="11" t="s">
        <v>4101</v>
      </c>
      <c r="G1405" s="37" t="n">
        <v>-6420.23</v>
      </c>
      <c r="H1405" s="37" t="n">
        <v>429952.31</v>
      </c>
    </row>
    <row r="1406" customFormat="false" ht="15" hidden="false" customHeight="false" outlineLevel="0" collapsed="false">
      <c r="A1406" s="11" t="s">
        <v>4102</v>
      </c>
      <c r="B1406" s="38" t="n">
        <v>46297</v>
      </c>
      <c r="C1406" s="11" t="s">
        <v>1496</v>
      </c>
      <c r="D1406" s="11" t="s">
        <v>1497</v>
      </c>
      <c r="E1406" s="11" t="s">
        <v>335</v>
      </c>
      <c r="F1406" s="11" t="s">
        <v>4103</v>
      </c>
      <c r="G1406" s="37" t="n">
        <v>4356</v>
      </c>
      <c r="H1406" s="37" t="n">
        <v>434308.31</v>
      </c>
    </row>
    <row r="1407" customFormat="false" ht="15" hidden="false" customHeight="false" outlineLevel="0" collapsed="false">
      <c r="A1407" s="11" t="s">
        <v>4104</v>
      </c>
      <c r="B1407" s="38" t="n">
        <v>46300</v>
      </c>
      <c r="C1407" s="11" t="s">
        <v>1496</v>
      </c>
      <c r="D1407" s="11" t="s">
        <v>1497</v>
      </c>
      <c r="E1407" s="11" t="s">
        <v>287</v>
      </c>
      <c r="F1407" s="11" t="s">
        <v>4105</v>
      </c>
      <c r="G1407" s="37" t="n">
        <v>1524</v>
      </c>
      <c r="H1407" s="37" t="n">
        <v>435832.31</v>
      </c>
    </row>
    <row r="1408" customFormat="false" ht="15" hidden="false" customHeight="false" outlineLevel="0" collapsed="false">
      <c r="A1408" s="11" t="s">
        <v>4106</v>
      </c>
      <c r="B1408" s="38" t="n">
        <v>46300</v>
      </c>
      <c r="C1408" s="11" t="s">
        <v>1496</v>
      </c>
      <c r="D1408" s="11" t="s">
        <v>1497</v>
      </c>
      <c r="E1408" s="11" t="s">
        <v>335</v>
      </c>
      <c r="F1408" s="11" t="s">
        <v>4107</v>
      </c>
      <c r="G1408" s="37" t="n">
        <v>3180</v>
      </c>
      <c r="H1408" s="37" t="n">
        <v>439012.31</v>
      </c>
    </row>
    <row r="1409" customFormat="false" ht="15" hidden="false" customHeight="false" outlineLevel="0" collapsed="false">
      <c r="A1409" s="11" t="s">
        <v>4108</v>
      </c>
      <c r="B1409" s="38" t="n">
        <v>46300</v>
      </c>
      <c r="C1409" s="11" t="s">
        <v>1500</v>
      </c>
      <c r="D1409" s="11" t="s">
        <v>469</v>
      </c>
      <c r="E1409" s="11" t="s">
        <v>470</v>
      </c>
      <c r="F1409" s="11"/>
      <c r="G1409" s="37" t="n">
        <v>-8900</v>
      </c>
      <c r="H1409" s="37" t="n">
        <v>430112.31</v>
      </c>
    </row>
    <row r="1410" customFormat="false" ht="15" hidden="false" customHeight="false" outlineLevel="0" collapsed="false">
      <c r="A1410" s="11" t="s">
        <v>4109</v>
      </c>
      <c r="B1410" s="38" t="n">
        <v>46300</v>
      </c>
      <c r="C1410" s="11" t="s">
        <v>1500</v>
      </c>
      <c r="D1410" s="11" t="s">
        <v>448</v>
      </c>
      <c r="E1410" s="11" t="s">
        <v>449</v>
      </c>
      <c r="F1410" s="11"/>
      <c r="G1410" s="37" t="n">
        <v>-2880</v>
      </c>
      <c r="H1410" s="37" t="n">
        <v>427232.31</v>
      </c>
    </row>
    <row r="1411" customFormat="false" ht="15" hidden="false" customHeight="false" outlineLevel="0" collapsed="false">
      <c r="A1411" s="11" t="s">
        <v>4110</v>
      </c>
      <c r="B1411" s="38" t="n">
        <v>46302</v>
      </c>
      <c r="C1411" s="11" t="s">
        <v>1500</v>
      </c>
      <c r="D1411" s="11" t="s">
        <v>291</v>
      </c>
      <c r="E1411" s="11" t="s">
        <v>292</v>
      </c>
      <c r="F1411" s="11"/>
      <c r="G1411" s="37" t="n">
        <v>-4660.34</v>
      </c>
      <c r="H1411" s="37" t="n">
        <v>422571.97</v>
      </c>
    </row>
    <row r="1412" customFormat="false" ht="15" hidden="false" customHeight="false" outlineLevel="0" collapsed="false">
      <c r="A1412" s="11" t="s">
        <v>4111</v>
      </c>
      <c r="B1412" s="38" t="n">
        <v>46302</v>
      </c>
      <c r="C1412" s="11" t="s">
        <v>1496</v>
      </c>
      <c r="D1412" s="11" t="s">
        <v>1497</v>
      </c>
      <c r="E1412" s="11" t="s">
        <v>349</v>
      </c>
      <c r="F1412" s="11" t="s">
        <v>4112</v>
      </c>
      <c r="G1412" s="37" t="n">
        <v>23208</v>
      </c>
      <c r="H1412" s="37" t="n">
        <v>445779.97</v>
      </c>
    </row>
    <row r="1413" customFormat="false" ht="15" hidden="false" customHeight="false" outlineLevel="0" collapsed="false">
      <c r="A1413" s="11" t="s">
        <v>4113</v>
      </c>
      <c r="B1413" s="38" t="n">
        <v>46303</v>
      </c>
      <c r="C1413" s="11" t="s">
        <v>1496</v>
      </c>
      <c r="D1413" s="11" t="s">
        <v>1497</v>
      </c>
      <c r="E1413" s="11" t="s">
        <v>323</v>
      </c>
      <c r="F1413" s="11" t="s">
        <v>4114</v>
      </c>
      <c r="G1413" s="37" t="n">
        <v>3828</v>
      </c>
      <c r="H1413" s="37" t="n">
        <v>449607.97</v>
      </c>
    </row>
    <row r="1414" customFormat="false" ht="15" hidden="false" customHeight="false" outlineLevel="0" collapsed="false">
      <c r="A1414" s="11" t="s">
        <v>4115</v>
      </c>
      <c r="B1414" s="38" t="n">
        <v>46303</v>
      </c>
      <c r="C1414" s="11" t="s">
        <v>1500</v>
      </c>
      <c r="D1414" s="11" t="s">
        <v>480</v>
      </c>
      <c r="E1414" s="11" t="s">
        <v>481</v>
      </c>
      <c r="F1414" s="11"/>
      <c r="G1414" s="37" t="n">
        <v>-9840</v>
      </c>
      <c r="H1414" s="37" t="n">
        <v>439767.97</v>
      </c>
    </row>
    <row r="1415" customFormat="false" ht="15" hidden="false" customHeight="false" outlineLevel="0" collapsed="false">
      <c r="A1415" s="11" t="s">
        <v>4116</v>
      </c>
      <c r="B1415" s="38" t="n">
        <v>46303</v>
      </c>
      <c r="C1415" s="11" t="s">
        <v>1500</v>
      </c>
      <c r="D1415" s="11" t="s">
        <v>307</v>
      </c>
      <c r="E1415" s="11" t="s">
        <v>464</v>
      </c>
      <c r="F1415" s="11" t="s">
        <v>4117</v>
      </c>
      <c r="G1415" s="37" t="n">
        <v>-15986.03</v>
      </c>
      <c r="H1415" s="37" t="n">
        <v>423781.94</v>
      </c>
    </row>
    <row r="1416" customFormat="false" ht="15" hidden="false" customHeight="false" outlineLevel="0" collapsed="false">
      <c r="A1416" s="11" t="s">
        <v>4118</v>
      </c>
      <c r="B1416" s="38" t="n">
        <v>46303</v>
      </c>
      <c r="C1416" s="11" t="s">
        <v>1500</v>
      </c>
      <c r="D1416" s="11" t="s">
        <v>307</v>
      </c>
      <c r="E1416" s="11" t="s">
        <v>313</v>
      </c>
      <c r="F1416" s="11" t="s">
        <v>4119</v>
      </c>
      <c r="G1416" s="37" t="n">
        <v>-5634.17</v>
      </c>
      <c r="H1416" s="37" t="n">
        <v>418147.77</v>
      </c>
    </row>
    <row r="1417" customFormat="false" ht="15" hidden="false" customHeight="false" outlineLevel="0" collapsed="false">
      <c r="A1417" s="11" t="s">
        <v>4120</v>
      </c>
      <c r="B1417" s="38" t="n">
        <v>46303</v>
      </c>
      <c r="C1417" s="11" t="s">
        <v>1500</v>
      </c>
      <c r="D1417" s="11" t="s">
        <v>307</v>
      </c>
      <c r="E1417" s="11" t="s">
        <v>458</v>
      </c>
      <c r="F1417" s="11" t="s">
        <v>4121</v>
      </c>
      <c r="G1417" s="37" t="n">
        <v>-36907.12</v>
      </c>
      <c r="H1417" s="37" t="n">
        <v>381240.65</v>
      </c>
    </row>
  </sheetData>
  <autoFilter ref="A1:H14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3" min="3" style="0" width="26"/>
    <col collapsed="false" customWidth="true" hidden="false" outlineLevel="0" max="4" min="4" style="0" width="12"/>
    <col collapsed="false" customWidth="true" hidden="false" outlineLevel="0" max="5" min="5" style="0" width="20"/>
    <col collapsed="false" customWidth="true" hidden="false" outlineLevel="0" max="6" min="6" style="0" width="26"/>
    <col collapsed="false" customWidth="true" hidden="false" outlineLevel="0" max="7" min="7" style="0" width="18"/>
    <col collapsed="false" customWidth="true" hidden="false" outlineLevel="0" max="11" min="8" style="0" width="16"/>
  </cols>
  <sheetData>
    <row r="1" customFormat="false" ht="30" hidden="false" customHeight="true" outlineLevel="0" collapsed="false">
      <c r="A1" s="33" t="s">
        <v>254</v>
      </c>
      <c r="B1" s="33" t="s">
        <v>4122</v>
      </c>
      <c r="C1" s="33" t="s">
        <v>4123</v>
      </c>
      <c r="D1" s="33" t="s">
        <v>4124</v>
      </c>
      <c r="E1" s="33" t="s">
        <v>1358</v>
      </c>
      <c r="F1" s="33" t="s">
        <v>4125</v>
      </c>
      <c r="G1" s="33" t="s">
        <v>4126</v>
      </c>
      <c r="H1" s="33" t="s">
        <v>1360</v>
      </c>
      <c r="I1" s="33" t="s">
        <v>4127</v>
      </c>
      <c r="J1" s="33" t="s">
        <v>4128</v>
      </c>
      <c r="K1" s="33" t="s">
        <v>4129</v>
      </c>
    </row>
    <row r="2" customFormat="false" ht="15" hidden="false" customHeight="false" outlineLevel="0" collapsed="false">
      <c r="A2" s="11" t="s">
        <v>598</v>
      </c>
      <c r="B2" s="11" t="s">
        <v>597</v>
      </c>
      <c r="C2" s="11" t="s">
        <v>4130</v>
      </c>
      <c r="D2" s="11" t="s">
        <v>4131</v>
      </c>
      <c r="E2" s="53" t="n">
        <v>60</v>
      </c>
      <c r="F2" s="11" t="s">
        <v>4132</v>
      </c>
      <c r="G2" s="37" t="n">
        <v>300000</v>
      </c>
      <c r="H2" s="54" t="n">
        <f aca="false">IFERROR(AVERAGEIFS(AR_Invoices!$M:$M,AR_Invoices!$B:$B,$A2,AR_Invoices!$K:$K,"Paid",AR_Invoices!$L:$L,"&gt;="&amp;DATE(2025,10,10)),"-")</f>
        <v>12.6666666666667</v>
      </c>
      <c r="I2" s="55" t="n">
        <f aca="false">COUNTIFS(AR_Invoices!$B:$B,$A2,AR_Invoices!$K:$K,"Paid",AR_Invoices!$L:$L,"&gt;="&amp;DATE(2025,10,10))</f>
        <v>3</v>
      </c>
      <c r="J2" s="56" t="n">
        <f aca="false">SUMIFS(AR_Invoices!$H:$H,AR_Invoices!$B:$B,$A2,AR_Invoices!$K:$K,"&lt;&gt;Paid")</f>
        <v>230400</v>
      </c>
      <c r="K2" s="56" t="n">
        <f aca="false">SUMIFS(AR_Invoices!$H:$H,AR_Invoices!$B:$B,$A2,AR_Invoices!$K:$K,"&lt;&gt;Paid",AR_Invoices!$N:$N,"&gt;0")</f>
        <v>0</v>
      </c>
    </row>
    <row r="3" customFormat="false" ht="15" hidden="false" customHeight="false" outlineLevel="0" collapsed="false">
      <c r="A3" s="11" t="s">
        <v>328</v>
      </c>
      <c r="B3" s="11" t="s">
        <v>327</v>
      </c>
      <c r="C3" s="11" t="s">
        <v>4133</v>
      </c>
      <c r="D3" s="11" t="s">
        <v>4131</v>
      </c>
      <c r="E3" s="53" t="n">
        <v>60</v>
      </c>
      <c r="F3" s="11" t="s">
        <v>4132</v>
      </c>
      <c r="G3" s="37" t="n">
        <v>120000</v>
      </c>
      <c r="H3" s="54" t="n">
        <f aca="false">IFERROR(AVERAGEIFS(AR_Invoices!$M:$M,AR_Invoices!$B:$B,$A3,AR_Invoices!$K:$K,"Paid",AR_Invoices!$L:$L,"&gt;="&amp;DATE(2025,10,10)),"-")</f>
        <v>22.1571428571429</v>
      </c>
      <c r="I3" s="55" t="n">
        <f aca="false">COUNTIFS(AR_Invoices!$B:$B,$A3,AR_Invoices!$K:$K,"Paid",AR_Invoices!$L:$L,"&gt;="&amp;DATE(2025,10,10))</f>
        <v>70</v>
      </c>
      <c r="J3" s="56" t="n">
        <f aca="false">SUMIFS(AR_Invoices!$H:$H,AR_Invoices!$B:$B,$A3,AR_Invoices!$K:$K,"&lt;&gt;Paid")</f>
        <v>325116</v>
      </c>
      <c r="K3" s="56" t="n">
        <f aca="false">SUMIFS(AR_Invoices!$H:$H,AR_Invoices!$B:$B,$A3,AR_Invoices!$K:$K,"&lt;&gt;Paid",AR_Invoices!$N:$N,"&gt;0")</f>
        <v>57072</v>
      </c>
    </row>
    <row r="4" customFormat="false" ht="15" hidden="false" customHeight="false" outlineLevel="0" collapsed="false">
      <c r="A4" s="11" t="s">
        <v>350</v>
      </c>
      <c r="B4" s="11" t="s">
        <v>349</v>
      </c>
      <c r="C4" s="11" t="s">
        <v>4133</v>
      </c>
      <c r="D4" s="11" t="s">
        <v>4131</v>
      </c>
      <c r="E4" s="53" t="n">
        <v>60</v>
      </c>
      <c r="F4" s="11" t="s">
        <v>4132</v>
      </c>
      <c r="G4" s="37" t="n">
        <v>80000</v>
      </c>
      <c r="H4" s="54" t="n">
        <f aca="false">IFERROR(AVERAGEIFS(AR_Invoices!$M:$M,AR_Invoices!$B:$B,$A4,AR_Invoices!$K:$K,"Paid",AR_Invoices!$L:$L,"&gt;="&amp;DATE(2025,10,10)),"-")</f>
        <v>11.0645161290323</v>
      </c>
      <c r="I4" s="55" t="n">
        <f aca="false">COUNTIFS(AR_Invoices!$B:$B,$A4,AR_Invoices!$K:$K,"Paid",AR_Invoices!$L:$L,"&gt;="&amp;DATE(2025,10,10))</f>
        <v>62</v>
      </c>
      <c r="J4" s="56" t="n">
        <f aca="false">SUMIFS(AR_Invoices!$H:$H,AR_Invoices!$B:$B,$A4,AR_Invoices!$K:$K,"&lt;&gt;Paid")</f>
        <v>171504</v>
      </c>
      <c r="K4" s="56" t="n">
        <f aca="false">SUMIFS(AR_Invoices!$H:$H,AR_Invoices!$B:$B,$A4,AR_Invoices!$K:$K,"&lt;&gt;Paid",AR_Invoices!$N:$N,"&gt;0")</f>
        <v>0</v>
      </c>
    </row>
    <row r="5" customFormat="false" ht="15" hidden="false" customHeight="false" outlineLevel="0" collapsed="false">
      <c r="A5" s="11" t="s">
        <v>332</v>
      </c>
      <c r="B5" s="11" t="s">
        <v>331</v>
      </c>
      <c r="C5" s="11" t="s">
        <v>4133</v>
      </c>
      <c r="D5" s="11" t="s">
        <v>4131</v>
      </c>
      <c r="E5" s="53" t="n">
        <v>45</v>
      </c>
      <c r="F5" s="11" t="s">
        <v>4132</v>
      </c>
      <c r="G5" s="37" t="n">
        <v>50000</v>
      </c>
      <c r="H5" s="54" t="n">
        <f aca="false">IFERROR(AVERAGEIFS(AR_Invoices!$M:$M,AR_Invoices!$B:$B,$A5,AR_Invoices!$K:$K,"Paid",AR_Invoices!$L:$L,"&gt;="&amp;DATE(2025,10,10)),"-")</f>
        <v>25.9384615384615</v>
      </c>
      <c r="I5" s="55" t="n">
        <f aca="false">COUNTIFS(AR_Invoices!$B:$B,$A5,AR_Invoices!$K:$K,"Paid",AR_Invoices!$L:$L,"&gt;="&amp;DATE(2025,10,10))</f>
        <v>65</v>
      </c>
      <c r="J5" s="56" t="n">
        <f aca="false">SUMIFS(AR_Invoices!$H:$H,AR_Invoices!$B:$B,$A5,AR_Invoices!$K:$K,"&lt;&gt;Paid")</f>
        <v>152076</v>
      </c>
      <c r="K5" s="56" t="n">
        <f aca="false">SUMIFS(AR_Invoices!$H:$H,AR_Invoices!$B:$B,$A5,AR_Invoices!$K:$K,"&lt;&gt;Paid",AR_Invoices!$N:$N,"&gt;0")</f>
        <v>42708</v>
      </c>
    </row>
    <row r="6" customFormat="false" ht="15" hidden="false" customHeight="false" outlineLevel="0" collapsed="false">
      <c r="A6" s="11" t="s">
        <v>281</v>
      </c>
      <c r="B6" s="11" t="s">
        <v>280</v>
      </c>
      <c r="C6" s="11" t="s">
        <v>4134</v>
      </c>
      <c r="D6" s="11" t="s">
        <v>4131</v>
      </c>
      <c r="E6" s="53" t="n">
        <v>45</v>
      </c>
      <c r="F6" s="11" t="s">
        <v>4135</v>
      </c>
      <c r="G6" s="37" t="n">
        <v>90000</v>
      </c>
      <c r="H6" s="54" t="n">
        <f aca="false">IFERROR(AVERAGEIFS(AR_Invoices!$M:$M,AR_Invoices!$B:$B,$A6,AR_Invoices!$K:$K,"Paid",AR_Invoices!$L:$L,"&gt;="&amp;DATE(2025,10,10)),"-")</f>
        <v>0.57258064516129</v>
      </c>
      <c r="I6" s="55" t="n">
        <f aca="false">COUNTIFS(AR_Invoices!$B:$B,$A6,AR_Invoices!$K:$K,"Paid",AR_Invoices!$L:$L,"&gt;="&amp;DATE(2025,10,10))</f>
        <v>124</v>
      </c>
      <c r="J6" s="56" t="n">
        <f aca="false">SUMIFS(AR_Invoices!$H:$H,AR_Invoices!$B:$B,$A6,AR_Invoices!$K:$K,"&lt;&gt;Paid")</f>
        <v>140712</v>
      </c>
      <c r="K6" s="56" t="n">
        <f aca="false">SUMIFS(AR_Invoices!$H:$H,AR_Invoices!$B:$B,$A6,AR_Invoices!$K:$K,"&lt;&gt;Paid",AR_Invoices!$N:$N,"&gt;0")</f>
        <v>0</v>
      </c>
    </row>
    <row r="7" customFormat="false" ht="15" hidden="false" customHeight="false" outlineLevel="0" collapsed="false">
      <c r="A7" s="11" t="s">
        <v>336</v>
      </c>
      <c r="B7" s="11" t="s">
        <v>335</v>
      </c>
      <c r="C7" s="11" t="s">
        <v>4134</v>
      </c>
      <c r="D7" s="11" t="s">
        <v>4131</v>
      </c>
      <c r="E7" s="53" t="n">
        <v>45</v>
      </c>
      <c r="F7" s="11" t="s">
        <v>4132</v>
      </c>
      <c r="G7" s="37" t="n">
        <v>60000</v>
      </c>
      <c r="H7" s="54" t="n">
        <f aca="false">IFERROR(AVERAGEIFS(AR_Invoices!$M:$M,AR_Invoices!$B:$B,$A7,AR_Invoices!$K:$K,"Paid",AR_Invoices!$L:$L,"&gt;="&amp;DATE(2025,10,10)),"-")</f>
        <v>7.62280701754386</v>
      </c>
      <c r="I7" s="55" t="n">
        <f aca="false">COUNTIFS(AR_Invoices!$B:$B,$A7,AR_Invoices!$K:$K,"Paid",AR_Invoices!$L:$L,"&gt;="&amp;DATE(2025,10,10))</f>
        <v>114</v>
      </c>
      <c r="J7" s="56" t="n">
        <f aca="false">SUMIFS(AR_Invoices!$H:$H,AR_Invoices!$B:$B,$A7,AR_Invoices!$K:$K,"&lt;&gt;Paid")</f>
        <v>100704</v>
      </c>
      <c r="K7" s="56" t="n">
        <f aca="false">SUMIFS(AR_Invoices!$H:$H,AR_Invoices!$B:$B,$A7,AR_Invoices!$K:$K,"&lt;&gt;Paid",AR_Invoices!$N:$N,"&gt;0")</f>
        <v>4656</v>
      </c>
    </row>
    <row r="8" customFormat="false" ht="15" hidden="false" customHeight="false" outlineLevel="0" collapsed="false">
      <c r="A8" s="11" t="s">
        <v>288</v>
      </c>
      <c r="B8" s="11" t="s">
        <v>287</v>
      </c>
      <c r="C8" s="11" t="s">
        <v>4133</v>
      </c>
      <c r="D8" s="11" t="s">
        <v>4131</v>
      </c>
      <c r="E8" s="53" t="n">
        <v>30</v>
      </c>
      <c r="F8" s="11" t="s">
        <v>4132</v>
      </c>
      <c r="G8" s="37" t="n">
        <v>20000</v>
      </c>
      <c r="H8" s="54" t="n">
        <f aca="false">IFERROR(AVERAGEIFS(AR_Invoices!$M:$M,AR_Invoices!$B:$B,$A8,AR_Invoices!$K:$K,"Paid",AR_Invoices!$L:$L,"&gt;="&amp;DATE(2025,10,10)),"-")</f>
        <v>4.34567901234568</v>
      </c>
      <c r="I8" s="55" t="n">
        <f aca="false">COUNTIFS(AR_Invoices!$B:$B,$A8,AR_Invoices!$K:$K,"Paid",AR_Invoices!$L:$L,"&gt;="&amp;DATE(2025,10,10))</f>
        <v>81</v>
      </c>
      <c r="J8" s="56" t="n">
        <f aca="false">SUMIFS(AR_Invoices!$H:$H,AR_Invoices!$B:$B,$A8,AR_Invoices!$K:$K,"&lt;&gt;Paid")</f>
        <v>50424</v>
      </c>
      <c r="K8" s="56" t="n">
        <f aca="false">SUMIFS(AR_Invoices!$H:$H,AR_Invoices!$B:$B,$A8,AR_Invoices!$K:$K,"&lt;&gt;Paid",AR_Invoices!$N:$N,"&gt;0")</f>
        <v>0</v>
      </c>
    </row>
    <row r="9" customFormat="false" ht="15" hidden="false" customHeight="false" outlineLevel="0" collapsed="false">
      <c r="A9" s="11" t="s">
        <v>400</v>
      </c>
      <c r="B9" s="11" t="s">
        <v>399</v>
      </c>
      <c r="C9" s="11" t="s">
        <v>4136</v>
      </c>
      <c r="D9" s="11" t="s">
        <v>4131</v>
      </c>
      <c r="E9" s="53" t="n">
        <v>30</v>
      </c>
      <c r="F9" s="11" t="s">
        <v>4137</v>
      </c>
      <c r="G9" s="37" t="n">
        <v>80000</v>
      </c>
      <c r="H9" s="54" t="n">
        <f aca="false">IFERROR(AVERAGEIFS(AR_Invoices!$M:$M,AR_Invoices!$B:$B,$A9,AR_Invoices!$K:$K,"Paid",AR_Invoices!$L:$L,"&gt;="&amp;DATE(2025,10,10)),"-")</f>
        <v>9.20833333333333</v>
      </c>
      <c r="I9" s="55" t="n">
        <f aca="false">COUNTIFS(AR_Invoices!$B:$B,$A9,AR_Invoices!$K:$K,"Paid",AR_Invoices!$L:$L,"&gt;="&amp;DATE(2025,10,10))</f>
        <v>24</v>
      </c>
      <c r="J9" s="56" t="n">
        <f aca="false">SUMIFS(AR_Invoices!$H:$H,AR_Invoices!$B:$B,$A9,AR_Invoices!$K:$K,"&lt;&gt;Paid")</f>
        <v>62556</v>
      </c>
      <c r="K9" s="56" t="n">
        <f aca="false">SUMIFS(AR_Invoices!$H:$H,AR_Invoices!$B:$B,$A9,AR_Invoices!$K:$K,"&lt;&gt;Paid",AR_Invoices!$N:$N,"&gt;0")</f>
        <v>0</v>
      </c>
    </row>
    <row r="10" customFormat="false" ht="15" hidden="false" customHeight="false" outlineLevel="0" collapsed="false">
      <c r="A10" s="11" t="s">
        <v>393</v>
      </c>
      <c r="B10" s="11" t="s">
        <v>392</v>
      </c>
      <c r="C10" s="11" t="s">
        <v>4138</v>
      </c>
      <c r="D10" s="11" t="s">
        <v>4131</v>
      </c>
      <c r="E10" s="53" t="n">
        <v>50</v>
      </c>
      <c r="F10" s="11" t="s">
        <v>4137</v>
      </c>
      <c r="G10" s="37" t="n">
        <v>60000</v>
      </c>
      <c r="H10" s="54" t="n">
        <f aca="false">IFERROR(AVERAGEIFS(AR_Invoices!$M:$M,AR_Invoices!$B:$B,$A10,AR_Invoices!$K:$K,"Paid",AR_Invoices!$L:$L,"&gt;="&amp;DATE(2025,10,10)),"-")</f>
        <v>24.6538461538462</v>
      </c>
      <c r="I10" s="55" t="n">
        <f aca="false">COUNTIFS(AR_Invoices!$B:$B,$A10,AR_Invoices!$K:$K,"Paid",AR_Invoices!$L:$L,"&gt;="&amp;DATE(2025,10,10))</f>
        <v>26</v>
      </c>
      <c r="J10" s="56" t="n">
        <f aca="false">SUMIFS(AR_Invoices!$H:$H,AR_Invoices!$B:$B,$A10,AR_Invoices!$K:$K,"&lt;&gt;Paid")</f>
        <v>51996</v>
      </c>
      <c r="K10" s="56" t="n">
        <f aca="false">SUMIFS(AR_Invoices!$H:$H,AR_Invoices!$B:$B,$A10,AR_Invoices!$K:$K,"&lt;&gt;Paid",AR_Invoices!$N:$N,"&gt;0")</f>
        <v>16824</v>
      </c>
    </row>
    <row r="11" customFormat="false" ht="15" hidden="false" customHeight="false" outlineLevel="0" collapsed="false">
      <c r="A11" s="11" t="s">
        <v>811</v>
      </c>
      <c r="B11" s="11" t="s">
        <v>810</v>
      </c>
      <c r="C11" s="11" t="s">
        <v>4130</v>
      </c>
      <c r="D11" s="11" t="s">
        <v>4131</v>
      </c>
      <c r="E11" s="53" t="n">
        <v>45</v>
      </c>
      <c r="F11" s="11" t="s">
        <v>4132</v>
      </c>
      <c r="G11" s="37" t="n">
        <v>250000</v>
      </c>
      <c r="H11" s="54" t="n">
        <f aca="false">IFERROR(AVERAGEIFS(AR_Invoices!$M:$M,AR_Invoices!$B:$B,$A11,AR_Invoices!$K:$K,"Paid",AR_Invoices!$L:$L,"&gt;="&amp;DATE(2025,10,10)),"-")</f>
        <v>18</v>
      </c>
      <c r="I11" s="55" t="n">
        <f aca="false">COUNTIFS(AR_Invoices!$B:$B,$A11,AR_Invoices!$K:$K,"Paid",AR_Invoices!$L:$L,"&gt;="&amp;DATE(2025,10,10))</f>
        <v>3</v>
      </c>
      <c r="J11" s="56" t="n">
        <f aca="false">SUMIFS(AR_Invoices!$H:$H,AR_Invoices!$B:$B,$A11,AR_Invoices!$K:$K,"&lt;&gt;Paid")</f>
        <v>0</v>
      </c>
      <c r="K11" s="56" t="n">
        <f aca="false">SUMIFS(AR_Invoices!$H:$H,AR_Invoices!$B:$B,$A11,AR_Invoices!$K:$K,"&lt;&gt;Paid",AR_Invoices!$N:$N,"&gt;0")</f>
        <v>0</v>
      </c>
    </row>
    <row r="12" customFormat="false" ht="15" hidden="false" customHeight="false" outlineLevel="0" collapsed="false">
      <c r="A12" s="11" t="s">
        <v>324</v>
      </c>
      <c r="B12" s="11" t="s">
        <v>323</v>
      </c>
      <c r="C12" s="11" t="s">
        <v>4139</v>
      </c>
      <c r="D12" s="11" t="s">
        <v>4131</v>
      </c>
      <c r="E12" s="53" t="n">
        <v>30</v>
      </c>
      <c r="F12" s="11" t="s">
        <v>4132</v>
      </c>
      <c r="G12" s="37" t="n">
        <v>30000</v>
      </c>
      <c r="H12" s="54" t="n">
        <f aca="false">IFERROR(AVERAGEIFS(AR_Invoices!$M:$M,AR_Invoices!$B:$B,$A12,AR_Invoices!$K:$K,"Paid",AR_Invoices!$L:$L,"&gt;="&amp;DATE(2025,10,10)),"-")</f>
        <v>11.3673469387755</v>
      </c>
      <c r="I12" s="55" t="n">
        <f aca="false">COUNTIFS(AR_Invoices!$B:$B,$A12,AR_Invoices!$K:$K,"Paid",AR_Invoices!$L:$L,"&gt;="&amp;DATE(2025,10,10))</f>
        <v>49</v>
      </c>
      <c r="J12" s="56" t="n">
        <f aca="false">SUMIFS(AR_Invoices!$H:$H,AR_Invoices!$B:$B,$A12,AR_Invoices!$K:$K,"&lt;&gt;Paid")</f>
        <v>52092</v>
      </c>
      <c r="K12" s="56" t="n">
        <f aca="false">SUMIFS(AR_Invoices!$H:$H,AR_Invoices!$B:$B,$A12,AR_Invoices!$K:$K,"&lt;&gt;Paid",AR_Invoices!$N:$N,"&gt;0")</f>
        <v>24900</v>
      </c>
    </row>
    <row r="13" customFormat="false" ht="15" hidden="false" customHeight="false" outlineLevel="0" collapsed="false">
      <c r="A13" s="11" t="s">
        <v>299</v>
      </c>
      <c r="B13" s="11" t="s">
        <v>298</v>
      </c>
      <c r="C13" s="11" t="s">
        <v>4140</v>
      </c>
      <c r="D13" s="11" t="s">
        <v>4141</v>
      </c>
      <c r="E13" s="53" t="n">
        <v>60</v>
      </c>
      <c r="F13" s="11" t="s">
        <v>4142</v>
      </c>
      <c r="G13" s="37" t="n">
        <v>60000</v>
      </c>
      <c r="H13" s="54" t="n">
        <f aca="false">IFERROR(AVERAGEIFS(AR_Invoices!$M:$M,AR_Invoices!$B:$B,$A13,AR_Invoices!$K:$K,"Paid",AR_Invoices!$L:$L,"&gt;="&amp;DATE(2025,10,10)),"-")</f>
        <v>5.4390243902439</v>
      </c>
      <c r="I13" s="55" t="n">
        <f aca="false">COUNTIFS(AR_Invoices!$B:$B,$A13,AR_Invoices!$K:$K,"Paid",AR_Invoices!$L:$L,"&gt;="&amp;DATE(2025,10,10))</f>
        <v>41</v>
      </c>
      <c r="J13" s="56" t="n">
        <f aca="false">SUMIFS(AR_Invoices!$H:$H,AR_Invoices!$B:$B,$A13,AR_Invoices!$K:$K,"&lt;&gt;Paid")</f>
        <v>76890</v>
      </c>
      <c r="K13" s="56" t="n">
        <f aca="false">SUMIFS(AR_Invoices!$H:$H,AR_Invoices!$B:$B,$A13,AR_Invoices!$K:$K,"&lt;&gt;Paid",AR_Invoices!$N:$N,"&gt;0")</f>
        <v>21030</v>
      </c>
    </row>
    <row r="14" customFormat="false" ht="15" hidden="false" customHeight="false" outlineLevel="0" collapsed="false">
      <c r="I14" s="13" t="s">
        <v>4143</v>
      </c>
      <c r="J14" s="52" t="n">
        <f aca="false">SUM(J2:J13)</f>
        <v>1414470</v>
      </c>
      <c r="K14" s="52" t="n">
        <f aca="false">SUM(K2:K13)</f>
        <v>167190</v>
      </c>
    </row>
  </sheetData>
  <autoFilter ref="A1:K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O1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26"/>
    <col collapsed="false" customWidth="true" hidden="false" outlineLevel="0" max="5" min="4" style="0" width="12"/>
    <col collapsed="false" customWidth="true" hidden="false" outlineLevel="0" max="6" min="6" style="0" width="15"/>
    <col collapsed="false" customWidth="true" hidden="false" outlineLevel="0" max="7" min="7" style="0" width="12"/>
    <col collapsed="false" customWidth="true" hidden="false" outlineLevel="0" max="8" min="8" style="0" width="17"/>
    <col collapsed="false" customWidth="true" hidden="false" outlineLevel="0" max="9" min="9" style="0" width="44"/>
    <col collapsed="false" customWidth="true" hidden="false" outlineLevel="0" max="10" min="10" style="0" width="12"/>
    <col collapsed="false" customWidth="true" hidden="false" outlineLevel="0" max="11" min="11" style="0" width="16"/>
    <col collapsed="false" customWidth="true" hidden="false" outlineLevel="0" max="13" min="12" style="0" width="12"/>
    <col collapsed="false" customWidth="true" hidden="false" outlineLevel="0" max="14" min="14" style="0" width="25"/>
    <col collapsed="false" customWidth="true" hidden="false" outlineLevel="0" max="15" min="15" style="0" width="60"/>
  </cols>
  <sheetData>
    <row r="1" customFormat="false" ht="30" hidden="false" customHeight="true" outlineLevel="0" collapsed="false">
      <c r="A1" s="33" t="s">
        <v>4144</v>
      </c>
      <c r="B1" s="33" t="s">
        <v>254</v>
      </c>
      <c r="C1" s="33" t="s">
        <v>4122</v>
      </c>
      <c r="D1" s="33" t="s">
        <v>4145</v>
      </c>
      <c r="E1" s="33" t="s">
        <v>258</v>
      </c>
      <c r="F1" s="33" t="s">
        <v>4146</v>
      </c>
      <c r="G1" s="33" t="s">
        <v>4147</v>
      </c>
      <c r="H1" s="33" t="s">
        <v>1362</v>
      </c>
      <c r="I1" s="33" t="s">
        <v>268</v>
      </c>
      <c r="J1" s="33" t="s">
        <v>1367</v>
      </c>
      <c r="K1" s="33" t="s">
        <v>196</v>
      </c>
      <c r="L1" s="33" t="s">
        <v>4148</v>
      </c>
      <c r="M1" s="33" t="s">
        <v>1364</v>
      </c>
      <c r="N1" s="33" t="s">
        <v>4149</v>
      </c>
      <c r="O1" s="33" t="s">
        <v>4150</v>
      </c>
    </row>
    <row r="2" customFormat="false" ht="15" hidden="false" customHeight="false" outlineLevel="0" collapsed="false">
      <c r="A2" s="11" t="s">
        <v>4151</v>
      </c>
      <c r="B2" s="11" t="s">
        <v>281</v>
      </c>
      <c r="C2" s="11" t="s">
        <v>280</v>
      </c>
      <c r="D2" s="38" t="n">
        <v>45659</v>
      </c>
      <c r="E2" s="38" t="n">
        <v>45704</v>
      </c>
      <c r="F2" s="37" t="n">
        <v>4040</v>
      </c>
      <c r="G2" s="37" t="n">
        <v>808</v>
      </c>
      <c r="H2" s="37" t="n">
        <v>4848</v>
      </c>
      <c r="I2" s="11" t="s">
        <v>283</v>
      </c>
      <c r="J2" s="11"/>
      <c r="K2" s="11" t="s">
        <v>4152</v>
      </c>
      <c r="L2" s="38" t="n">
        <v>45705</v>
      </c>
      <c r="M2" s="11" t="n">
        <v>1</v>
      </c>
      <c r="N2" s="11"/>
      <c r="O2" s="11"/>
    </row>
    <row r="3" customFormat="false" ht="15" hidden="false" customHeight="false" outlineLevel="0" collapsed="false">
      <c r="A3" s="11" t="s">
        <v>4153</v>
      </c>
      <c r="B3" s="11" t="s">
        <v>288</v>
      </c>
      <c r="C3" s="11" t="s">
        <v>287</v>
      </c>
      <c r="D3" s="38" t="n">
        <v>45659</v>
      </c>
      <c r="E3" s="38" t="n">
        <v>45689</v>
      </c>
      <c r="F3" s="37" t="n">
        <v>2250</v>
      </c>
      <c r="G3" s="37" t="n">
        <v>450</v>
      </c>
      <c r="H3" s="37" t="n">
        <v>2700</v>
      </c>
      <c r="I3" s="11" t="s">
        <v>283</v>
      </c>
      <c r="J3" s="11"/>
      <c r="K3" s="11" t="s">
        <v>4152</v>
      </c>
      <c r="L3" s="38" t="n">
        <v>45691</v>
      </c>
      <c r="M3" s="11" t="n">
        <v>2</v>
      </c>
      <c r="N3" s="11"/>
      <c r="O3" s="11"/>
    </row>
    <row r="4" customFormat="false" ht="15" hidden="false" customHeight="false" outlineLevel="0" collapsed="false">
      <c r="A4" s="11" t="s">
        <v>4154</v>
      </c>
      <c r="B4" s="11" t="s">
        <v>332</v>
      </c>
      <c r="C4" s="11" t="s">
        <v>331</v>
      </c>
      <c r="D4" s="38" t="n">
        <v>45659</v>
      </c>
      <c r="E4" s="38" t="n">
        <v>45704</v>
      </c>
      <c r="F4" s="37" t="n">
        <v>14260</v>
      </c>
      <c r="G4" s="37" t="n">
        <v>2852</v>
      </c>
      <c r="H4" s="37" t="n">
        <v>17112</v>
      </c>
      <c r="I4" s="11" t="s">
        <v>283</v>
      </c>
      <c r="J4" s="11"/>
      <c r="K4" s="11" t="s">
        <v>4152</v>
      </c>
      <c r="L4" s="38" t="n">
        <v>45716</v>
      </c>
      <c r="M4" s="11" t="n">
        <v>12</v>
      </c>
      <c r="N4" s="11"/>
      <c r="O4" s="11"/>
    </row>
    <row r="5" customFormat="false" ht="15" hidden="false" customHeight="false" outlineLevel="0" collapsed="false">
      <c r="A5" s="11" t="s">
        <v>4155</v>
      </c>
      <c r="B5" s="11" t="s">
        <v>281</v>
      </c>
      <c r="C5" s="11" t="s">
        <v>280</v>
      </c>
      <c r="D5" s="38" t="n">
        <v>45659</v>
      </c>
      <c r="E5" s="38" t="n">
        <v>45704</v>
      </c>
      <c r="F5" s="37" t="n">
        <v>2550</v>
      </c>
      <c r="G5" s="37" t="n">
        <v>510</v>
      </c>
      <c r="H5" s="37" t="n">
        <v>3060</v>
      </c>
      <c r="I5" s="11" t="s">
        <v>283</v>
      </c>
      <c r="J5" s="11"/>
      <c r="K5" s="11" t="s">
        <v>4152</v>
      </c>
      <c r="L5" s="38" t="n">
        <v>45705</v>
      </c>
      <c r="M5" s="11" t="n">
        <v>1</v>
      </c>
      <c r="N5" s="11"/>
      <c r="O5" s="11"/>
    </row>
    <row r="6" customFormat="false" ht="15" hidden="false" customHeight="false" outlineLevel="0" collapsed="false">
      <c r="A6" s="11" t="s">
        <v>1505</v>
      </c>
      <c r="B6" s="11" t="s">
        <v>328</v>
      </c>
      <c r="C6" s="11" t="s">
        <v>327</v>
      </c>
      <c r="D6" s="38" t="n">
        <v>45659</v>
      </c>
      <c r="E6" s="38" t="n">
        <v>45719</v>
      </c>
      <c r="F6" s="37" t="n">
        <v>10710</v>
      </c>
      <c r="G6" s="37" t="n">
        <v>2142</v>
      </c>
      <c r="H6" s="37" t="n">
        <v>12852</v>
      </c>
      <c r="I6" s="11" t="s">
        <v>283</v>
      </c>
      <c r="J6" s="11"/>
      <c r="K6" s="11" t="s">
        <v>4152</v>
      </c>
      <c r="L6" s="38" t="n">
        <v>45749</v>
      </c>
      <c r="M6" s="11" t="n">
        <v>30</v>
      </c>
      <c r="N6" s="11"/>
      <c r="O6" s="11"/>
    </row>
    <row r="7" customFormat="false" ht="15" hidden="false" customHeight="false" outlineLevel="0" collapsed="false">
      <c r="A7" s="11" t="s">
        <v>4156</v>
      </c>
      <c r="B7" s="11" t="s">
        <v>336</v>
      </c>
      <c r="C7" s="11" t="s">
        <v>335</v>
      </c>
      <c r="D7" s="38" t="n">
        <v>45659</v>
      </c>
      <c r="E7" s="38" t="n">
        <v>45704</v>
      </c>
      <c r="F7" s="37" t="n">
        <v>2850</v>
      </c>
      <c r="G7" s="37" t="n">
        <v>570</v>
      </c>
      <c r="H7" s="37" t="n">
        <v>3420</v>
      </c>
      <c r="I7" s="11" t="s">
        <v>283</v>
      </c>
      <c r="J7" s="11"/>
      <c r="K7" s="11" t="s">
        <v>4152</v>
      </c>
      <c r="L7" s="38" t="n">
        <v>45721</v>
      </c>
      <c r="M7" s="11" t="n">
        <v>17</v>
      </c>
      <c r="N7" s="11"/>
      <c r="O7" s="11"/>
    </row>
    <row r="8" customFormat="false" ht="15" hidden="false" customHeight="false" outlineLevel="0" collapsed="false">
      <c r="A8" s="11" t="s">
        <v>4157</v>
      </c>
      <c r="B8" s="11" t="s">
        <v>281</v>
      </c>
      <c r="C8" s="11" t="s">
        <v>280</v>
      </c>
      <c r="D8" s="38" t="n">
        <v>45660</v>
      </c>
      <c r="E8" s="38" t="n">
        <v>45705</v>
      </c>
      <c r="F8" s="37" t="n">
        <v>2650</v>
      </c>
      <c r="G8" s="37" t="n">
        <v>530</v>
      </c>
      <c r="H8" s="37" t="n">
        <v>3180</v>
      </c>
      <c r="I8" s="11" t="s">
        <v>283</v>
      </c>
      <c r="J8" s="11"/>
      <c r="K8" s="11" t="s">
        <v>4152</v>
      </c>
      <c r="L8" s="38" t="n">
        <v>45705</v>
      </c>
      <c r="M8" s="11" t="n">
        <v>0</v>
      </c>
      <c r="N8" s="11"/>
      <c r="O8" s="11"/>
    </row>
    <row r="9" customFormat="false" ht="15" hidden="false" customHeight="false" outlineLevel="0" collapsed="false">
      <c r="A9" s="11" t="s">
        <v>4158</v>
      </c>
      <c r="B9" s="11" t="s">
        <v>336</v>
      </c>
      <c r="C9" s="11" t="s">
        <v>335</v>
      </c>
      <c r="D9" s="38" t="n">
        <v>45660</v>
      </c>
      <c r="E9" s="38" t="n">
        <v>45705</v>
      </c>
      <c r="F9" s="37" t="n">
        <v>4550</v>
      </c>
      <c r="G9" s="37" t="n">
        <v>910</v>
      </c>
      <c r="H9" s="37" t="n">
        <v>5460</v>
      </c>
      <c r="I9" s="11" t="s">
        <v>283</v>
      </c>
      <c r="J9" s="11"/>
      <c r="K9" s="11" t="s">
        <v>4152</v>
      </c>
      <c r="L9" s="38" t="n">
        <v>45702</v>
      </c>
      <c r="M9" s="11" t="n">
        <v>-3</v>
      </c>
      <c r="N9" s="11"/>
      <c r="O9" s="11"/>
    </row>
    <row r="10" customFormat="false" ht="15" hidden="false" customHeight="false" outlineLevel="0" collapsed="false">
      <c r="A10" s="11" t="s">
        <v>4159</v>
      </c>
      <c r="B10" s="11" t="s">
        <v>328</v>
      </c>
      <c r="C10" s="11" t="s">
        <v>327</v>
      </c>
      <c r="D10" s="38" t="n">
        <v>45660</v>
      </c>
      <c r="E10" s="38" t="n">
        <v>45720</v>
      </c>
      <c r="F10" s="37" t="n">
        <v>24650</v>
      </c>
      <c r="G10" s="37" t="n">
        <v>4930</v>
      </c>
      <c r="H10" s="37" t="n">
        <v>29580</v>
      </c>
      <c r="I10" s="11" t="s">
        <v>283</v>
      </c>
      <c r="J10" s="11"/>
      <c r="K10" s="11" t="s">
        <v>4152</v>
      </c>
      <c r="L10" s="38" t="n">
        <v>45735</v>
      </c>
      <c r="M10" s="11" t="n">
        <v>15</v>
      </c>
      <c r="N10" s="11"/>
      <c r="O10" s="11"/>
    </row>
    <row r="11" customFormat="false" ht="15" hidden="false" customHeight="false" outlineLevel="0" collapsed="false">
      <c r="A11" s="11" t="s">
        <v>4160</v>
      </c>
      <c r="B11" s="11" t="s">
        <v>350</v>
      </c>
      <c r="C11" s="11" t="s">
        <v>349</v>
      </c>
      <c r="D11" s="38" t="n">
        <v>45663</v>
      </c>
      <c r="E11" s="38" t="n">
        <v>45723</v>
      </c>
      <c r="F11" s="37" t="n">
        <v>13140</v>
      </c>
      <c r="G11" s="37" t="n">
        <v>2628</v>
      </c>
      <c r="H11" s="37" t="n">
        <v>15768</v>
      </c>
      <c r="I11" s="11" t="s">
        <v>283</v>
      </c>
      <c r="J11" s="11"/>
      <c r="K11" s="11" t="s">
        <v>4152</v>
      </c>
      <c r="L11" s="38" t="n">
        <v>45736</v>
      </c>
      <c r="M11" s="11" t="n">
        <v>13</v>
      </c>
      <c r="N11" s="11"/>
      <c r="O11" s="11"/>
    </row>
    <row r="12" customFormat="false" ht="15" hidden="false" customHeight="false" outlineLevel="0" collapsed="false">
      <c r="A12" s="11" t="s">
        <v>4161</v>
      </c>
      <c r="B12" s="11" t="s">
        <v>281</v>
      </c>
      <c r="C12" s="11" t="s">
        <v>280</v>
      </c>
      <c r="D12" s="38" t="n">
        <v>45664</v>
      </c>
      <c r="E12" s="38" t="n">
        <v>45709</v>
      </c>
      <c r="F12" s="37" t="n">
        <v>9160</v>
      </c>
      <c r="G12" s="37" t="n">
        <v>1832</v>
      </c>
      <c r="H12" s="37" t="n">
        <v>10992</v>
      </c>
      <c r="I12" s="11" t="s">
        <v>283</v>
      </c>
      <c r="J12" s="11"/>
      <c r="K12" s="11" t="s">
        <v>4152</v>
      </c>
      <c r="L12" s="38" t="n">
        <v>45709</v>
      </c>
      <c r="M12" s="11" t="n">
        <v>0</v>
      </c>
      <c r="N12" s="11"/>
      <c r="O12" s="11"/>
    </row>
    <row r="13" customFormat="false" ht="15" hidden="false" customHeight="false" outlineLevel="0" collapsed="false">
      <c r="A13" s="11" t="s">
        <v>4162</v>
      </c>
      <c r="B13" s="11" t="s">
        <v>332</v>
      </c>
      <c r="C13" s="11" t="s">
        <v>331</v>
      </c>
      <c r="D13" s="38" t="n">
        <v>45664</v>
      </c>
      <c r="E13" s="38" t="n">
        <v>45709</v>
      </c>
      <c r="F13" s="37" t="n">
        <v>5960</v>
      </c>
      <c r="G13" s="37" t="n">
        <v>1192</v>
      </c>
      <c r="H13" s="37" t="n">
        <v>7152</v>
      </c>
      <c r="I13" s="11" t="s">
        <v>283</v>
      </c>
      <c r="J13" s="11"/>
      <c r="K13" s="11" t="s">
        <v>4152</v>
      </c>
      <c r="L13" s="38" t="n">
        <v>45716</v>
      </c>
      <c r="M13" s="11" t="n">
        <v>7</v>
      </c>
      <c r="N13" s="11"/>
      <c r="O13" s="11"/>
    </row>
    <row r="14" customFormat="false" ht="15" hidden="false" customHeight="false" outlineLevel="0" collapsed="false">
      <c r="A14" s="11" t="s">
        <v>4163</v>
      </c>
      <c r="B14" s="11" t="s">
        <v>324</v>
      </c>
      <c r="C14" s="11" t="s">
        <v>323</v>
      </c>
      <c r="D14" s="38" t="n">
        <v>45665</v>
      </c>
      <c r="E14" s="38" t="n">
        <v>45695</v>
      </c>
      <c r="F14" s="37" t="n">
        <v>3830</v>
      </c>
      <c r="G14" s="37" t="n">
        <v>766</v>
      </c>
      <c r="H14" s="37" t="n">
        <v>4596</v>
      </c>
      <c r="I14" s="11" t="s">
        <v>283</v>
      </c>
      <c r="J14" s="11"/>
      <c r="K14" s="11" t="s">
        <v>4152</v>
      </c>
      <c r="L14" s="38" t="n">
        <v>45705</v>
      </c>
      <c r="M14" s="11" t="n">
        <v>10</v>
      </c>
      <c r="N14" s="11"/>
      <c r="O14" s="11"/>
    </row>
    <row r="15" customFormat="false" ht="15" hidden="false" customHeight="false" outlineLevel="0" collapsed="false">
      <c r="A15" s="11" t="s">
        <v>4164</v>
      </c>
      <c r="B15" s="11" t="s">
        <v>281</v>
      </c>
      <c r="C15" s="11" t="s">
        <v>280</v>
      </c>
      <c r="D15" s="38" t="n">
        <v>45667</v>
      </c>
      <c r="E15" s="38" t="n">
        <v>45712</v>
      </c>
      <c r="F15" s="37" t="n">
        <v>5970</v>
      </c>
      <c r="G15" s="37" t="n">
        <v>1194</v>
      </c>
      <c r="H15" s="37" t="n">
        <v>7164</v>
      </c>
      <c r="I15" s="11" t="s">
        <v>283</v>
      </c>
      <c r="J15" s="11"/>
      <c r="K15" s="11" t="s">
        <v>4152</v>
      </c>
      <c r="L15" s="38" t="n">
        <v>45712</v>
      </c>
      <c r="M15" s="11" t="n">
        <v>0</v>
      </c>
      <c r="N15" s="11"/>
      <c r="O15" s="11"/>
    </row>
    <row r="16" customFormat="false" ht="15" hidden="false" customHeight="false" outlineLevel="0" collapsed="false">
      <c r="A16" s="11" t="s">
        <v>4165</v>
      </c>
      <c r="B16" s="11" t="s">
        <v>336</v>
      </c>
      <c r="C16" s="11" t="s">
        <v>335</v>
      </c>
      <c r="D16" s="38" t="n">
        <v>45667</v>
      </c>
      <c r="E16" s="38" t="n">
        <v>45712</v>
      </c>
      <c r="F16" s="37" t="n">
        <v>4490</v>
      </c>
      <c r="G16" s="37" t="n">
        <v>898</v>
      </c>
      <c r="H16" s="37" t="n">
        <v>5388</v>
      </c>
      <c r="I16" s="11" t="s">
        <v>283</v>
      </c>
      <c r="J16" s="11"/>
      <c r="K16" s="11" t="s">
        <v>4152</v>
      </c>
      <c r="L16" s="38" t="n">
        <v>45716</v>
      </c>
      <c r="M16" s="11" t="n">
        <v>4</v>
      </c>
      <c r="N16" s="11"/>
      <c r="O16" s="11"/>
    </row>
    <row r="17" customFormat="false" ht="15" hidden="false" customHeight="false" outlineLevel="0" collapsed="false">
      <c r="A17" s="11" t="s">
        <v>4166</v>
      </c>
      <c r="B17" s="11" t="s">
        <v>332</v>
      </c>
      <c r="C17" s="11" t="s">
        <v>331</v>
      </c>
      <c r="D17" s="38" t="n">
        <v>45667</v>
      </c>
      <c r="E17" s="38" t="n">
        <v>45712</v>
      </c>
      <c r="F17" s="37" t="n">
        <v>9950</v>
      </c>
      <c r="G17" s="37" t="n">
        <v>1990</v>
      </c>
      <c r="H17" s="37" t="n">
        <v>11940</v>
      </c>
      <c r="I17" s="11" t="s">
        <v>283</v>
      </c>
      <c r="J17" s="11"/>
      <c r="K17" s="11" t="s">
        <v>4152</v>
      </c>
      <c r="L17" s="38" t="n">
        <v>45734</v>
      </c>
      <c r="M17" s="11" t="n">
        <v>22</v>
      </c>
      <c r="N17" s="11"/>
      <c r="O17" s="11"/>
    </row>
    <row r="18" customFormat="false" ht="15" hidden="false" customHeight="false" outlineLevel="0" collapsed="false">
      <c r="A18" s="11" t="s">
        <v>4167</v>
      </c>
      <c r="B18" s="11" t="s">
        <v>281</v>
      </c>
      <c r="C18" s="11" t="s">
        <v>280</v>
      </c>
      <c r="D18" s="38" t="n">
        <v>45667</v>
      </c>
      <c r="E18" s="38" t="n">
        <v>45712</v>
      </c>
      <c r="F18" s="37" t="n">
        <v>3190</v>
      </c>
      <c r="G18" s="37" t="n">
        <v>638</v>
      </c>
      <c r="H18" s="37" t="n">
        <v>3828</v>
      </c>
      <c r="I18" s="11" t="s">
        <v>283</v>
      </c>
      <c r="J18" s="11"/>
      <c r="K18" s="11" t="s">
        <v>4152</v>
      </c>
      <c r="L18" s="38" t="n">
        <v>45712</v>
      </c>
      <c r="M18" s="11" t="n">
        <v>0</v>
      </c>
      <c r="N18" s="11"/>
      <c r="O18" s="11"/>
    </row>
    <row r="19" customFormat="false" ht="15" hidden="false" customHeight="false" outlineLevel="0" collapsed="false">
      <c r="A19" s="11" t="s">
        <v>4168</v>
      </c>
      <c r="B19" s="11" t="s">
        <v>299</v>
      </c>
      <c r="C19" s="11" t="s">
        <v>298</v>
      </c>
      <c r="D19" s="38" t="n">
        <v>45667</v>
      </c>
      <c r="E19" s="38" t="n">
        <v>45727</v>
      </c>
      <c r="F19" s="37" t="n">
        <v>7270</v>
      </c>
      <c r="G19" s="37" t="n">
        <v>0</v>
      </c>
      <c r="H19" s="37" t="n">
        <v>7270</v>
      </c>
      <c r="I19" s="11" t="s">
        <v>283</v>
      </c>
      <c r="J19" s="11"/>
      <c r="K19" s="11" t="s">
        <v>4152</v>
      </c>
      <c r="L19" s="38" t="n">
        <v>45733</v>
      </c>
      <c r="M19" s="11" t="n">
        <v>6</v>
      </c>
      <c r="N19" s="11"/>
      <c r="O19" s="11"/>
    </row>
    <row r="20" customFormat="false" ht="15" hidden="false" customHeight="false" outlineLevel="0" collapsed="false">
      <c r="A20" s="11" t="s">
        <v>4169</v>
      </c>
      <c r="B20" s="11" t="s">
        <v>299</v>
      </c>
      <c r="C20" s="11" t="s">
        <v>298</v>
      </c>
      <c r="D20" s="38" t="n">
        <v>45670</v>
      </c>
      <c r="E20" s="38" t="n">
        <v>45730</v>
      </c>
      <c r="F20" s="37" t="n">
        <v>7710</v>
      </c>
      <c r="G20" s="37" t="n">
        <v>0</v>
      </c>
      <c r="H20" s="37" t="n">
        <v>7710</v>
      </c>
      <c r="I20" s="11" t="s">
        <v>283</v>
      </c>
      <c r="J20" s="11"/>
      <c r="K20" s="11" t="s">
        <v>4152</v>
      </c>
      <c r="L20" s="38" t="n">
        <v>45733</v>
      </c>
      <c r="M20" s="11" t="n">
        <v>3</v>
      </c>
      <c r="N20" s="11"/>
      <c r="O20" s="11"/>
    </row>
    <row r="21" customFormat="false" ht="15" hidden="false" customHeight="false" outlineLevel="0" collapsed="false">
      <c r="A21" s="11" t="s">
        <v>4170</v>
      </c>
      <c r="B21" s="11" t="s">
        <v>350</v>
      </c>
      <c r="C21" s="11" t="s">
        <v>349</v>
      </c>
      <c r="D21" s="38" t="n">
        <v>45670</v>
      </c>
      <c r="E21" s="38" t="n">
        <v>45730</v>
      </c>
      <c r="F21" s="37" t="n">
        <v>6590</v>
      </c>
      <c r="G21" s="37" t="n">
        <v>1318</v>
      </c>
      <c r="H21" s="37" t="n">
        <v>7908</v>
      </c>
      <c r="I21" s="11" t="s">
        <v>283</v>
      </c>
      <c r="J21" s="11"/>
      <c r="K21" s="11" t="s">
        <v>4152</v>
      </c>
      <c r="L21" s="38" t="n">
        <v>45744</v>
      </c>
      <c r="M21" s="11" t="n">
        <v>14</v>
      </c>
      <c r="N21" s="11"/>
      <c r="O21" s="11"/>
    </row>
    <row r="22" customFormat="false" ht="15" hidden="false" customHeight="false" outlineLevel="0" collapsed="false">
      <c r="A22" s="11" t="s">
        <v>4171</v>
      </c>
      <c r="B22" s="11" t="s">
        <v>393</v>
      </c>
      <c r="C22" s="11" t="s">
        <v>392</v>
      </c>
      <c r="D22" s="38" t="n">
        <v>45670</v>
      </c>
      <c r="E22" s="38" t="n">
        <v>45720</v>
      </c>
      <c r="F22" s="37" t="n">
        <v>8280</v>
      </c>
      <c r="G22" s="37" t="n">
        <v>1656</v>
      </c>
      <c r="H22" s="37" t="n">
        <v>9936</v>
      </c>
      <c r="I22" s="11" t="s">
        <v>283</v>
      </c>
      <c r="J22" s="11"/>
      <c r="K22" s="11" t="s">
        <v>4152</v>
      </c>
      <c r="L22" s="38" t="n">
        <v>45730</v>
      </c>
      <c r="M22" s="11" t="n">
        <v>10</v>
      </c>
      <c r="N22" s="11"/>
      <c r="O22" s="11"/>
    </row>
    <row r="23" customFormat="false" ht="15" hidden="false" customHeight="false" outlineLevel="0" collapsed="false">
      <c r="A23" s="11" t="s">
        <v>4172</v>
      </c>
      <c r="B23" s="11" t="s">
        <v>336</v>
      </c>
      <c r="C23" s="11" t="s">
        <v>335</v>
      </c>
      <c r="D23" s="38" t="n">
        <v>45670</v>
      </c>
      <c r="E23" s="38" t="n">
        <v>45715</v>
      </c>
      <c r="F23" s="37" t="n">
        <v>4170</v>
      </c>
      <c r="G23" s="37" t="n">
        <v>834</v>
      </c>
      <c r="H23" s="37" t="n">
        <v>5004</v>
      </c>
      <c r="I23" s="11" t="s">
        <v>283</v>
      </c>
      <c r="J23" s="11"/>
      <c r="K23" s="11" t="s">
        <v>4152</v>
      </c>
      <c r="L23" s="38" t="n">
        <v>45726</v>
      </c>
      <c r="M23" s="11" t="n">
        <v>11</v>
      </c>
      <c r="N23" s="11"/>
      <c r="O23" s="11"/>
    </row>
    <row r="24" customFormat="false" ht="15" hidden="false" customHeight="false" outlineLevel="0" collapsed="false">
      <c r="A24" s="11" t="s">
        <v>4173</v>
      </c>
      <c r="B24" s="11" t="s">
        <v>336</v>
      </c>
      <c r="C24" s="11" t="s">
        <v>335</v>
      </c>
      <c r="D24" s="38" t="n">
        <v>45671</v>
      </c>
      <c r="E24" s="38" t="n">
        <v>45716</v>
      </c>
      <c r="F24" s="37" t="n">
        <v>2590</v>
      </c>
      <c r="G24" s="37" t="n">
        <v>518</v>
      </c>
      <c r="H24" s="37" t="n">
        <v>3108</v>
      </c>
      <c r="I24" s="11" t="s">
        <v>283</v>
      </c>
      <c r="J24" s="11"/>
      <c r="K24" s="11" t="s">
        <v>4152</v>
      </c>
      <c r="L24" s="38" t="n">
        <v>45719</v>
      </c>
      <c r="M24" s="11" t="n">
        <v>3</v>
      </c>
      <c r="N24" s="11"/>
      <c r="O24" s="11"/>
    </row>
    <row r="25" customFormat="false" ht="15" hidden="false" customHeight="false" outlineLevel="0" collapsed="false">
      <c r="A25" s="11" t="s">
        <v>4174</v>
      </c>
      <c r="B25" s="11" t="s">
        <v>328</v>
      </c>
      <c r="C25" s="11" t="s">
        <v>327</v>
      </c>
      <c r="D25" s="38" t="n">
        <v>45672</v>
      </c>
      <c r="E25" s="38" t="n">
        <v>45732</v>
      </c>
      <c r="F25" s="37" t="n">
        <v>13240</v>
      </c>
      <c r="G25" s="37" t="n">
        <v>2648</v>
      </c>
      <c r="H25" s="37" t="n">
        <v>15888</v>
      </c>
      <c r="I25" s="11" t="s">
        <v>283</v>
      </c>
      <c r="J25" s="11"/>
      <c r="K25" s="11" t="s">
        <v>4152</v>
      </c>
      <c r="L25" s="38" t="n">
        <v>45726</v>
      </c>
      <c r="M25" s="11" t="n">
        <v>-6</v>
      </c>
      <c r="N25" s="11"/>
      <c r="O25" s="11"/>
    </row>
    <row r="26" customFormat="false" ht="15" hidden="false" customHeight="false" outlineLevel="0" collapsed="false">
      <c r="A26" s="11" t="s">
        <v>4175</v>
      </c>
      <c r="B26" s="11" t="s">
        <v>288</v>
      </c>
      <c r="C26" s="11" t="s">
        <v>287</v>
      </c>
      <c r="D26" s="38" t="n">
        <v>45672</v>
      </c>
      <c r="E26" s="38" t="n">
        <v>45702</v>
      </c>
      <c r="F26" s="37" t="n">
        <v>1170</v>
      </c>
      <c r="G26" s="37" t="n">
        <v>234</v>
      </c>
      <c r="H26" s="37" t="n">
        <v>1404</v>
      </c>
      <c r="I26" s="11" t="s">
        <v>283</v>
      </c>
      <c r="J26" s="11"/>
      <c r="K26" s="11" t="s">
        <v>4152</v>
      </c>
      <c r="L26" s="38" t="n">
        <v>45707</v>
      </c>
      <c r="M26" s="11" t="n">
        <v>5</v>
      </c>
      <c r="N26" s="11"/>
      <c r="O26" s="11"/>
    </row>
    <row r="27" customFormat="false" ht="15" hidden="false" customHeight="false" outlineLevel="0" collapsed="false">
      <c r="A27" s="11" t="s">
        <v>4176</v>
      </c>
      <c r="B27" s="11" t="s">
        <v>332</v>
      </c>
      <c r="C27" s="11" t="s">
        <v>331</v>
      </c>
      <c r="D27" s="38" t="n">
        <v>45673</v>
      </c>
      <c r="E27" s="38" t="n">
        <v>45718</v>
      </c>
      <c r="F27" s="37" t="n">
        <v>9940</v>
      </c>
      <c r="G27" s="37" t="n">
        <v>1988</v>
      </c>
      <c r="H27" s="37" t="n">
        <v>11928</v>
      </c>
      <c r="I27" s="11" t="s">
        <v>283</v>
      </c>
      <c r="J27" s="11"/>
      <c r="K27" s="11" t="s">
        <v>4152</v>
      </c>
      <c r="L27" s="38" t="n">
        <v>45730</v>
      </c>
      <c r="M27" s="11" t="n">
        <v>12</v>
      </c>
      <c r="N27" s="11"/>
      <c r="O27" s="11"/>
    </row>
    <row r="28" customFormat="false" ht="15" hidden="false" customHeight="false" outlineLevel="0" collapsed="false">
      <c r="A28" s="11" t="s">
        <v>4177</v>
      </c>
      <c r="B28" s="11" t="s">
        <v>288</v>
      </c>
      <c r="C28" s="11" t="s">
        <v>287</v>
      </c>
      <c r="D28" s="38" t="n">
        <v>45673</v>
      </c>
      <c r="E28" s="38" t="n">
        <v>45703</v>
      </c>
      <c r="F28" s="37" t="n">
        <v>6410</v>
      </c>
      <c r="G28" s="37" t="n">
        <v>1282</v>
      </c>
      <c r="H28" s="37" t="n">
        <v>7692</v>
      </c>
      <c r="I28" s="11" t="s">
        <v>283</v>
      </c>
      <c r="J28" s="11"/>
      <c r="K28" s="11" t="s">
        <v>4152</v>
      </c>
      <c r="L28" s="38" t="n">
        <v>45714</v>
      </c>
      <c r="M28" s="11" t="n">
        <v>11</v>
      </c>
      <c r="N28" s="11"/>
      <c r="O28" s="11"/>
    </row>
    <row r="29" customFormat="false" ht="15" hidden="false" customHeight="false" outlineLevel="0" collapsed="false">
      <c r="A29" s="11" t="s">
        <v>4178</v>
      </c>
      <c r="B29" s="11" t="s">
        <v>281</v>
      </c>
      <c r="C29" s="11" t="s">
        <v>280</v>
      </c>
      <c r="D29" s="38" t="n">
        <v>45677</v>
      </c>
      <c r="E29" s="38" t="n">
        <v>45722</v>
      </c>
      <c r="F29" s="37" t="n">
        <v>8800</v>
      </c>
      <c r="G29" s="37" t="n">
        <v>1760</v>
      </c>
      <c r="H29" s="37" t="n">
        <v>10560</v>
      </c>
      <c r="I29" s="11" t="s">
        <v>283</v>
      </c>
      <c r="J29" s="11"/>
      <c r="K29" s="11" t="s">
        <v>4152</v>
      </c>
      <c r="L29" s="38" t="n">
        <v>45722</v>
      </c>
      <c r="M29" s="11" t="n">
        <v>0</v>
      </c>
      <c r="N29" s="11"/>
      <c r="O29" s="11"/>
    </row>
    <row r="30" customFormat="false" ht="15" hidden="false" customHeight="false" outlineLevel="0" collapsed="false">
      <c r="A30" s="11" t="s">
        <v>4179</v>
      </c>
      <c r="B30" s="11" t="s">
        <v>299</v>
      </c>
      <c r="C30" s="11" t="s">
        <v>298</v>
      </c>
      <c r="D30" s="38" t="n">
        <v>45678</v>
      </c>
      <c r="E30" s="38" t="n">
        <v>45738</v>
      </c>
      <c r="F30" s="37" t="n">
        <v>15120</v>
      </c>
      <c r="G30" s="37" t="n">
        <v>0</v>
      </c>
      <c r="H30" s="37" t="n">
        <v>15120</v>
      </c>
      <c r="I30" s="11" t="s">
        <v>283</v>
      </c>
      <c r="J30" s="11"/>
      <c r="K30" s="11" t="s">
        <v>4152</v>
      </c>
      <c r="L30" s="38" t="n">
        <v>45747</v>
      </c>
      <c r="M30" s="11" t="n">
        <v>9</v>
      </c>
      <c r="N30" s="11"/>
      <c r="O30" s="11"/>
    </row>
    <row r="31" customFormat="false" ht="15" hidden="false" customHeight="false" outlineLevel="0" collapsed="false">
      <c r="A31" s="11" t="s">
        <v>1521</v>
      </c>
      <c r="B31" s="11" t="s">
        <v>350</v>
      </c>
      <c r="C31" s="11" t="s">
        <v>349</v>
      </c>
      <c r="D31" s="38" t="n">
        <v>45678</v>
      </c>
      <c r="E31" s="38" t="n">
        <v>45738</v>
      </c>
      <c r="F31" s="37" t="n">
        <v>13920</v>
      </c>
      <c r="G31" s="37" t="n">
        <v>2784</v>
      </c>
      <c r="H31" s="37" t="n">
        <v>16704</v>
      </c>
      <c r="I31" s="11" t="s">
        <v>283</v>
      </c>
      <c r="J31" s="11"/>
      <c r="K31" s="11" t="s">
        <v>4152</v>
      </c>
      <c r="L31" s="38" t="n">
        <v>45751</v>
      </c>
      <c r="M31" s="11" t="n">
        <v>13</v>
      </c>
      <c r="N31" s="11"/>
      <c r="O31" s="11"/>
    </row>
    <row r="32" customFormat="false" ht="15" hidden="false" customHeight="false" outlineLevel="0" collapsed="false">
      <c r="A32" s="11" t="s">
        <v>1519</v>
      </c>
      <c r="B32" s="11" t="s">
        <v>350</v>
      </c>
      <c r="C32" s="11" t="s">
        <v>349</v>
      </c>
      <c r="D32" s="38" t="n">
        <v>45679</v>
      </c>
      <c r="E32" s="38" t="n">
        <v>45739</v>
      </c>
      <c r="F32" s="37" t="n">
        <v>6510</v>
      </c>
      <c r="G32" s="37" t="n">
        <v>1302</v>
      </c>
      <c r="H32" s="37" t="n">
        <v>7812</v>
      </c>
      <c r="I32" s="11" t="s">
        <v>283</v>
      </c>
      <c r="J32" s="11"/>
      <c r="K32" s="11" t="s">
        <v>4152</v>
      </c>
      <c r="L32" s="38" t="n">
        <v>45751</v>
      </c>
      <c r="M32" s="11" t="n">
        <v>12</v>
      </c>
      <c r="N32" s="11"/>
      <c r="O32" s="11"/>
    </row>
    <row r="33" customFormat="false" ht="15" hidden="false" customHeight="false" outlineLevel="0" collapsed="false">
      <c r="A33" s="11" t="s">
        <v>1591</v>
      </c>
      <c r="B33" s="11" t="s">
        <v>328</v>
      </c>
      <c r="C33" s="11" t="s">
        <v>327</v>
      </c>
      <c r="D33" s="38" t="n">
        <v>45679</v>
      </c>
      <c r="E33" s="38" t="n">
        <v>45739</v>
      </c>
      <c r="F33" s="37" t="n">
        <v>5830</v>
      </c>
      <c r="G33" s="37" t="n">
        <v>1166</v>
      </c>
      <c r="H33" s="37" t="n">
        <v>6996</v>
      </c>
      <c r="I33" s="11" t="s">
        <v>283</v>
      </c>
      <c r="J33" s="11"/>
      <c r="K33" s="11" t="s">
        <v>4152</v>
      </c>
      <c r="L33" s="38" t="n">
        <v>45769</v>
      </c>
      <c r="M33" s="11" t="n">
        <v>30</v>
      </c>
      <c r="N33" s="11"/>
      <c r="O33" s="11"/>
    </row>
    <row r="34" customFormat="false" ht="15" hidden="false" customHeight="false" outlineLevel="0" collapsed="false">
      <c r="A34" s="11" t="s">
        <v>4180</v>
      </c>
      <c r="B34" s="11" t="s">
        <v>400</v>
      </c>
      <c r="C34" s="11" t="s">
        <v>399</v>
      </c>
      <c r="D34" s="38" t="n">
        <v>45680</v>
      </c>
      <c r="E34" s="38" t="n">
        <v>45710</v>
      </c>
      <c r="F34" s="37" t="n">
        <v>6970</v>
      </c>
      <c r="G34" s="37" t="n">
        <v>1394</v>
      </c>
      <c r="H34" s="37" t="n">
        <v>8364</v>
      </c>
      <c r="I34" s="11" t="s">
        <v>283</v>
      </c>
      <c r="J34" s="11"/>
      <c r="K34" s="11" t="s">
        <v>4152</v>
      </c>
      <c r="L34" s="38" t="n">
        <v>45719</v>
      </c>
      <c r="M34" s="11" t="n">
        <v>9</v>
      </c>
      <c r="N34" s="11"/>
      <c r="O34" s="11"/>
    </row>
    <row r="35" customFormat="false" ht="15" hidden="false" customHeight="false" outlineLevel="0" collapsed="false">
      <c r="A35" s="11" t="s">
        <v>4181</v>
      </c>
      <c r="B35" s="11" t="s">
        <v>324</v>
      </c>
      <c r="C35" s="11" t="s">
        <v>323</v>
      </c>
      <c r="D35" s="38" t="n">
        <v>45680</v>
      </c>
      <c r="E35" s="38" t="n">
        <v>45710</v>
      </c>
      <c r="F35" s="37" t="n">
        <v>3580</v>
      </c>
      <c r="G35" s="37" t="n">
        <v>716</v>
      </c>
      <c r="H35" s="37" t="n">
        <v>4296</v>
      </c>
      <c r="I35" s="11" t="s">
        <v>283</v>
      </c>
      <c r="J35" s="11"/>
      <c r="K35" s="11" t="s">
        <v>4152</v>
      </c>
      <c r="L35" s="38" t="n">
        <v>45730</v>
      </c>
      <c r="M35" s="11" t="n">
        <v>20</v>
      </c>
      <c r="N35" s="11"/>
      <c r="O35" s="11"/>
    </row>
    <row r="36" customFormat="false" ht="15" hidden="false" customHeight="false" outlineLevel="0" collapsed="false">
      <c r="A36" s="11" t="s">
        <v>1551</v>
      </c>
      <c r="B36" s="11" t="s">
        <v>328</v>
      </c>
      <c r="C36" s="11" t="s">
        <v>327</v>
      </c>
      <c r="D36" s="38" t="n">
        <v>45680</v>
      </c>
      <c r="E36" s="38" t="n">
        <v>45740</v>
      </c>
      <c r="F36" s="37" t="n">
        <v>30830</v>
      </c>
      <c r="G36" s="37" t="n">
        <v>6166</v>
      </c>
      <c r="H36" s="37" t="n">
        <v>36996</v>
      </c>
      <c r="I36" s="11" t="s">
        <v>283</v>
      </c>
      <c r="J36" s="11"/>
      <c r="K36" s="11" t="s">
        <v>4152</v>
      </c>
      <c r="L36" s="38" t="n">
        <v>45758</v>
      </c>
      <c r="M36" s="11" t="n">
        <v>18</v>
      </c>
      <c r="N36" s="11"/>
      <c r="O36" s="11"/>
    </row>
    <row r="37" customFormat="false" ht="15" hidden="false" customHeight="false" outlineLevel="0" collapsed="false">
      <c r="A37" s="11" t="s">
        <v>4182</v>
      </c>
      <c r="B37" s="11" t="s">
        <v>281</v>
      </c>
      <c r="C37" s="11" t="s">
        <v>280</v>
      </c>
      <c r="D37" s="38" t="n">
        <v>45680</v>
      </c>
      <c r="E37" s="38" t="n">
        <v>45725</v>
      </c>
      <c r="F37" s="37" t="n">
        <v>11240</v>
      </c>
      <c r="G37" s="37" t="n">
        <v>2248</v>
      </c>
      <c r="H37" s="37" t="n">
        <v>13488</v>
      </c>
      <c r="I37" s="11" t="s">
        <v>283</v>
      </c>
      <c r="J37" s="11"/>
      <c r="K37" s="11" t="s">
        <v>4152</v>
      </c>
      <c r="L37" s="38" t="n">
        <v>45726</v>
      </c>
      <c r="M37" s="11" t="n">
        <v>1</v>
      </c>
      <c r="N37" s="11"/>
      <c r="O37" s="11"/>
    </row>
    <row r="38" customFormat="false" ht="15" hidden="false" customHeight="false" outlineLevel="0" collapsed="false">
      <c r="A38" s="11" t="s">
        <v>4183</v>
      </c>
      <c r="B38" s="11" t="s">
        <v>336</v>
      </c>
      <c r="C38" s="11" t="s">
        <v>335</v>
      </c>
      <c r="D38" s="38" t="n">
        <v>45681</v>
      </c>
      <c r="E38" s="38" t="n">
        <v>45726</v>
      </c>
      <c r="F38" s="37" t="n">
        <v>4460</v>
      </c>
      <c r="G38" s="37" t="n">
        <v>892</v>
      </c>
      <c r="H38" s="37" t="n">
        <v>5352</v>
      </c>
      <c r="I38" s="11" t="s">
        <v>283</v>
      </c>
      <c r="J38" s="11"/>
      <c r="K38" s="11" t="s">
        <v>4152</v>
      </c>
      <c r="L38" s="38" t="n">
        <v>45726</v>
      </c>
      <c r="M38" s="11" t="n">
        <v>0</v>
      </c>
      <c r="N38" s="11"/>
      <c r="O38" s="11"/>
    </row>
    <row r="39" customFormat="false" ht="15" hidden="false" customHeight="false" outlineLevel="0" collapsed="false">
      <c r="A39" s="11" t="s">
        <v>4184</v>
      </c>
      <c r="B39" s="11" t="s">
        <v>400</v>
      </c>
      <c r="C39" s="11" t="s">
        <v>399</v>
      </c>
      <c r="D39" s="38" t="n">
        <v>45681</v>
      </c>
      <c r="E39" s="38" t="n">
        <v>45711</v>
      </c>
      <c r="F39" s="37" t="n">
        <v>18110</v>
      </c>
      <c r="G39" s="37" t="n">
        <v>3622</v>
      </c>
      <c r="H39" s="37" t="n">
        <v>21732</v>
      </c>
      <c r="I39" s="11" t="s">
        <v>283</v>
      </c>
      <c r="J39" s="11"/>
      <c r="K39" s="11" t="s">
        <v>4152</v>
      </c>
      <c r="L39" s="38" t="n">
        <v>45719</v>
      </c>
      <c r="M39" s="11" t="n">
        <v>8</v>
      </c>
      <c r="N39" s="11"/>
      <c r="O39" s="11"/>
    </row>
    <row r="40" customFormat="false" ht="15" hidden="false" customHeight="false" outlineLevel="0" collapsed="false">
      <c r="A40" s="11" t="s">
        <v>1531</v>
      </c>
      <c r="B40" s="11" t="s">
        <v>393</v>
      </c>
      <c r="C40" s="11" t="s">
        <v>392</v>
      </c>
      <c r="D40" s="38" t="n">
        <v>45681</v>
      </c>
      <c r="E40" s="38" t="n">
        <v>45731</v>
      </c>
      <c r="F40" s="37" t="n">
        <v>11780</v>
      </c>
      <c r="G40" s="37" t="n">
        <v>2356</v>
      </c>
      <c r="H40" s="37" t="n">
        <v>14136</v>
      </c>
      <c r="I40" s="11" t="s">
        <v>283</v>
      </c>
      <c r="J40" s="11"/>
      <c r="K40" s="11" t="s">
        <v>4152</v>
      </c>
      <c r="L40" s="38" t="n">
        <v>45754</v>
      </c>
      <c r="M40" s="11" t="n">
        <v>23</v>
      </c>
      <c r="N40" s="11"/>
      <c r="O40" s="11"/>
    </row>
    <row r="41" customFormat="false" ht="15" hidden="false" customHeight="false" outlineLevel="0" collapsed="false">
      <c r="A41" s="11" t="s">
        <v>1565</v>
      </c>
      <c r="B41" s="11" t="s">
        <v>350</v>
      </c>
      <c r="C41" s="11" t="s">
        <v>349</v>
      </c>
      <c r="D41" s="38" t="n">
        <v>45681</v>
      </c>
      <c r="E41" s="38" t="n">
        <v>45741</v>
      </c>
      <c r="F41" s="37" t="n">
        <v>15000</v>
      </c>
      <c r="G41" s="37" t="n">
        <v>3000</v>
      </c>
      <c r="H41" s="37" t="n">
        <v>18000</v>
      </c>
      <c r="I41" s="11" t="s">
        <v>283</v>
      </c>
      <c r="J41" s="11"/>
      <c r="K41" s="11" t="s">
        <v>4152</v>
      </c>
      <c r="L41" s="38" t="n">
        <v>45761</v>
      </c>
      <c r="M41" s="11" t="n">
        <v>20</v>
      </c>
      <c r="N41" s="11"/>
      <c r="O41" s="11"/>
    </row>
    <row r="42" customFormat="false" ht="15" hidden="false" customHeight="false" outlineLevel="0" collapsed="false">
      <c r="A42" s="11" t="s">
        <v>4185</v>
      </c>
      <c r="B42" s="11" t="s">
        <v>288</v>
      </c>
      <c r="C42" s="11" t="s">
        <v>287</v>
      </c>
      <c r="D42" s="38" t="n">
        <v>45684</v>
      </c>
      <c r="E42" s="38" t="n">
        <v>45714</v>
      </c>
      <c r="F42" s="37" t="n">
        <v>4310</v>
      </c>
      <c r="G42" s="37" t="n">
        <v>862</v>
      </c>
      <c r="H42" s="37" t="n">
        <v>5172</v>
      </c>
      <c r="I42" s="11" t="s">
        <v>283</v>
      </c>
      <c r="J42" s="11"/>
      <c r="K42" s="11" t="s">
        <v>4152</v>
      </c>
      <c r="L42" s="38" t="n">
        <v>45716</v>
      </c>
      <c r="M42" s="11" t="n">
        <v>2</v>
      </c>
      <c r="N42" s="11"/>
      <c r="O42" s="11"/>
    </row>
    <row r="43" customFormat="false" ht="15" hidden="false" customHeight="false" outlineLevel="0" collapsed="false">
      <c r="A43" s="11" t="s">
        <v>4186</v>
      </c>
      <c r="B43" s="11" t="s">
        <v>336</v>
      </c>
      <c r="C43" s="11" t="s">
        <v>335</v>
      </c>
      <c r="D43" s="38" t="n">
        <v>45685</v>
      </c>
      <c r="E43" s="38" t="n">
        <v>45730</v>
      </c>
      <c r="F43" s="37" t="n">
        <v>7180</v>
      </c>
      <c r="G43" s="37" t="n">
        <v>1436</v>
      </c>
      <c r="H43" s="37" t="n">
        <v>8616</v>
      </c>
      <c r="I43" s="11" t="s">
        <v>283</v>
      </c>
      <c r="J43" s="11"/>
      <c r="K43" s="11" t="s">
        <v>4152</v>
      </c>
      <c r="L43" s="38" t="n">
        <v>45734</v>
      </c>
      <c r="M43" s="11" t="n">
        <v>4</v>
      </c>
      <c r="N43" s="11"/>
      <c r="O43" s="11"/>
    </row>
    <row r="44" customFormat="false" ht="15" hidden="false" customHeight="false" outlineLevel="0" collapsed="false">
      <c r="A44" s="11" t="s">
        <v>4187</v>
      </c>
      <c r="B44" s="11" t="s">
        <v>288</v>
      </c>
      <c r="C44" s="11" t="s">
        <v>287</v>
      </c>
      <c r="D44" s="38" t="n">
        <v>45685</v>
      </c>
      <c r="E44" s="38" t="n">
        <v>45715</v>
      </c>
      <c r="F44" s="37" t="n">
        <v>2480</v>
      </c>
      <c r="G44" s="37" t="n">
        <v>496</v>
      </c>
      <c r="H44" s="37" t="n">
        <v>2976</v>
      </c>
      <c r="I44" s="11" t="s">
        <v>283</v>
      </c>
      <c r="J44" s="11"/>
      <c r="K44" s="11" t="s">
        <v>4152</v>
      </c>
      <c r="L44" s="38" t="n">
        <v>45719</v>
      </c>
      <c r="M44" s="11" t="n">
        <v>4</v>
      </c>
      <c r="N44" s="11"/>
      <c r="O44" s="11"/>
    </row>
    <row r="45" customFormat="false" ht="15" hidden="false" customHeight="false" outlineLevel="0" collapsed="false">
      <c r="A45" s="11" t="s">
        <v>4188</v>
      </c>
      <c r="B45" s="11" t="s">
        <v>288</v>
      </c>
      <c r="C45" s="11" t="s">
        <v>287</v>
      </c>
      <c r="D45" s="38" t="n">
        <v>45685</v>
      </c>
      <c r="E45" s="38" t="n">
        <v>45715</v>
      </c>
      <c r="F45" s="37" t="n">
        <v>3440</v>
      </c>
      <c r="G45" s="37" t="n">
        <v>688</v>
      </c>
      <c r="H45" s="37" t="n">
        <v>4128</v>
      </c>
      <c r="I45" s="11" t="s">
        <v>283</v>
      </c>
      <c r="J45" s="11"/>
      <c r="K45" s="11" t="s">
        <v>4152</v>
      </c>
      <c r="L45" s="38" t="n">
        <v>45719</v>
      </c>
      <c r="M45" s="11" t="n">
        <v>4</v>
      </c>
      <c r="N45" s="11"/>
      <c r="O45" s="11"/>
    </row>
    <row r="46" customFormat="false" ht="15" hidden="false" customHeight="false" outlineLevel="0" collapsed="false">
      <c r="A46" s="11" t="s">
        <v>1630</v>
      </c>
      <c r="B46" s="11" t="s">
        <v>336</v>
      </c>
      <c r="C46" s="11" t="s">
        <v>335</v>
      </c>
      <c r="D46" s="38" t="n">
        <v>45685</v>
      </c>
      <c r="E46" s="38" t="n">
        <v>45730</v>
      </c>
      <c r="F46" s="37" t="n">
        <v>2840</v>
      </c>
      <c r="G46" s="37" t="n">
        <v>568</v>
      </c>
      <c r="H46" s="37" t="n">
        <v>3408</v>
      </c>
      <c r="I46" s="11" t="s">
        <v>283</v>
      </c>
      <c r="J46" s="11"/>
      <c r="K46" s="11" t="s">
        <v>4152</v>
      </c>
      <c r="L46" s="38" t="n">
        <v>45775</v>
      </c>
      <c r="M46" s="11" t="n">
        <v>45</v>
      </c>
      <c r="N46" s="11"/>
      <c r="O46" s="11"/>
    </row>
    <row r="47" customFormat="false" ht="15" hidden="false" customHeight="false" outlineLevel="0" collapsed="false">
      <c r="A47" s="11" t="s">
        <v>4189</v>
      </c>
      <c r="B47" s="11" t="s">
        <v>281</v>
      </c>
      <c r="C47" s="11" t="s">
        <v>280</v>
      </c>
      <c r="D47" s="38" t="n">
        <v>45685</v>
      </c>
      <c r="E47" s="38" t="n">
        <v>45730</v>
      </c>
      <c r="F47" s="37" t="n">
        <v>8580</v>
      </c>
      <c r="G47" s="37" t="n">
        <v>1716</v>
      </c>
      <c r="H47" s="37" t="n">
        <v>10296</v>
      </c>
      <c r="I47" s="11" t="s">
        <v>283</v>
      </c>
      <c r="J47" s="11"/>
      <c r="K47" s="11" t="s">
        <v>4152</v>
      </c>
      <c r="L47" s="38" t="n">
        <v>45730</v>
      </c>
      <c r="M47" s="11" t="n">
        <v>0</v>
      </c>
      <c r="N47" s="11"/>
      <c r="O47" s="11"/>
    </row>
    <row r="48" customFormat="false" ht="15" hidden="false" customHeight="false" outlineLevel="0" collapsed="false">
      <c r="A48" s="11" t="s">
        <v>4190</v>
      </c>
      <c r="B48" s="11" t="s">
        <v>281</v>
      </c>
      <c r="C48" s="11" t="s">
        <v>280</v>
      </c>
      <c r="D48" s="38" t="n">
        <v>45686</v>
      </c>
      <c r="E48" s="38" t="n">
        <v>45731</v>
      </c>
      <c r="F48" s="37" t="n">
        <v>4010</v>
      </c>
      <c r="G48" s="37" t="n">
        <v>802</v>
      </c>
      <c r="H48" s="37" t="n">
        <v>4812</v>
      </c>
      <c r="I48" s="11" t="s">
        <v>283</v>
      </c>
      <c r="J48" s="11"/>
      <c r="K48" s="11" t="s">
        <v>4152</v>
      </c>
      <c r="L48" s="38" t="n">
        <v>45733</v>
      </c>
      <c r="M48" s="11" t="n">
        <v>2</v>
      </c>
      <c r="N48" s="11"/>
      <c r="O48" s="11"/>
    </row>
    <row r="49" customFormat="false" ht="15" hidden="false" customHeight="false" outlineLevel="0" collapsed="false">
      <c r="A49" s="11" t="s">
        <v>4191</v>
      </c>
      <c r="B49" s="11" t="s">
        <v>324</v>
      </c>
      <c r="C49" s="11" t="s">
        <v>323</v>
      </c>
      <c r="D49" s="38" t="n">
        <v>45687</v>
      </c>
      <c r="E49" s="38" t="n">
        <v>45717</v>
      </c>
      <c r="F49" s="37" t="n">
        <v>5220</v>
      </c>
      <c r="G49" s="37" t="n">
        <v>1044</v>
      </c>
      <c r="H49" s="37" t="n">
        <v>6264</v>
      </c>
      <c r="I49" s="11" t="s">
        <v>283</v>
      </c>
      <c r="J49" s="11"/>
      <c r="K49" s="11" t="s">
        <v>4152</v>
      </c>
      <c r="L49" s="38" t="n">
        <v>45728</v>
      </c>
      <c r="M49" s="11" t="n">
        <v>11</v>
      </c>
      <c r="N49" s="11"/>
      <c r="O49" s="11"/>
    </row>
    <row r="50" customFormat="false" ht="15" hidden="false" customHeight="false" outlineLevel="0" collapsed="false">
      <c r="A50" s="11" t="s">
        <v>4192</v>
      </c>
      <c r="B50" s="11" t="s">
        <v>324</v>
      </c>
      <c r="C50" s="11" t="s">
        <v>323</v>
      </c>
      <c r="D50" s="38" t="n">
        <v>45687</v>
      </c>
      <c r="E50" s="38" t="n">
        <v>45717</v>
      </c>
      <c r="F50" s="37" t="n">
        <v>7430</v>
      </c>
      <c r="G50" s="37" t="n">
        <v>1486</v>
      </c>
      <c r="H50" s="37" t="n">
        <v>8916</v>
      </c>
      <c r="I50" s="11" t="s">
        <v>283</v>
      </c>
      <c r="J50" s="11"/>
      <c r="K50" s="11" t="s">
        <v>4152</v>
      </c>
      <c r="L50" s="38" t="n">
        <v>45726</v>
      </c>
      <c r="M50" s="11" t="n">
        <v>9</v>
      </c>
      <c r="N50" s="11"/>
      <c r="O50" s="11"/>
    </row>
    <row r="51" customFormat="false" ht="15" hidden="false" customHeight="false" outlineLevel="0" collapsed="false">
      <c r="A51" s="11" t="s">
        <v>1557</v>
      </c>
      <c r="B51" s="11" t="s">
        <v>336</v>
      </c>
      <c r="C51" s="11" t="s">
        <v>335</v>
      </c>
      <c r="D51" s="38" t="n">
        <v>45687</v>
      </c>
      <c r="E51" s="38" t="n">
        <v>45732</v>
      </c>
      <c r="F51" s="37" t="n">
        <v>6460</v>
      </c>
      <c r="G51" s="37" t="n">
        <v>1292</v>
      </c>
      <c r="H51" s="37" t="n">
        <v>7752</v>
      </c>
      <c r="I51" s="11" t="s">
        <v>283</v>
      </c>
      <c r="J51" s="11"/>
      <c r="K51" s="11" t="s">
        <v>4152</v>
      </c>
      <c r="L51" s="38" t="n">
        <v>45761</v>
      </c>
      <c r="M51" s="11" t="n">
        <v>29</v>
      </c>
      <c r="N51" s="11"/>
      <c r="O51" s="11"/>
    </row>
    <row r="52" customFormat="false" ht="15" hidden="false" customHeight="false" outlineLevel="0" collapsed="false">
      <c r="A52" s="11" t="s">
        <v>4193</v>
      </c>
      <c r="B52" s="11" t="s">
        <v>336</v>
      </c>
      <c r="C52" s="11" t="s">
        <v>335</v>
      </c>
      <c r="D52" s="38" t="n">
        <v>45688</v>
      </c>
      <c r="E52" s="38" t="n">
        <v>45733</v>
      </c>
      <c r="F52" s="37" t="n">
        <v>5540</v>
      </c>
      <c r="G52" s="37" t="n">
        <v>1108</v>
      </c>
      <c r="H52" s="37" t="n">
        <v>6648</v>
      </c>
      <c r="I52" s="11" t="s">
        <v>283</v>
      </c>
      <c r="J52" s="11"/>
      <c r="K52" s="11" t="s">
        <v>4152</v>
      </c>
      <c r="L52" s="38" t="n">
        <v>45742</v>
      </c>
      <c r="M52" s="11" t="n">
        <v>9</v>
      </c>
      <c r="N52" s="11"/>
      <c r="O52" s="11"/>
    </row>
    <row r="53" customFormat="false" ht="15" hidden="false" customHeight="false" outlineLevel="0" collapsed="false">
      <c r="A53" s="11" t="s">
        <v>4194</v>
      </c>
      <c r="B53" s="11" t="s">
        <v>281</v>
      </c>
      <c r="C53" s="11" t="s">
        <v>280</v>
      </c>
      <c r="D53" s="38" t="n">
        <v>45691</v>
      </c>
      <c r="E53" s="38" t="n">
        <v>45736</v>
      </c>
      <c r="F53" s="37" t="n">
        <v>6180</v>
      </c>
      <c r="G53" s="37" t="n">
        <v>1236</v>
      </c>
      <c r="H53" s="37" t="n">
        <v>7416</v>
      </c>
      <c r="I53" s="11" t="s">
        <v>283</v>
      </c>
      <c r="J53" s="11"/>
      <c r="K53" s="11" t="s">
        <v>4152</v>
      </c>
      <c r="L53" s="38" t="n">
        <v>45736</v>
      </c>
      <c r="M53" s="11" t="n">
        <v>0</v>
      </c>
      <c r="N53" s="11"/>
      <c r="O53" s="11"/>
    </row>
    <row r="54" customFormat="false" ht="15" hidden="false" customHeight="false" outlineLevel="0" collapsed="false">
      <c r="A54" s="11" t="s">
        <v>4195</v>
      </c>
      <c r="B54" s="11" t="s">
        <v>281</v>
      </c>
      <c r="C54" s="11" t="s">
        <v>280</v>
      </c>
      <c r="D54" s="38" t="n">
        <v>45691</v>
      </c>
      <c r="E54" s="38" t="n">
        <v>45736</v>
      </c>
      <c r="F54" s="37" t="n">
        <v>7820</v>
      </c>
      <c r="G54" s="37" t="n">
        <v>1564</v>
      </c>
      <c r="H54" s="37" t="n">
        <v>9384</v>
      </c>
      <c r="I54" s="11" t="s">
        <v>283</v>
      </c>
      <c r="J54" s="11"/>
      <c r="K54" s="11" t="s">
        <v>4152</v>
      </c>
      <c r="L54" s="38" t="n">
        <v>45736</v>
      </c>
      <c r="M54" s="11" t="n">
        <v>0</v>
      </c>
      <c r="N54" s="11"/>
      <c r="O54" s="11"/>
    </row>
    <row r="55" customFormat="false" ht="15" hidden="false" customHeight="false" outlineLevel="0" collapsed="false">
      <c r="A55" s="11" t="s">
        <v>4196</v>
      </c>
      <c r="B55" s="11" t="s">
        <v>336</v>
      </c>
      <c r="C55" s="11" t="s">
        <v>335</v>
      </c>
      <c r="D55" s="38" t="n">
        <v>45691</v>
      </c>
      <c r="E55" s="38" t="n">
        <v>45736</v>
      </c>
      <c r="F55" s="37" t="n">
        <v>6910</v>
      </c>
      <c r="G55" s="37" t="n">
        <v>1382</v>
      </c>
      <c r="H55" s="37" t="n">
        <v>8292</v>
      </c>
      <c r="I55" s="11" t="s">
        <v>283</v>
      </c>
      <c r="J55" s="11"/>
      <c r="K55" s="11" t="s">
        <v>4152</v>
      </c>
      <c r="L55" s="38" t="n">
        <v>45736</v>
      </c>
      <c r="M55" s="11" t="n">
        <v>0</v>
      </c>
      <c r="N55" s="11"/>
      <c r="O55" s="11"/>
    </row>
    <row r="56" customFormat="false" ht="15" hidden="false" customHeight="false" outlineLevel="0" collapsed="false">
      <c r="A56" s="11" t="s">
        <v>4197</v>
      </c>
      <c r="B56" s="11" t="s">
        <v>400</v>
      </c>
      <c r="C56" s="11" t="s">
        <v>399</v>
      </c>
      <c r="D56" s="38" t="n">
        <v>45691</v>
      </c>
      <c r="E56" s="38" t="n">
        <v>45721</v>
      </c>
      <c r="F56" s="37" t="n">
        <v>14570</v>
      </c>
      <c r="G56" s="37" t="n">
        <v>2914</v>
      </c>
      <c r="H56" s="37" t="n">
        <v>17484</v>
      </c>
      <c r="I56" s="11" t="s">
        <v>283</v>
      </c>
      <c r="J56" s="11"/>
      <c r="K56" s="11" t="s">
        <v>4152</v>
      </c>
      <c r="L56" s="38" t="n">
        <v>45733</v>
      </c>
      <c r="M56" s="11" t="n">
        <v>12</v>
      </c>
      <c r="N56" s="11"/>
      <c r="O56" s="11"/>
    </row>
    <row r="57" customFormat="false" ht="15" hidden="false" customHeight="false" outlineLevel="0" collapsed="false">
      <c r="A57" s="11" t="s">
        <v>1498</v>
      </c>
      <c r="B57" s="11" t="s">
        <v>336</v>
      </c>
      <c r="C57" s="11" t="s">
        <v>335</v>
      </c>
      <c r="D57" s="38" t="n">
        <v>45691</v>
      </c>
      <c r="E57" s="38" t="n">
        <v>45736</v>
      </c>
      <c r="F57" s="37" t="n">
        <v>7770</v>
      </c>
      <c r="G57" s="37" t="n">
        <v>1554</v>
      </c>
      <c r="H57" s="37" t="n">
        <v>9324</v>
      </c>
      <c r="I57" s="11" t="s">
        <v>283</v>
      </c>
      <c r="J57" s="11"/>
      <c r="K57" s="11" t="s">
        <v>4152</v>
      </c>
      <c r="L57" s="38" t="n">
        <v>45748</v>
      </c>
      <c r="M57" s="11" t="n">
        <v>12</v>
      </c>
      <c r="N57" s="11"/>
      <c r="O57" s="11"/>
    </row>
    <row r="58" customFormat="false" ht="15" hidden="false" customHeight="false" outlineLevel="0" collapsed="false">
      <c r="A58" s="11" t="s">
        <v>1555</v>
      </c>
      <c r="B58" s="11" t="s">
        <v>299</v>
      </c>
      <c r="C58" s="11" t="s">
        <v>298</v>
      </c>
      <c r="D58" s="38" t="n">
        <v>45692</v>
      </c>
      <c r="E58" s="38" t="n">
        <v>45752</v>
      </c>
      <c r="F58" s="37" t="n">
        <v>7610</v>
      </c>
      <c r="G58" s="37" t="n">
        <v>0</v>
      </c>
      <c r="H58" s="37" t="n">
        <v>7610</v>
      </c>
      <c r="I58" s="11" t="s">
        <v>283</v>
      </c>
      <c r="J58" s="11"/>
      <c r="K58" s="11" t="s">
        <v>4152</v>
      </c>
      <c r="L58" s="38" t="n">
        <v>45761</v>
      </c>
      <c r="M58" s="11" t="n">
        <v>9</v>
      </c>
      <c r="N58" s="11"/>
      <c r="O58" s="11"/>
    </row>
    <row r="59" customFormat="false" ht="15" hidden="false" customHeight="false" outlineLevel="0" collapsed="false">
      <c r="A59" s="11" t="s">
        <v>4198</v>
      </c>
      <c r="B59" s="11" t="s">
        <v>324</v>
      </c>
      <c r="C59" s="11" t="s">
        <v>323</v>
      </c>
      <c r="D59" s="38" t="n">
        <v>45692</v>
      </c>
      <c r="E59" s="38" t="n">
        <v>45722</v>
      </c>
      <c r="F59" s="37" t="n">
        <v>3590</v>
      </c>
      <c r="G59" s="37" t="n">
        <v>718</v>
      </c>
      <c r="H59" s="37" t="n">
        <v>4308</v>
      </c>
      <c r="I59" s="11" t="s">
        <v>283</v>
      </c>
      <c r="J59" s="11"/>
      <c r="K59" s="11" t="s">
        <v>4152</v>
      </c>
      <c r="L59" s="38" t="n">
        <v>45733</v>
      </c>
      <c r="M59" s="11" t="n">
        <v>11</v>
      </c>
      <c r="N59" s="11"/>
      <c r="O59" s="11"/>
    </row>
    <row r="60" customFormat="false" ht="15" hidden="false" customHeight="false" outlineLevel="0" collapsed="false">
      <c r="A60" s="11" t="s">
        <v>4199</v>
      </c>
      <c r="B60" s="11" t="s">
        <v>281</v>
      </c>
      <c r="C60" s="11" t="s">
        <v>280</v>
      </c>
      <c r="D60" s="38" t="n">
        <v>45693</v>
      </c>
      <c r="E60" s="38" t="n">
        <v>45738</v>
      </c>
      <c r="F60" s="37" t="n">
        <v>6940</v>
      </c>
      <c r="G60" s="37" t="n">
        <v>1388</v>
      </c>
      <c r="H60" s="37" t="n">
        <v>8328</v>
      </c>
      <c r="I60" s="11" t="s">
        <v>283</v>
      </c>
      <c r="J60" s="11"/>
      <c r="K60" s="11" t="s">
        <v>4152</v>
      </c>
      <c r="L60" s="38" t="n">
        <v>45740</v>
      </c>
      <c r="M60" s="11" t="n">
        <v>2</v>
      </c>
      <c r="N60" s="11"/>
      <c r="O60" s="11"/>
    </row>
    <row r="61" customFormat="false" ht="15" hidden="false" customHeight="false" outlineLevel="0" collapsed="false">
      <c r="A61" s="11" t="s">
        <v>4200</v>
      </c>
      <c r="B61" s="11" t="s">
        <v>288</v>
      </c>
      <c r="C61" s="11" t="s">
        <v>287</v>
      </c>
      <c r="D61" s="38" t="n">
        <v>45694</v>
      </c>
      <c r="E61" s="38" t="n">
        <v>45724</v>
      </c>
      <c r="F61" s="37" t="n">
        <v>1710</v>
      </c>
      <c r="G61" s="37" t="n">
        <v>342</v>
      </c>
      <c r="H61" s="37" t="n">
        <v>2052</v>
      </c>
      <c r="I61" s="11" t="s">
        <v>283</v>
      </c>
      <c r="J61" s="11"/>
      <c r="K61" s="11" t="s">
        <v>4152</v>
      </c>
      <c r="L61" s="38" t="n">
        <v>45721</v>
      </c>
      <c r="M61" s="11" t="n">
        <v>-3</v>
      </c>
      <c r="N61" s="11"/>
      <c r="O61" s="11"/>
    </row>
    <row r="62" customFormat="false" ht="15" hidden="false" customHeight="false" outlineLevel="0" collapsed="false">
      <c r="A62" s="11" t="s">
        <v>1527</v>
      </c>
      <c r="B62" s="11" t="s">
        <v>328</v>
      </c>
      <c r="C62" s="11" t="s">
        <v>327</v>
      </c>
      <c r="D62" s="38" t="n">
        <v>45695</v>
      </c>
      <c r="E62" s="38" t="n">
        <v>45755</v>
      </c>
      <c r="F62" s="37" t="n">
        <v>18720</v>
      </c>
      <c r="G62" s="37" t="n">
        <v>3744</v>
      </c>
      <c r="H62" s="37" t="n">
        <v>22464</v>
      </c>
      <c r="I62" s="11" t="s">
        <v>283</v>
      </c>
      <c r="J62" s="11"/>
      <c r="K62" s="11" t="s">
        <v>4152</v>
      </c>
      <c r="L62" s="38" t="n">
        <v>45754</v>
      </c>
      <c r="M62" s="11" t="n">
        <v>-1</v>
      </c>
      <c r="N62" s="11"/>
      <c r="O62" s="11"/>
    </row>
    <row r="63" customFormat="false" ht="15" hidden="false" customHeight="false" outlineLevel="0" collapsed="false">
      <c r="A63" s="11" t="s">
        <v>1692</v>
      </c>
      <c r="B63" s="11" t="s">
        <v>328</v>
      </c>
      <c r="C63" s="11" t="s">
        <v>327</v>
      </c>
      <c r="D63" s="38" t="n">
        <v>45695</v>
      </c>
      <c r="E63" s="38" t="n">
        <v>45755</v>
      </c>
      <c r="F63" s="37" t="n">
        <v>19590</v>
      </c>
      <c r="G63" s="37" t="n">
        <v>3918</v>
      </c>
      <c r="H63" s="37" t="n">
        <v>23508</v>
      </c>
      <c r="I63" s="11" t="s">
        <v>283</v>
      </c>
      <c r="J63" s="11"/>
      <c r="K63" s="11" t="s">
        <v>4152</v>
      </c>
      <c r="L63" s="38" t="n">
        <v>45791</v>
      </c>
      <c r="M63" s="11" t="n">
        <v>36</v>
      </c>
      <c r="N63" s="11"/>
      <c r="O63" s="11"/>
    </row>
    <row r="64" customFormat="false" ht="15" hidden="false" customHeight="false" outlineLevel="0" collapsed="false">
      <c r="A64" s="11" t="s">
        <v>4201</v>
      </c>
      <c r="B64" s="11" t="s">
        <v>288</v>
      </c>
      <c r="C64" s="11" t="s">
        <v>287</v>
      </c>
      <c r="D64" s="38" t="n">
        <v>45695</v>
      </c>
      <c r="E64" s="38" t="n">
        <v>45725</v>
      </c>
      <c r="F64" s="37" t="n">
        <v>4090</v>
      </c>
      <c r="G64" s="37" t="n">
        <v>818</v>
      </c>
      <c r="H64" s="37" t="n">
        <v>4908</v>
      </c>
      <c r="I64" s="11" t="s">
        <v>283</v>
      </c>
      <c r="J64" s="11"/>
      <c r="K64" s="11" t="s">
        <v>4152</v>
      </c>
      <c r="L64" s="38" t="n">
        <v>45727</v>
      </c>
      <c r="M64" s="11" t="n">
        <v>2</v>
      </c>
      <c r="N64" s="11"/>
      <c r="O64" s="11"/>
    </row>
    <row r="65" customFormat="false" ht="15" hidden="false" customHeight="false" outlineLevel="0" collapsed="false">
      <c r="A65" s="11" t="s">
        <v>4202</v>
      </c>
      <c r="B65" s="11" t="s">
        <v>324</v>
      </c>
      <c r="C65" s="11" t="s">
        <v>323</v>
      </c>
      <c r="D65" s="38" t="n">
        <v>45695</v>
      </c>
      <c r="E65" s="38" t="n">
        <v>45725</v>
      </c>
      <c r="F65" s="37" t="n">
        <v>3160</v>
      </c>
      <c r="G65" s="37" t="n">
        <v>632</v>
      </c>
      <c r="H65" s="37" t="n">
        <v>3792</v>
      </c>
      <c r="I65" s="11" t="s">
        <v>283</v>
      </c>
      <c r="J65" s="11"/>
      <c r="K65" s="11" t="s">
        <v>4152</v>
      </c>
      <c r="L65" s="38" t="n">
        <v>45733</v>
      </c>
      <c r="M65" s="11" t="n">
        <v>8</v>
      </c>
      <c r="N65" s="11"/>
      <c r="O65" s="11"/>
    </row>
    <row r="66" customFormat="false" ht="15" hidden="false" customHeight="false" outlineLevel="0" collapsed="false">
      <c r="A66" s="11" t="s">
        <v>1561</v>
      </c>
      <c r="B66" s="11" t="s">
        <v>350</v>
      </c>
      <c r="C66" s="11" t="s">
        <v>349</v>
      </c>
      <c r="D66" s="38" t="n">
        <v>45695</v>
      </c>
      <c r="E66" s="38" t="n">
        <v>45755</v>
      </c>
      <c r="F66" s="37" t="n">
        <v>6140</v>
      </c>
      <c r="G66" s="37" t="n">
        <v>1228</v>
      </c>
      <c r="H66" s="37" t="n">
        <v>7368</v>
      </c>
      <c r="I66" s="11" t="s">
        <v>283</v>
      </c>
      <c r="J66" s="11"/>
      <c r="K66" s="11" t="s">
        <v>4152</v>
      </c>
      <c r="L66" s="38" t="n">
        <v>45761</v>
      </c>
      <c r="M66" s="11" t="n">
        <v>6</v>
      </c>
      <c r="N66" s="11"/>
      <c r="O66" s="11"/>
    </row>
    <row r="67" customFormat="false" ht="15" hidden="false" customHeight="false" outlineLevel="0" collapsed="false">
      <c r="A67" s="11" t="s">
        <v>4203</v>
      </c>
      <c r="B67" s="11" t="s">
        <v>332</v>
      </c>
      <c r="C67" s="11" t="s">
        <v>331</v>
      </c>
      <c r="D67" s="38" t="n">
        <v>45695</v>
      </c>
      <c r="E67" s="38" t="n">
        <v>45740</v>
      </c>
      <c r="F67" s="37" t="n">
        <v>10110</v>
      </c>
      <c r="G67" s="37" t="n">
        <v>2022</v>
      </c>
      <c r="H67" s="37" t="n">
        <v>12132</v>
      </c>
      <c r="I67" s="11" t="s">
        <v>283</v>
      </c>
      <c r="J67" s="11"/>
      <c r="K67" s="11" t="s">
        <v>4152</v>
      </c>
      <c r="L67" s="38" t="n">
        <v>45736</v>
      </c>
      <c r="M67" s="11" t="n">
        <v>-4</v>
      </c>
      <c r="N67" s="11"/>
      <c r="O67" s="11"/>
    </row>
    <row r="68" customFormat="false" ht="15" hidden="false" customHeight="false" outlineLevel="0" collapsed="false">
      <c r="A68" s="11" t="s">
        <v>1577</v>
      </c>
      <c r="B68" s="11" t="s">
        <v>332</v>
      </c>
      <c r="C68" s="11" t="s">
        <v>331</v>
      </c>
      <c r="D68" s="38" t="n">
        <v>45695</v>
      </c>
      <c r="E68" s="38" t="n">
        <v>45740</v>
      </c>
      <c r="F68" s="37" t="n">
        <v>3700</v>
      </c>
      <c r="G68" s="37" t="n">
        <v>740</v>
      </c>
      <c r="H68" s="37" t="n">
        <v>4440</v>
      </c>
      <c r="I68" s="11" t="s">
        <v>283</v>
      </c>
      <c r="J68" s="11"/>
      <c r="K68" s="11" t="s">
        <v>4152</v>
      </c>
      <c r="L68" s="38" t="n">
        <v>45764</v>
      </c>
      <c r="M68" s="11" t="n">
        <v>24</v>
      </c>
      <c r="N68" s="11"/>
      <c r="O68" s="11"/>
    </row>
    <row r="69" customFormat="false" ht="15" hidden="false" customHeight="false" outlineLevel="0" collapsed="false">
      <c r="A69" s="11" t="s">
        <v>4204</v>
      </c>
      <c r="B69" s="11" t="s">
        <v>400</v>
      </c>
      <c r="C69" s="11" t="s">
        <v>399</v>
      </c>
      <c r="D69" s="38" t="n">
        <v>45695</v>
      </c>
      <c r="E69" s="38" t="n">
        <v>45725</v>
      </c>
      <c r="F69" s="37" t="n">
        <v>11980</v>
      </c>
      <c r="G69" s="37" t="n">
        <v>2396</v>
      </c>
      <c r="H69" s="37" t="n">
        <v>14376</v>
      </c>
      <c r="I69" s="11" t="s">
        <v>283</v>
      </c>
      <c r="J69" s="11"/>
      <c r="K69" s="11" t="s">
        <v>4152</v>
      </c>
      <c r="L69" s="38" t="n">
        <v>45719</v>
      </c>
      <c r="M69" s="11" t="n">
        <v>-6</v>
      </c>
      <c r="N69" s="11"/>
      <c r="O69" s="11"/>
    </row>
    <row r="70" customFormat="false" ht="15" hidden="false" customHeight="false" outlineLevel="0" collapsed="false">
      <c r="A70" s="11" t="s">
        <v>1604</v>
      </c>
      <c r="B70" s="11" t="s">
        <v>350</v>
      </c>
      <c r="C70" s="11" t="s">
        <v>349</v>
      </c>
      <c r="D70" s="38" t="n">
        <v>45695</v>
      </c>
      <c r="E70" s="38" t="n">
        <v>45755</v>
      </c>
      <c r="F70" s="37" t="n">
        <v>12680</v>
      </c>
      <c r="G70" s="37" t="n">
        <v>2536</v>
      </c>
      <c r="H70" s="37" t="n">
        <v>15216</v>
      </c>
      <c r="I70" s="11" t="s">
        <v>283</v>
      </c>
      <c r="J70" s="11"/>
      <c r="K70" s="11" t="s">
        <v>4152</v>
      </c>
      <c r="L70" s="38" t="n">
        <v>45770</v>
      </c>
      <c r="M70" s="11" t="n">
        <v>15</v>
      </c>
      <c r="N70" s="11"/>
      <c r="O70" s="11"/>
    </row>
    <row r="71" customFormat="false" ht="15" hidden="false" customHeight="false" outlineLevel="0" collapsed="false">
      <c r="A71" s="11" t="s">
        <v>4205</v>
      </c>
      <c r="B71" s="11" t="s">
        <v>336</v>
      </c>
      <c r="C71" s="11" t="s">
        <v>335</v>
      </c>
      <c r="D71" s="38" t="n">
        <v>45695</v>
      </c>
      <c r="E71" s="38" t="n">
        <v>45740</v>
      </c>
      <c r="F71" s="37" t="n">
        <v>7050</v>
      </c>
      <c r="G71" s="37" t="n">
        <v>1410</v>
      </c>
      <c r="H71" s="37" t="n">
        <v>8460</v>
      </c>
      <c r="I71" s="11" t="s">
        <v>283</v>
      </c>
      <c r="J71" s="11"/>
      <c r="K71" s="11" t="s">
        <v>4152</v>
      </c>
      <c r="L71" s="38" t="n">
        <v>45741</v>
      </c>
      <c r="M71" s="11" t="n">
        <v>1</v>
      </c>
      <c r="N71" s="11"/>
      <c r="O71" s="11"/>
    </row>
    <row r="72" customFormat="false" ht="15" hidden="false" customHeight="false" outlineLevel="0" collapsed="false">
      <c r="A72" s="11" t="s">
        <v>4206</v>
      </c>
      <c r="B72" s="11" t="s">
        <v>324</v>
      </c>
      <c r="C72" s="11" t="s">
        <v>323</v>
      </c>
      <c r="D72" s="38" t="n">
        <v>45698</v>
      </c>
      <c r="E72" s="38" t="n">
        <v>45728</v>
      </c>
      <c r="F72" s="37" t="n">
        <v>8560</v>
      </c>
      <c r="G72" s="37" t="n">
        <v>1712</v>
      </c>
      <c r="H72" s="37" t="n">
        <v>10272</v>
      </c>
      <c r="I72" s="11" t="s">
        <v>283</v>
      </c>
      <c r="J72" s="11"/>
      <c r="K72" s="11" t="s">
        <v>4152</v>
      </c>
      <c r="L72" s="38" t="n">
        <v>45741</v>
      </c>
      <c r="M72" s="11" t="n">
        <v>13</v>
      </c>
      <c r="N72" s="11"/>
      <c r="O72" s="11"/>
    </row>
    <row r="73" customFormat="false" ht="15" hidden="false" customHeight="false" outlineLevel="0" collapsed="false">
      <c r="A73" s="11" t="s">
        <v>1599</v>
      </c>
      <c r="B73" s="11" t="s">
        <v>299</v>
      </c>
      <c r="C73" s="11" t="s">
        <v>298</v>
      </c>
      <c r="D73" s="38" t="n">
        <v>45698</v>
      </c>
      <c r="E73" s="38" t="n">
        <v>45758</v>
      </c>
      <c r="F73" s="37" t="n">
        <v>8540</v>
      </c>
      <c r="G73" s="37" t="n">
        <v>0</v>
      </c>
      <c r="H73" s="37" t="n">
        <v>8540</v>
      </c>
      <c r="I73" s="11" t="s">
        <v>283</v>
      </c>
      <c r="J73" s="11"/>
      <c r="K73" s="11" t="s">
        <v>4152</v>
      </c>
      <c r="L73" s="38" t="n">
        <v>45769</v>
      </c>
      <c r="M73" s="11" t="n">
        <v>11</v>
      </c>
      <c r="N73" s="11"/>
      <c r="O73" s="11"/>
    </row>
    <row r="74" customFormat="false" ht="15" hidden="false" customHeight="false" outlineLevel="0" collapsed="false">
      <c r="A74" s="11" t="s">
        <v>1601</v>
      </c>
      <c r="B74" s="11" t="s">
        <v>328</v>
      </c>
      <c r="C74" s="11" t="s">
        <v>327</v>
      </c>
      <c r="D74" s="38" t="n">
        <v>45699</v>
      </c>
      <c r="E74" s="38" t="n">
        <v>45759</v>
      </c>
      <c r="F74" s="37" t="n">
        <v>20410</v>
      </c>
      <c r="G74" s="37" t="n">
        <v>4082</v>
      </c>
      <c r="H74" s="37" t="n">
        <v>24492</v>
      </c>
      <c r="I74" s="11" t="s">
        <v>283</v>
      </c>
      <c r="J74" s="11"/>
      <c r="K74" s="11" t="s">
        <v>4152</v>
      </c>
      <c r="L74" s="38" t="n">
        <v>45770</v>
      </c>
      <c r="M74" s="11" t="n">
        <v>11</v>
      </c>
      <c r="N74" s="11"/>
      <c r="O74" s="11"/>
    </row>
    <row r="75" customFormat="false" ht="15" hidden="false" customHeight="false" outlineLevel="0" collapsed="false">
      <c r="A75" s="11" t="s">
        <v>1589</v>
      </c>
      <c r="B75" s="11" t="s">
        <v>332</v>
      </c>
      <c r="C75" s="11" t="s">
        <v>331</v>
      </c>
      <c r="D75" s="38" t="n">
        <v>45700</v>
      </c>
      <c r="E75" s="38" t="n">
        <v>45745</v>
      </c>
      <c r="F75" s="37" t="n">
        <v>10580</v>
      </c>
      <c r="G75" s="37" t="n">
        <v>2116</v>
      </c>
      <c r="H75" s="37" t="n">
        <v>12696</v>
      </c>
      <c r="I75" s="11" t="s">
        <v>283</v>
      </c>
      <c r="J75" s="11"/>
      <c r="K75" s="11" t="s">
        <v>4152</v>
      </c>
      <c r="L75" s="38" t="n">
        <v>45769</v>
      </c>
      <c r="M75" s="11" t="n">
        <v>24</v>
      </c>
      <c r="N75" s="11"/>
      <c r="O75" s="11"/>
    </row>
    <row r="76" customFormat="false" ht="15" hidden="false" customHeight="false" outlineLevel="0" collapsed="false">
      <c r="A76" s="11" t="s">
        <v>1568</v>
      </c>
      <c r="B76" s="11" t="s">
        <v>350</v>
      </c>
      <c r="C76" s="11" t="s">
        <v>349</v>
      </c>
      <c r="D76" s="38" t="n">
        <v>45701</v>
      </c>
      <c r="E76" s="38" t="n">
        <v>45761</v>
      </c>
      <c r="F76" s="37" t="n">
        <v>19710</v>
      </c>
      <c r="G76" s="37" t="n">
        <v>3942</v>
      </c>
      <c r="H76" s="37" t="n">
        <v>23652</v>
      </c>
      <c r="I76" s="11" t="s">
        <v>283</v>
      </c>
      <c r="J76" s="11"/>
      <c r="K76" s="11" t="s">
        <v>4152</v>
      </c>
      <c r="L76" s="38" t="n">
        <v>45762</v>
      </c>
      <c r="M76" s="11" t="n">
        <v>1</v>
      </c>
      <c r="N76" s="11"/>
      <c r="O76" s="11"/>
    </row>
    <row r="77" customFormat="false" ht="15" hidden="false" customHeight="false" outlineLevel="0" collapsed="false">
      <c r="A77" s="11" t="s">
        <v>1597</v>
      </c>
      <c r="B77" s="11" t="s">
        <v>350</v>
      </c>
      <c r="C77" s="11" t="s">
        <v>349</v>
      </c>
      <c r="D77" s="38" t="n">
        <v>45702</v>
      </c>
      <c r="E77" s="38" t="n">
        <v>45762</v>
      </c>
      <c r="F77" s="37" t="n">
        <v>5160</v>
      </c>
      <c r="G77" s="37" t="n">
        <v>1032</v>
      </c>
      <c r="H77" s="37" t="n">
        <v>6192</v>
      </c>
      <c r="I77" s="11" t="s">
        <v>283</v>
      </c>
      <c r="J77" s="11"/>
      <c r="K77" s="11" t="s">
        <v>4152</v>
      </c>
      <c r="L77" s="38" t="n">
        <v>45769</v>
      </c>
      <c r="M77" s="11" t="n">
        <v>7</v>
      </c>
      <c r="N77" s="11"/>
      <c r="O77" s="11"/>
    </row>
    <row r="78" customFormat="false" ht="15" hidden="false" customHeight="false" outlineLevel="0" collapsed="false">
      <c r="A78" s="11" t="s">
        <v>1553</v>
      </c>
      <c r="B78" s="11" t="s">
        <v>336</v>
      </c>
      <c r="C78" s="11" t="s">
        <v>335</v>
      </c>
      <c r="D78" s="38" t="n">
        <v>45702</v>
      </c>
      <c r="E78" s="38" t="n">
        <v>45747</v>
      </c>
      <c r="F78" s="37" t="n">
        <v>9980</v>
      </c>
      <c r="G78" s="37" t="n">
        <v>1996</v>
      </c>
      <c r="H78" s="37" t="n">
        <v>11976</v>
      </c>
      <c r="I78" s="11" t="s">
        <v>283</v>
      </c>
      <c r="J78" s="11"/>
      <c r="K78" s="11" t="s">
        <v>4152</v>
      </c>
      <c r="L78" s="38" t="n">
        <v>45758</v>
      </c>
      <c r="M78" s="11" t="n">
        <v>11</v>
      </c>
      <c r="N78" s="11"/>
      <c r="O78" s="11"/>
    </row>
    <row r="79" customFormat="false" ht="15" hidden="false" customHeight="false" outlineLevel="0" collapsed="false">
      <c r="A79" s="11" t="s">
        <v>1538</v>
      </c>
      <c r="B79" s="11" t="s">
        <v>336</v>
      </c>
      <c r="C79" s="11" t="s">
        <v>335</v>
      </c>
      <c r="D79" s="38" t="n">
        <v>45702</v>
      </c>
      <c r="E79" s="38" t="n">
        <v>45747</v>
      </c>
      <c r="F79" s="37" t="n">
        <v>4480</v>
      </c>
      <c r="G79" s="37" t="n">
        <v>896</v>
      </c>
      <c r="H79" s="37" t="n">
        <v>5376</v>
      </c>
      <c r="I79" s="11" t="s">
        <v>283</v>
      </c>
      <c r="J79" s="11"/>
      <c r="K79" s="11" t="s">
        <v>4152</v>
      </c>
      <c r="L79" s="38" t="n">
        <v>45756</v>
      </c>
      <c r="M79" s="11" t="n">
        <v>9</v>
      </c>
      <c r="N79" s="11"/>
      <c r="O79" s="11"/>
    </row>
    <row r="80" customFormat="false" ht="15" hidden="false" customHeight="false" outlineLevel="0" collapsed="false">
      <c r="A80" s="11" t="s">
        <v>4207</v>
      </c>
      <c r="B80" s="11" t="s">
        <v>336</v>
      </c>
      <c r="C80" s="11" t="s">
        <v>335</v>
      </c>
      <c r="D80" s="38" t="n">
        <v>45702</v>
      </c>
      <c r="E80" s="38" t="n">
        <v>45747</v>
      </c>
      <c r="F80" s="37" t="n">
        <v>4070</v>
      </c>
      <c r="G80" s="37" t="n">
        <v>814</v>
      </c>
      <c r="H80" s="37" t="n">
        <v>4884</v>
      </c>
      <c r="I80" s="11" t="s">
        <v>283</v>
      </c>
      <c r="J80" s="11"/>
      <c r="K80" s="11" t="s">
        <v>4152</v>
      </c>
      <c r="L80" s="38" t="n">
        <v>45747</v>
      </c>
      <c r="M80" s="11" t="n">
        <v>0</v>
      </c>
      <c r="N80" s="11"/>
      <c r="O80" s="11"/>
    </row>
    <row r="81" customFormat="false" ht="15" hidden="false" customHeight="false" outlineLevel="0" collapsed="false">
      <c r="A81" s="11" t="s">
        <v>1704</v>
      </c>
      <c r="B81" s="11" t="s">
        <v>350</v>
      </c>
      <c r="C81" s="11" t="s">
        <v>349</v>
      </c>
      <c r="D81" s="38" t="n">
        <v>45705</v>
      </c>
      <c r="E81" s="38" t="n">
        <v>45765</v>
      </c>
      <c r="F81" s="37" t="n">
        <v>5740</v>
      </c>
      <c r="G81" s="37" t="n">
        <v>1148</v>
      </c>
      <c r="H81" s="37" t="n">
        <v>6888</v>
      </c>
      <c r="I81" s="11" t="s">
        <v>283</v>
      </c>
      <c r="J81" s="11"/>
      <c r="K81" s="11" t="s">
        <v>4152</v>
      </c>
      <c r="L81" s="38" t="n">
        <v>45792</v>
      </c>
      <c r="M81" s="11" t="n">
        <v>27</v>
      </c>
      <c r="N81" s="11"/>
      <c r="O81" s="11"/>
    </row>
    <row r="82" customFormat="false" ht="15" hidden="false" customHeight="false" outlineLevel="0" collapsed="false">
      <c r="A82" s="11" t="s">
        <v>1515</v>
      </c>
      <c r="B82" s="11" t="s">
        <v>281</v>
      </c>
      <c r="C82" s="11" t="s">
        <v>280</v>
      </c>
      <c r="D82" s="38" t="n">
        <v>45705</v>
      </c>
      <c r="E82" s="38" t="n">
        <v>45750</v>
      </c>
      <c r="F82" s="37" t="n">
        <v>4140</v>
      </c>
      <c r="G82" s="37" t="n">
        <v>828</v>
      </c>
      <c r="H82" s="37" t="n">
        <v>4968</v>
      </c>
      <c r="I82" s="11" t="s">
        <v>283</v>
      </c>
      <c r="J82" s="11"/>
      <c r="K82" s="11" t="s">
        <v>4152</v>
      </c>
      <c r="L82" s="38" t="n">
        <v>45750</v>
      </c>
      <c r="M82" s="11" t="n">
        <v>0</v>
      </c>
      <c r="N82" s="11"/>
      <c r="O82" s="11"/>
    </row>
    <row r="83" customFormat="false" ht="15" hidden="false" customHeight="false" outlineLevel="0" collapsed="false">
      <c r="A83" s="11" t="s">
        <v>1645</v>
      </c>
      <c r="B83" s="11" t="s">
        <v>393</v>
      </c>
      <c r="C83" s="11" t="s">
        <v>392</v>
      </c>
      <c r="D83" s="38" t="n">
        <v>45706</v>
      </c>
      <c r="E83" s="38" t="n">
        <v>45756</v>
      </c>
      <c r="F83" s="37" t="n">
        <v>16050</v>
      </c>
      <c r="G83" s="37" t="n">
        <v>3210</v>
      </c>
      <c r="H83" s="37" t="n">
        <v>19260</v>
      </c>
      <c r="I83" s="11" t="s">
        <v>283</v>
      </c>
      <c r="J83" s="11"/>
      <c r="K83" s="11" t="s">
        <v>4152</v>
      </c>
      <c r="L83" s="38" t="n">
        <v>45779</v>
      </c>
      <c r="M83" s="11" t="n">
        <v>23</v>
      </c>
      <c r="N83" s="11"/>
      <c r="O83" s="11"/>
    </row>
    <row r="84" customFormat="false" ht="15" hidden="false" customHeight="false" outlineLevel="0" collapsed="false">
      <c r="A84" s="11" t="s">
        <v>1534</v>
      </c>
      <c r="B84" s="11" t="s">
        <v>281</v>
      </c>
      <c r="C84" s="11" t="s">
        <v>280</v>
      </c>
      <c r="D84" s="38" t="n">
        <v>45707</v>
      </c>
      <c r="E84" s="38" t="n">
        <v>45752</v>
      </c>
      <c r="F84" s="37" t="n">
        <v>12540</v>
      </c>
      <c r="G84" s="37" t="n">
        <v>2508</v>
      </c>
      <c r="H84" s="37" t="n">
        <v>15048</v>
      </c>
      <c r="I84" s="11" t="s">
        <v>283</v>
      </c>
      <c r="J84" s="11"/>
      <c r="K84" s="11" t="s">
        <v>4152</v>
      </c>
      <c r="L84" s="38" t="n">
        <v>45754</v>
      </c>
      <c r="M84" s="11" t="n">
        <v>2</v>
      </c>
      <c r="N84" s="11"/>
      <c r="O84" s="11"/>
    </row>
    <row r="85" customFormat="false" ht="15" hidden="false" customHeight="false" outlineLevel="0" collapsed="false">
      <c r="A85" s="11" t="s">
        <v>4208</v>
      </c>
      <c r="B85" s="11" t="s">
        <v>288</v>
      </c>
      <c r="C85" s="11" t="s">
        <v>287</v>
      </c>
      <c r="D85" s="38" t="n">
        <v>45708</v>
      </c>
      <c r="E85" s="38" t="n">
        <v>45738</v>
      </c>
      <c r="F85" s="37" t="n">
        <v>4580</v>
      </c>
      <c r="G85" s="37" t="n">
        <v>916</v>
      </c>
      <c r="H85" s="37" t="n">
        <v>5496</v>
      </c>
      <c r="I85" s="11" t="s">
        <v>283</v>
      </c>
      <c r="J85" s="11"/>
      <c r="K85" s="11" t="s">
        <v>4152</v>
      </c>
      <c r="L85" s="38" t="n">
        <v>45740</v>
      </c>
      <c r="M85" s="11" t="n">
        <v>2</v>
      </c>
      <c r="N85" s="11"/>
      <c r="O85" s="11"/>
    </row>
    <row r="86" customFormat="false" ht="15" hidden="false" customHeight="false" outlineLevel="0" collapsed="false">
      <c r="A86" s="11" t="s">
        <v>1583</v>
      </c>
      <c r="B86" s="11" t="s">
        <v>332</v>
      </c>
      <c r="C86" s="11" t="s">
        <v>331</v>
      </c>
      <c r="D86" s="38" t="n">
        <v>45708</v>
      </c>
      <c r="E86" s="38" t="n">
        <v>45753</v>
      </c>
      <c r="F86" s="37" t="n">
        <v>6480</v>
      </c>
      <c r="G86" s="37" t="n">
        <v>1296</v>
      </c>
      <c r="H86" s="37" t="n">
        <v>7776</v>
      </c>
      <c r="I86" s="11" t="s">
        <v>283</v>
      </c>
      <c r="J86" s="11"/>
      <c r="K86" s="11" t="s">
        <v>4152</v>
      </c>
      <c r="L86" s="38" t="n">
        <v>45765</v>
      </c>
      <c r="M86" s="11" t="n">
        <v>12</v>
      </c>
      <c r="N86" s="11"/>
      <c r="O86" s="11"/>
    </row>
    <row r="87" customFormat="false" ht="15" hidden="false" customHeight="false" outlineLevel="0" collapsed="false">
      <c r="A87" s="11" t="s">
        <v>1523</v>
      </c>
      <c r="B87" s="11" t="s">
        <v>281</v>
      </c>
      <c r="C87" s="11" t="s">
        <v>280</v>
      </c>
      <c r="D87" s="38" t="n">
        <v>45709</v>
      </c>
      <c r="E87" s="38" t="n">
        <v>45754</v>
      </c>
      <c r="F87" s="37" t="n">
        <v>3560</v>
      </c>
      <c r="G87" s="37" t="n">
        <v>712</v>
      </c>
      <c r="H87" s="37" t="n">
        <v>4272</v>
      </c>
      <c r="I87" s="11" t="s">
        <v>283</v>
      </c>
      <c r="J87" s="11"/>
      <c r="K87" s="11" t="s">
        <v>4152</v>
      </c>
      <c r="L87" s="38" t="n">
        <v>45754</v>
      </c>
      <c r="M87" s="11" t="n">
        <v>0</v>
      </c>
      <c r="N87" s="11"/>
      <c r="O87" s="11"/>
    </row>
    <row r="88" customFormat="false" ht="15" hidden="false" customHeight="false" outlineLevel="0" collapsed="false">
      <c r="A88" s="11" t="s">
        <v>4209</v>
      </c>
      <c r="B88" s="11" t="s">
        <v>288</v>
      </c>
      <c r="C88" s="11" t="s">
        <v>287</v>
      </c>
      <c r="D88" s="38" t="n">
        <v>45709</v>
      </c>
      <c r="E88" s="38" t="n">
        <v>45739</v>
      </c>
      <c r="F88" s="37" t="n">
        <v>3020</v>
      </c>
      <c r="G88" s="37" t="n">
        <v>604</v>
      </c>
      <c r="H88" s="37" t="n">
        <v>3624</v>
      </c>
      <c r="I88" s="11" t="s">
        <v>283</v>
      </c>
      <c r="J88" s="11"/>
      <c r="K88" s="11" t="s">
        <v>4152</v>
      </c>
      <c r="L88" s="38" t="n">
        <v>45741</v>
      </c>
      <c r="M88" s="11" t="n">
        <v>2</v>
      </c>
      <c r="N88" s="11"/>
      <c r="O88" s="11"/>
    </row>
    <row r="89" customFormat="false" ht="15" hidden="false" customHeight="false" outlineLevel="0" collapsed="false">
      <c r="A89" s="11" t="s">
        <v>1525</v>
      </c>
      <c r="B89" s="11" t="s">
        <v>281</v>
      </c>
      <c r="C89" s="11" t="s">
        <v>280</v>
      </c>
      <c r="D89" s="38" t="n">
        <v>45709</v>
      </c>
      <c r="E89" s="38" t="n">
        <v>45754</v>
      </c>
      <c r="F89" s="37" t="n">
        <v>2950</v>
      </c>
      <c r="G89" s="37" t="n">
        <v>590</v>
      </c>
      <c r="H89" s="37" t="n">
        <v>3540</v>
      </c>
      <c r="I89" s="11" t="s">
        <v>283</v>
      </c>
      <c r="J89" s="11"/>
      <c r="K89" s="11" t="s">
        <v>4152</v>
      </c>
      <c r="L89" s="38" t="n">
        <v>45754</v>
      </c>
      <c r="M89" s="11" t="n">
        <v>0</v>
      </c>
      <c r="N89" s="11"/>
      <c r="O89" s="11"/>
    </row>
    <row r="90" customFormat="false" ht="15" hidden="false" customHeight="false" outlineLevel="0" collapsed="false">
      <c r="A90" s="11" t="s">
        <v>1656</v>
      </c>
      <c r="B90" s="11" t="s">
        <v>350</v>
      </c>
      <c r="C90" s="11" t="s">
        <v>349</v>
      </c>
      <c r="D90" s="38" t="n">
        <v>45709</v>
      </c>
      <c r="E90" s="38" t="n">
        <v>45769</v>
      </c>
      <c r="F90" s="37" t="n">
        <v>8990</v>
      </c>
      <c r="G90" s="37" t="n">
        <v>1798</v>
      </c>
      <c r="H90" s="37" t="n">
        <v>10788</v>
      </c>
      <c r="I90" s="11" t="s">
        <v>283</v>
      </c>
      <c r="J90" s="11"/>
      <c r="K90" s="11" t="s">
        <v>4152</v>
      </c>
      <c r="L90" s="38" t="n">
        <v>45782</v>
      </c>
      <c r="M90" s="11" t="n">
        <v>13</v>
      </c>
      <c r="N90" s="11"/>
      <c r="O90" s="11"/>
    </row>
    <row r="91" customFormat="false" ht="15" hidden="false" customHeight="false" outlineLevel="0" collapsed="false">
      <c r="A91" s="11" t="s">
        <v>1624</v>
      </c>
      <c r="B91" s="11" t="s">
        <v>336</v>
      </c>
      <c r="C91" s="11" t="s">
        <v>335</v>
      </c>
      <c r="D91" s="38" t="n">
        <v>45709</v>
      </c>
      <c r="E91" s="38" t="n">
        <v>45754</v>
      </c>
      <c r="F91" s="37" t="n">
        <v>7530</v>
      </c>
      <c r="G91" s="37" t="n">
        <v>1506</v>
      </c>
      <c r="H91" s="37" t="n">
        <v>9036</v>
      </c>
      <c r="I91" s="11" t="s">
        <v>283</v>
      </c>
      <c r="J91" s="11"/>
      <c r="K91" s="11" t="s">
        <v>4152</v>
      </c>
      <c r="L91" s="38" t="n">
        <v>45775</v>
      </c>
      <c r="M91" s="11" t="n">
        <v>21</v>
      </c>
      <c r="N91" s="11"/>
      <c r="O91" s="11"/>
    </row>
    <row r="92" customFormat="false" ht="15" hidden="false" customHeight="false" outlineLevel="0" collapsed="false">
      <c r="A92" s="11" t="s">
        <v>1674</v>
      </c>
      <c r="B92" s="11" t="s">
        <v>393</v>
      </c>
      <c r="C92" s="11" t="s">
        <v>392</v>
      </c>
      <c r="D92" s="38" t="n">
        <v>45712</v>
      </c>
      <c r="E92" s="38" t="n">
        <v>45762</v>
      </c>
      <c r="F92" s="37" t="n">
        <v>5190</v>
      </c>
      <c r="G92" s="37" t="n">
        <v>1038</v>
      </c>
      <c r="H92" s="37" t="n">
        <v>6228</v>
      </c>
      <c r="I92" s="11" t="s">
        <v>283</v>
      </c>
      <c r="J92" s="11"/>
      <c r="K92" s="11" t="s">
        <v>4152</v>
      </c>
      <c r="L92" s="38" t="n">
        <v>45786</v>
      </c>
      <c r="M92" s="11" t="n">
        <v>24</v>
      </c>
      <c r="N92" s="11"/>
      <c r="O92" s="11"/>
    </row>
    <row r="93" customFormat="false" ht="15" hidden="false" customHeight="false" outlineLevel="0" collapsed="false">
      <c r="A93" s="11" t="s">
        <v>1549</v>
      </c>
      <c r="B93" s="11" t="s">
        <v>281</v>
      </c>
      <c r="C93" s="11" t="s">
        <v>280</v>
      </c>
      <c r="D93" s="38" t="n">
        <v>45713</v>
      </c>
      <c r="E93" s="38" t="n">
        <v>45758</v>
      </c>
      <c r="F93" s="37" t="n">
        <v>7260</v>
      </c>
      <c r="G93" s="37" t="n">
        <v>1452</v>
      </c>
      <c r="H93" s="37" t="n">
        <v>8712</v>
      </c>
      <c r="I93" s="11" t="s">
        <v>283</v>
      </c>
      <c r="J93" s="11"/>
      <c r="K93" s="11" t="s">
        <v>4152</v>
      </c>
      <c r="L93" s="38" t="n">
        <v>45758</v>
      </c>
      <c r="M93" s="11" t="n">
        <v>0</v>
      </c>
      <c r="N93" s="11"/>
      <c r="O93" s="11"/>
    </row>
    <row r="94" customFormat="false" ht="15" hidden="false" customHeight="false" outlineLevel="0" collapsed="false">
      <c r="A94" s="11" t="s">
        <v>1787</v>
      </c>
      <c r="B94" s="11" t="s">
        <v>332</v>
      </c>
      <c r="C94" s="11" t="s">
        <v>331</v>
      </c>
      <c r="D94" s="38" t="n">
        <v>45713</v>
      </c>
      <c r="E94" s="38" t="n">
        <v>45758</v>
      </c>
      <c r="F94" s="37" t="n">
        <v>11610</v>
      </c>
      <c r="G94" s="37" t="n">
        <v>2322</v>
      </c>
      <c r="H94" s="37" t="n">
        <v>13932</v>
      </c>
      <c r="I94" s="11" t="s">
        <v>283</v>
      </c>
      <c r="J94" s="11"/>
      <c r="K94" s="11" t="s">
        <v>4152</v>
      </c>
      <c r="L94" s="38" t="n">
        <v>45810</v>
      </c>
      <c r="M94" s="11" t="n">
        <v>52</v>
      </c>
      <c r="N94" s="11"/>
      <c r="O94" s="11"/>
    </row>
    <row r="95" customFormat="false" ht="15" hidden="false" customHeight="false" outlineLevel="0" collapsed="false">
      <c r="A95" s="11" t="s">
        <v>4210</v>
      </c>
      <c r="B95" s="11" t="s">
        <v>288</v>
      </c>
      <c r="C95" s="11" t="s">
        <v>287</v>
      </c>
      <c r="D95" s="38" t="n">
        <v>45714</v>
      </c>
      <c r="E95" s="38" t="n">
        <v>45744</v>
      </c>
      <c r="F95" s="37" t="n">
        <v>7830</v>
      </c>
      <c r="G95" s="37" t="n">
        <v>1566</v>
      </c>
      <c r="H95" s="37" t="n">
        <v>9396</v>
      </c>
      <c r="I95" s="11" t="s">
        <v>283</v>
      </c>
      <c r="J95" s="11"/>
      <c r="K95" s="11" t="s">
        <v>4152</v>
      </c>
      <c r="L95" s="38" t="n">
        <v>45747</v>
      </c>
      <c r="M95" s="11" t="n">
        <v>3</v>
      </c>
      <c r="N95" s="11"/>
      <c r="O95" s="11"/>
    </row>
    <row r="96" customFormat="false" ht="15" hidden="false" customHeight="false" outlineLevel="0" collapsed="false">
      <c r="A96" s="11" t="s">
        <v>1559</v>
      </c>
      <c r="B96" s="11" t="s">
        <v>281</v>
      </c>
      <c r="C96" s="11" t="s">
        <v>280</v>
      </c>
      <c r="D96" s="38" t="n">
        <v>45715</v>
      </c>
      <c r="E96" s="38" t="n">
        <v>45760</v>
      </c>
      <c r="F96" s="37" t="n">
        <v>12340</v>
      </c>
      <c r="G96" s="37" t="n">
        <v>2468</v>
      </c>
      <c r="H96" s="37" t="n">
        <v>14808</v>
      </c>
      <c r="I96" s="11" t="s">
        <v>283</v>
      </c>
      <c r="J96" s="11"/>
      <c r="K96" s="11" t="s">
        <v>4152</v>
      </c>
      <c r="L96" s="38" t="n">
        <v>45761</v>
      </c>
      <c r="M96" s="11" t="n">
        <v>1</v>
      </c>
      <c r="N96" s="11"/>
      <c r="O96" s="11"/>
    </row>
    <row r="97" customFormat="false" ht="15" hidden="false" customHeight="false" outlineLevel="0" collapsed="false">
      <c r="A97" s="11" t="s">
        <v>4211</v>
      </c>
      <c r="B97" s="11" t="s">
        <v>324</v>
      </c>
      <c r="C97" s="11" t="s">
        <v>323</v>
      </c>
      <c r="D97" s="38" t="n">
        <v>45715</v>
      </c>
      <c r="E97" s="38" t="n">
        <v>45745</v>
      </c>
      <c r="F97" s="37" t="n">
        <v>5930</v>
      </c>
      <c r="G97" s="37" t="n">
        <v>1186</v>
      </c>
      <c r="H97" s="37" t="n">
        <v>7116</v>
      </c>
      <c r="I97" s="11" t="s">
        <v>283</v>
      </c>
      <c r="J97" s="11"/>
      <c r="K97" s="11" t="s">
        <v>4152</v>
      </c>
      <c r="L97" s="38" t="n">
        <v>45747</v>
      </c>
      <c r="M97" s="11" t="n">
        <v>2</v>
      </c>
      <c r="N97" s="11"/>
      <c r="O97" s="11"/>
    </row>
    <row r="98" customFormat="false" ht="15" hidden="false" customHeight="false" outlineLevel="0" collapsed="false">
      <c r="A98" s="11" t="s">
        <v>1773</v>
      </c>
      <c r="B98" s="11" t="s">
        <v>328</v>
      </c>
      <c r="C98" s="11" t="s">
        <v>327</v>
      </c>
      <c r="D98" s="38" t="n">
        <v>45716</v>
      </c>
      <c r="E98" s="38" t="n">
        <v>45776</v>
      </c>
      <c r="F98" s="37" t="n">
        <v>31550</v>
      </c>
      <c r="G98" s="37" t="n">
        <v>6310</v>
      </c>
      <c r="H98" s="37" t="n">
        <v>37860</v>
      </c>
      <c r="I98" s="11" t="s">
        <v>283</v>
      </c>
      <c r="J98" s="11"/>
      <c r="K98" s="11" t="s">
        <v>4152</v>
      </c>
      <c r="L98" s="38" t="n">
        <v>45807</v>
      </c>
      <c r="M98" s="11" t="n">
        <v>31</v>
      </c>
      <c r="N98" s="11"/>
      <c r="O98" s="11"/>
    </row>
    <row r="99" customFormat="false" ht="15" hidden="false" customHeight="false" outlineLevel="0" collapsed="false">
      <c r="A99" s="11" t="s">
        <v>1595</v>
      </c>
      <c r="B99" s="11" t="s">
        <v>299</v>
      </c>
      <c r="C99" s="11" t="s">
        <v>298</v>
      </c>
      <c r="D99" s="38" t="n">
        <v>45716</v>
      </c>
      <c r="E99" s="38" t="n">
        <v>45776</v>
      </c>
      <c r="F99" s="37" t="n">
        <v>15710</v>
      </c>
      <c r="G99" s="37" t="n">
        <v>0</v>
      </c>
      <c r="H99" s="37" t="n">
        <v>15710</v>
      </c>
      <c r="I99" s="11" t="s">
        <v>283</v>
      </c>
      <c r="J99" s="11"/>
      <c r="K99" s="11" t="s">
        <v>4152</v>
      </c>
      <c r="L99" s="38" t="n">
        <v>45769</v>
      </c>
      <c r="M99" s="11" t="n">
        <v>-7</v>
      </c>
      <c r="N99" s="11"/>
      <c r="O99" s="11"/>
    </row>
    <row r="100" customFormat="false" ht="15" hidden="false" customHeight="false" outlineLevel="0" collapsed="false">
      <c r="A100" s="11" t="s">
        <v>1581</v>
      </c>
      <c r="B100" s="11" t="s">
        <v>281</v>
      </c>
      <c r="C100" s="11" t="s">
        <v>280</v>
      </c>
      <c r="D100" s="38" t="n">
        <v>45719</v>
      </c>
      <c r="E100" s="38" t="n">
        <v>45764</v>
      </c>
      <c r="F100" s="37" t="n">
        <v>4920</v>
      </c>
      <c r="G100" s="37" t="n">
        <v>984</v>
      </c>
      <c r="H100" s="37" t="n">
        <v>5904</v>
      </c>
      <c r="I100" s="11" t="s">
        <v>283</v>
      </c>
      <c r="J100" s="11"/>
      <c r="K100" s="11" t="s">
        <v>4152</v>
      </c>
      <c r="L100" s="38" t="n">
        <v>45764</v>
      </c>
      <c r="M100" s="11" t="n">
        <v>0</v>
      </c>
      <c r="N100" s="11"/>
      <c r="O100" s="11"/>
    </row>
    <row r="101" customFormat="false" ht="15" hidden="false" customHeight="false" outlineLevel="0" collapsed="false">
      <c r="A101" s="11" t="s">
        <v>1570</v>
      </c>
      <c r="B101" s="11" t="s">
        <v>336</v>
      </c>
      <c r="C101" s="11" t="s">
        <v>335</v>
      </c>
      <c r="D101" s="38" t="n">
        <v>45719</v>
      </c>
      <c r="E101" s="38" t="n">
        <v>45764</v>
      </c>
      <c r="F101" s="37" t="n">
        <v>6220</v>
      </c>
      <c r="G101" s="37" t="n">
        <v>1244</v>
      </c>
      <c r="H101" s="37" t="n">
        <v>7464</v>
      </c>
      <c r="I101" s="11" t="s">
        <v>283</v>
      </c>
      <c r="J101" s="11"/>
      <c r="K101" s="11" t="s">
        <v>4152</v>
      </c>
      <c r="L101" s="38" t="n">
        <v>45762</v>
      </c>
      <c r="M101" s="11" t="n">
        <v>-2</v>
      </c>
      <c r="N101" s="11"/>
      <c r="O101" s="11"/>
    </row>
    <row r="102" customFormat="false" ht="15" hidden="false" customHeight="false" outlineLevel="0" collapsed="false">
      <c r="A102" s="11" t="s">
        <v>1612</v>
      </c>
      <c r="B102" s="11" t="s">
        <v>336</v>
      </c>
      <c r="C102" s="11" t="s">
        <v>335</v>
      </c>
      <c r="D102" s="38" t="n">
        <v>45719</v>
      </c>
      <c r="E102" s="38" t="n">
        <v>45764</v>
      </c>
      <c r="F102" s="37" t="n">
        <v>2240</v>
      </c>
      <c r="G102" s="37" t="n">
        <v>448</v>
      </c>
      <c r="H102" s="37" t="n">
        <v>2688</v>
      </c>
      <c r="I102" s="11" t="s">
        <v>283</v>
      </c>
      <c r="J102" s="11"/>
      <c r="K102" s="11" t="s">
        <v>4152</v>
      </c>
      <c r="L102" s="38" t="n">
        <v>45772</v>
      </c>
      <c r="M102" s="11" t="n">
        <v>8</v>
      </c>
      <c r="N102" s="11"/>
      <c r="O102" s="11"/>
    </row>
    <row r="103" customFormat="false" ht="15" hidden="false" customHeight="false" outlineLevel="0" collapsed="false">
      <c r="A103" s="11" t="s">
        <v>1529</v>
      </c>
      <c r="B103" s="11" t="s">
        <v>288</v>
      </c>
      <c r="C103" s="11" t="s">
        <v>287</v>
      </c>
      <c r="D103" s="38" t="n">
        <v>45719</v>
      </c>
      <c r="E103" s="38" t="n">
        <v>45749</v>
      </c>
      <c r="F103" s="37" t="n">
        <v>8120</v>
      </c>
      <c r="G103" s="37" t="n">
        <v>1624</v>
      </c>
      <c r="H103" s="37" t="n">
        <v>9744</v>
      </c>
      <c r="I103" s="11" t="s">
        <v>283</v>
      </c>
      <c r="J103" s="11"/>
      <c r="K103" s="11" t="s">
        <v>4152</v>
      </c>
      <c r="L103" s="38" t="n">
        <v>45754</v>
      </c>
      <c r="M103" s="11" t="n">
        <v>5</v>
      </c>
      <c r="N103" s="11"/>
      <c r="O103" s="11"/>
    </row>
    <row r="104" customFormat="false" ht="15" hidden="false" customHeight="false" outlineLevel="0" collapsed="false">
      <c r="A104" s="11" t="s">
        <v>1507</v>
      </c>
      <c r="B104" s="11" t="s">
        <v>288</v>
      </c>
      <c r="C104" s="11" t="s">
        <v>287</v>
      </c>
      <c r="D104" s="38" t="n">
        <v>45719</v>
      </c>
      <c r="E104" s="38" t="n">
        <v>45749</v>
      </c>
      <c r="F104" s="37" t="n">
        <v>2980</v>
      </c>
      <c r="G104" s="37" t="n">
        <v>596</v>
      </c>
      <c r="H104" s="37" t="n">
        <v>3576</v>
      </c>
      <c r="I104" s="11" t="s">
        <v>283</v>
      </c>
      <c r="J104" s="11"/>
      <c r="K104" s="11" t="s">
        <v>4152</v>
      </c>
      <c r="L104" s="38" t="n">
        <v>45749</v>
      </c>
      <c r="M104" s="11" t="n">
        <v>0</v>
      </c>
      <c r="N104" s="11"/>
      <c r="O104" s="11"/>
    </row>
    <row r="105" customFormat="false" ht="15" hidden="false" customHeight="false" outlineLevel="0" collapsed="false">
      <c r="A105" s="11" t="s">
        <v>1728</v>
      </c>
      <c r="B105" s="11" t="s">
        <v>350</v>
      </c>
      <c r="C105" s="11" t="s">
        <v>349</v>
      </c>
      <c r="D105" s="38" t="n">
        <v>45719</v>
      </c>
      <c r="E105" s="38" t="n">
        <v>45779</v>
      </c>
      <c r="F105" s="37" t="n">
        <v>9750</v>
      </c>
      <c r="G105" s="37" t="n">
        <v>1950</v>
      </c>
      <c r="H105" s="37" t="n">
        <v>11700</v>
      </c>
      <c r="I105" s="11" t="s">
        <v>283</v>
      </c>
      <c r="J105" s="11"/>
      <c r="K105" s="11" t="s">
        <v>4152</v>
      </c>
      <c r="L105" s="38" t="n">
        <v>45798</v>
      </c>
      <c r="M105" s="11" t="n">
        <v>19</v>
      </c>
      <c r="N105" s="11"/>
      <c r="O105" s="11"/>
    </row>
    <row r="106" customFormat="false" ht="15" hidden="false" customHeight="false" outlineLevel="0" collapsed="false">
      <c r="A106" s="11" t="s">
        <v>1575</v>
      </c>
      <c r="B106" s="11" t="s">
        <v>281</v>
      </c>
      <c r="C106" s="11" t="s">
        <v>280</v>
      </c>
      <c r="D106" s="38" t="n">
        <v>45719</v>
      </c>
      <c r="E106" s="38" t="n">
        <v>45764</v>
      </c>
      <c r="F106" s="37" t="n">
        <v>7580</v>
      </c>
      <c r="G106" s="37" t="n">
        <v>1516</v>
      </c>
      <c r="H106" s="37" t="n">
        <v>9096</v>
      </c>
      <c r="I106" s="11" t="s">
        <v>283</v>
      </c>
      <c r="J106" s="11"/>
      <c r="K106" s="11" t="s">
        <v>4152</v>
      </c>
      <c r="L106" s="38" t="n">
        <v>45764</v>
      </c>
      <c r="M106" s="11" t="n">
        <v>0</v>
      </c>
      <c r="N106" s="11"/>
      <c r="O106" s="11"/>
    </row>
    <row r="107" customFormat="false" ht="15" hidden="false" customHeight="false" outlineLevel="0" collapsed="false">
      <c r="A107" s="11" t="s">
        <v>1681</v>
      </c>
      <c r="B107" s="11" t="s">
        <v>400</v>
      </c>
      <c r="C107" s="11" t="s">
        <v>399</v>
      </c>
      <c r="D107" s="38" t="n">
        <v>45719</v>
      </c>
      <c r="E107" s="38" t="n">
        <v>45749</v>
      </c>
      <c r="F107" s="37" t="n">
        <v>12950</v>
      </c>
      <c r="G107" s="37" t="n">
        <v>2590</v>
      </c>
      <c r="H107" s="37" t="n">
        <v>15540</v>
      </c>
      <c r="I107" s="11" t="s">
        <v>283</v>
      </c>
      <c r="J107" s="11"/>
      <c r="K107" s="11" t="s">
        <v>4152</v>
      </c>
      <c r="L107" s="38" t="n">
        <v>45786</v>
      </c>
      <c r="M107" s="11" t="n">
        <v>37</v>
      </c>
      <c r="N107" s="11"/>
      <c r="O107" s="11"/>
    </row>
    <row r="108" customFormat="false" ht="15" hidden="false" customHeight="false" outlineLevel="0" collapsed="false">
      <c r="A108" s="11" t="s">
        <v>1731</v>
      </c>
      <c r="B108" s="11" t="s">
        <v>350</v>
      </c>
      <c r="C108" s="11" t="s">
        <v>349</v>
      </c>
      <c r="D108" s="38" t="n">
        <v>45720</v>
      </c>
      <c r="E108" s="38" t="n">
        <v>45780</v>
      </c>
      <c r="F108" s="37" t="n">
        <v>11250</v>
      </c>
      <c r="G108" s="37" t="n">
        <v>2250</v>
      </c>
      <c r="H108" s="37" t="n">
        <v>13500</v>
      </c>
      <c r="I108" s="11" t="s">
        <v>283</v>
      </c>
      <c r="J108" s="11"/>
      <c r="K108" s="11" t="s">
        <v>4152</v>
      </c>
      <c r="L108" s="38" t="n">
        <v>45798</v>
      </c>
      <c r="M108" s="11" t="n">
        <v>18</v>
      </c>
      <c r="N108" s="11"/>
      <c r="O108" s="11"/>
    </row>
    <row r="109" customFormat="false" ht="15" hidden="false" customHeight="false" outlineLevel="0" collapsed="false">
      <c r="A109" s="11" t="s">
        <v>1783</v>
      </c>
      <c r="B109" s="11" t="s">
        <v>328</v>
      </c>
      <c r="C109" s="11" t="s">
        <v>327</v>
      </c>
      <c r="D109" s="38" t="n">
        <v>45721</v>
      </c>
      <c r="E109" s="38" t="n">
        <v>45781</v>
      </c>
      <c r="F109" s="37" t="n">
        <v>10450</v>
      </c>
      <c r="G109" s="37" t="n">
        <v>2090</v>
      </c>
      <c r="H109" s="37" t="n">
        <v>12540</v>
      </c>
      <c r="I109" s="11" t="s">
        <v>283</v>
      </c>
      <c r="J109" s="11"/>
      <c r="K109" s="11" t="s">
        <v>4152</v>
      </c>
      <c r="L109" s="38" t="n">
        <v>45810</v>
      </c>
      <c r="M109" s="11" t="n">
        <v>29</v>
      </c>
      <c r="N109" s="11"/>
      <c r="O109" s="11"/>
    </row>
    <row r="110" customFormat="false" ht="15" hidden="false" customHeight="false" outlineLevel="0" collapsed="false">
      <c r="A110" s="11" t="s">
        <v>1651</v>
      </c>
      <c r="B110" s="11" t="s">
        <v>332</v>
      </c>
      <c r="C110" s="11" t="s">
        <v>331</v>
      </c>
      <c r="D110" s="38" t="n">
        <v>45722</v>
      </c>
      <c r="E110" s="38" t="n">
        <v>45767</v>
      </c>
      <c r="F110" s="37" t="n">
        <v>10710</v>
      </c>
      <c r="G110" s="37" t="n">
        <v>2142</v>
      </c>
      <c r="H110" s="37" t="n">
        <v>12852</v>
      </c>
      <c r="I110" s="11" t="s">
        <v>283</v>
      </c>
      <c r="J110" s="11"/>
      <c r="K110" s="11" t="s">
        <v>4152</v>
      </c>
      <c r="L110" s="38" t="n">
        <v>45779</v>
      </c>
      <c r="M110" s="11" t="n">
        <v>12</v>
      </c>
      <c r="N110" s="11"/>
      <c r="O110" s="11"/>
    </row>
    <row r="111" customFormat="false" ht="15" hidden="false" customHeight="false" outlineLevel="0" collapsed="false">
      <c r="A111" s="11" t="s">
        <v>1593</v>
      </c>
      <c r="B111" s="11" t="s">
        <v>281</v>
      </c>
      <c r="C111" s="11" t="s">
        <v>280</v>
      </c>
      <c r="D111" s="38" t="n">
        <v>45722</v>
      </c>
      <c r="E111" s="38" t="n">
        <v>45767</v>
      </c>
      <c r="F111" s="37" t="n">
        <v>4170</v>
      </c>
      <c r="G111" s="37" t="n">
        <v>834</v>
      </c>
      <c r="H111" s="37" t="n">
        <v>5004</v>
      </c>
      <c r="I111" s="11" t="s">
        <v>283</v>
      </c>
      <c r="J111" s="11"/>
      <c r="K111" s="11" t="s">
        <v>4152</v>
      </c>
      <c r="L111" s="38" t="n">
        <v>45769</v>
      </c>
      <c r="M111" s="11" t="n">
        <v>2</v>
      </c>
      <c r="N111" s="11"/>
      <c r="O111" s="11"/>
    </row>
    <row r="112" customFormat="false" ht="15" hidden="false" customHeight="false" outlineLevel="0" collapsed="false">
      <c r="A112" s="11" t="s">
        <v>1698</v>
      </c>
      <c r="B112" s="11" t="s">
        <v>350</v>
      </c>
      <c r="C112" s="11" t="s">
        <v>349</v>
      </c>
      <c r="D112" s="38" t="n">
        <v>45723</v>
      </c>
      <c r="E112" s="38" t="n">
        <v>45783</v>
      </c>
      <c r="F112" s="37" t="n">
        <v>12490</v>
      </c>
      <c r="G112" s="37" t="n">
        <v>2498</v>
      </c>
      <c r="H112" s="37" t="n">
        <v>14988</v>
      </c>
      <c r="I112" s="11" t="s">
        <v>283</v>
      </c>
      <c r="J112" s="11"/>
      <c r="K112" s="11" t="s">
        <v>4152</v>
      </c>
      <c r="L112" s="38" t="n">
        <v>45792</v>
      </c>
      <c r="M112" s="11" t="n">
        <v>9</v>
      </c>
      <c r="N112" s="11"/>
      <c r="O112" s="11"/>
    </row>
    <row r="113" customFormat="false" ht="15" hidden="false" customHeight="false" outlineLevel="0" collapsed="false">
      <c r="A113" s="11" t="s">
        <v>1858</v>
      </c>
      <c r="B113" s="11" t="s">
        <v>393</v>
      </c>
      <c r="C113" s="11" t="s">
        <v>392</v>
      </c>
      <c r="D113" s="38" t="n">
        <v>45723</v>
      </c>
      <c r="E113" s="38" t="n">
        <v>45773</v>
      </c>
      <c r="F113" s="37" t="n">
        <v>14090</v>
      </c>
      <c r="G113" s="37" t="n">
        <v>2818</v>
      </c>
      <c r="H113" s="37" t="n">
        <v>16908</v>
      </c>
      <c r="I113" s="11" t="s">
        <v>283</v>
      </c>
      <c r="J113" s="11"/>
      <c r="K113" s="11" t="s">
        <v>4152</v>
      </c>
      <c r="L113" s="38" t="n">
        <v>45824</v>
      </c>
      <c r="M113" s="11" t="n">
        <v>51</v>
      </c>
      <c r="N113" s="11"/>
      <c r="O113" s="11"/>
    </row>
    <row r="114" customFormat="false" ht="15" hidden="false" customHeight="false" outlineLevel="0" collapsed="false">
      <c r="A114" s="11" t="s">
        <v>1540</v>
      </c>
      <c r="B114" s="11" t="s">
        <v>288</v>
      </c>
      <c r="C114" s="11" t="s">
        <v>287</v>
      </c>
      <c r="D114" s="38" t="n">
        <v>45723</v>
      </c>
      <c r="E114" s="38" t="n">
        <v>45753</v>
      </c>
      <c r="F114" s="37" t="n">
        <v>3790</v>
      </c>
      <c r="G114" s="37" t="n">
        <v>758</v>
      </c>
      <c r="H114" s="37" t="n">
        <v>4548</v>
      </c>
      <c r="I114" s="11" t="s">
        <v>283</v>
      </c>
      <c r="J114" s="11"/>
      <c r="K114" s="11" t="s">
        <v>4152</v>
      </c>
      <c r="L114" s="38" t="n">
        <v>45756</v>
      </c>
      <c r="M114" s="11" t="n">
        <v>3</v>
      </c>
      <c r="N114" s="11"/>
      <c r="O114" s="11"/>
    </row>
    <row r="115" customFormat="false" ht="15" hidden="false" customHeight="false" outlineLevel="0" collapsed="false">
      <c r="A115" s="11" t="s">
        <v>1587</v>
      </c>
      <c r="B115" s="11" t="s">
        <v>281</v>
      </c>
      <c r="C115" s="11" t="s">
        <v>280</v>
      </c>
      <c r="D115" s="38" t="n">
        <v>45723</v>
      </c>
      <c r="E115" s="38" t="n">
        <v>45768</v>
      </c>
      <c r="F115" s="37" t="n">
        <v>8410</v>
      </c>
      <c r="G115" s="37" t="n">
        <v>1682</v>
      </c>
      <c r="H115" s="37" t="n">
        <v>10092</v>
      </c>
      <c r="I115" s="11" t="s">
        <v>283</v>
      </c>
      <c r="J115" s="11"/>
      <c r="K115" s="11" t="s">
        <v>4152</v>
      </c>
      <c r="L115" s="38" t="n">
        <v>45769</v>
      </c>
      <c r="M115" s="11" t="n">
        <v>1</v>
      </c>
      <c r="N115" s="11"/>
      <c r="O115" s="11"/>
    </row>
    <row r="116" customFormat="false" ht="15" hidden="false" customHeight="false" outlineLevel="0" collapsed="false">
      <c r="A116" s="11" t="s">
        <v>1563</v>
      </c>
      <c r="B116" s="11" t="s">
        <v>288</v>
      </c>
      <c r="C116" s="11" t="s">
        <v>287</v>
      </c>
      <c r="D116" s="38" t="n">
        <v>45723</v>
      </c>
      <c r="E116" s="38" t="n">
        <v>45753</v>
      </c>
      <c r="F116" s="37" t="n">
        <v>1500</v>
      </c>
      <c r="G116" s="37" t="n">
        <v>300</v>
      </c>
      <c r="H116" s="37" t="n">
        <v>1800</v>
      </c>
      <c r="I116" s="11" t="s">
        <v>283</v>
      </c>
      <c r="J116" s="11"/>
      <c r="K116" s="11" t="s">
        <v>4152</v>
      </c>
      <c r="L116" s="38" t="n">
        <v>45761</v>
      </c>
      <c r="M116" s="11" t="n">
        <v>8</v>
      </c>
      <c r="N116" s="11"/>
      <c r="O116" s="11"/>
    </row>
    <row r="117" customFormat="false" ht="15" hidden="false" customHeight="false" outlineLevel="0" collapsed="false">
      <c r="A117" s="11" t="s">
        <v>1622</v>
      </c>
      <c r="B117" s="11" t="s">
        <v>336</v>
      </c>
      <c r="C117" s="11" t="s">
        <v>335</v>
      </c>
      <c r="D117" s="38" t="n">
        <v>45726</v>
      </c>
      <c r="E117" s="38" t="n">
        <v>45771</v>
      </c>
      <c r="F117" s="37" t="n">
        <v>3220</v>
      </c>
      <c r="G117" s="37" t="n">
        <v>644</v>
      </c>
      <c r="H117" s="37" t="n">
        <v>3864</v>
      </c>
      <c r="I117" s="11" t="s">
        <v>283</v>
      </c>
      <c r="J117" s="11"/>
      <c r="K117" s="11" t="s">
        <v>4152</v>
      </c>
      <c r="L117" s="38" t="n">
        <v>45775</v>
      </c>
      <c r="M117" s="11" t="n">
        <v>4</v>
      </c>
      <c r="N117" s="11"/>
      <c r="O117" s="11"/>
    </row>
    <row r="118" customFormat="false" ht="15" hidden="false" customHeight="false" outlineLevel="0" collapsed="false">
      <c r="A118" s="11" t="s">
        <v>1768</v>
      </c>
      <c r="B118" s="11" t="s">
        <v>328</v>
      </c>
      <c r="C118" s="11" t="s">
        <v>327</v>
      </c>
      <c r="D118" s="38" t="n">
        <v>45727</v>
      </c>
      <c r="E118" s="38" t="n">
        <v>45787</v>
      </c>
      <c r="F118" s="37" t="n">
        <v>28360</v>
      </c>
      <c r="G118" s="37" t="n">
        <v>5672</v>
      </c>
      <c r="H118" s="37" t="n">
        <v>34032</v>
      </c>
      <c r="I118" s="11" t="s">
        <v>283</v>
      </c>
      <c r="J118" s="11"/>
      <c r="K118" s="11" t="s">
        <v>4152</v>
      </c>
      <c r="L118" s="38" t="n">
        <v>45807</v>
      </c>
      <c r="M118" s="11" t="n">
        <v>20</v>
      </c>
      <c r="N118" s="11"/>
      <c r="O118" s="11"/>
    </row>
    <row r="119" customFormat="false" ht="15" hidden="false" customHeight="false" outlineLevel="0" collapsed="false">
      <c r="A119" s="11" t="s">
        <v>1614</v>
      </c>
      <c r="B119" s="11" t="s">
        <v>332</v>
      </c>
      <c r="C119" s="11" t="s">
        <v>331</v>
      </c>
      <c r="D119" s="38" t="n">
        <v>45728</v>
      </c>
      <c r="E119" s="38" t="n">
        <v>45773</v>
      </c>
      <c r="F119" s="37" t="n">
        <v>15000</v>
      </c>
      <c r="G119" s="37" t="n">
        <v>3000</v>
      </c>
      <c r="H119" s="37" t="n">
        <v>18000</v>
      </c>
      <c r="I119" s="11" t="s">
        <v>283</v>
      </c>
      <c r="J119" s="11"/>
      <c r="K119" s="11" t="s">
        <v>4152</v>
      </c>
      <c r="L119" s="38" t="n">
        <v>45772</v>
      </c>
      <c r="M119" s="11" t="n">
        <v>-1</v>
      </c>
      <c r="N119" s="11"/>
      <c r="O119" s="11"/>
    </row>
    <row r="120" customFormat="false" ht="15" hidden="false" customHeight="false" outlineLevel="0" collapsed="false">
      <c r="A120" s="11" t="s">
        <v>1685</v>
      </c>
      <c r="B120" s="11" t="s">
        <v>393</v>
      </c>
      <c r="C120" s="11" t="s">
        <v>392</v>
      </c>
      <c r="D120" s="38" t="n">
        <v>45728</v>
      </c>
      <c r="E120" s="38" t="n">
        <v>45778</v>
      </c>
      <c r="F120" s="37" t="n">
        <v>9510</v>
      </c>
      <c r="G120" s="37" t="n">
        <v>1902</v>
      </c>
      <c r="H120" s="37" t="n">
        <v>11412</v>
      </c>
      <c r="I120" s="11" t="s">
        <v>283</v>
      </c>
      <c r="J120" s="11"/>
      <c r="K120" s="11" t="s">
        <v>4152</v>
      </c>
      <c r="L120" s="38" t="n">
        <v>45789</v>
      </c>
      <c r="M120" s="11" t="n">
        <v>11</v>
      </c>
      <c r="N120" s="11"/>
      <c r="O120" s="11"/>
    </row>
    <row r="121" customFormat="false" ht="15" hidden="false" customHeight="false" outlineLevel="0" collapsed="false">
      <c r="A121" s="11" t="s">
        <v>1620</v>
      </c>
      <c r="B121" s="11" t="s">
        <v>281</v>
      </c>
      <c r="C121" s="11" t="s">
        <v>280</v>
      </c>
      <c r="D121" s="38" t="n">
        <v>45728</v>
      </c>
      <c r="E121" s="38" t="n">
        <v>45773</v>
      </c>
      <c r="F121" s="37" t="n">
        <v>5100</v>
      </c>
      <c r="G121" s="37" t="n">
        <v>1020</v>
      </c>
      <c r="H121" s="37" t="n">
        <v>6120</v>
      </c>
      <c r="I121" s="11" t="s">
        <v>283</v>
      </c>
      <c r="J121" s="11"/>
      <c r="K121" s="11" t="s">
        <v>4152</v>
      </c>
      <c r="L121" s="38" t="n">
        <v>45775</v>
      </c>
      <c r="M121" s="11" t="n">
        <v>2</v>
      </c>
      <c r="N121" s="11"/>
      <c r="O121" s="11"/>
    </row>
    <row r="122" customFormat="false" ht="15" hidden="false" customHeight="false" outlineLevel="0" collapsed="false">
      <c r="A122" s="11" t="s">
        <v>1676</v>
      </c>
      <c r="B122" s="11" t="s">
        <v>336</v>
      </c>
      <c r="C122" s="11" t="s">
        <v>335</v>
      </c>
      <c r="D122" s="38" t="n">
        <v>45730</v>
      </c>
      <c r="E122" s="38" t="n">
        <v>45775</v>
      </c>
      <c r="F122" s="37" t="n">
        <v>3950</v>
      </c>
      <c r="G122" s="37" t="n">
        <v>790</v>
      </c>
      <c r="H122" s="37" t="n">
        <v>4740</v>
      </c>
      <c r="I122" s="11" t="s">
        <v>283</v>
      </c>
      <c r="J122" s="11"/>
      <c r="K122" s="11" t="s">
        <v>4152</v>
      </c>
      <c r="L122" s="38" t="n">
        <v>45786</v>
      </c>
      <c r="M122" s="11" t="n">
        <v>11</v>
      </c>
      <c r="N122" s="11"/>
      <c r="O122" s="11"/>
    </row>
    <row r="123" customFormat="false" ht="15" hidden="false" customHeight="false" outlineLevel="0" collapsed="false">
      <c r="A123" s="11" t="s">
        <v>1626</v>
      </c>
      <c r="B123" s="11" t="s">
        <v>324</v>
      </c>
      <c r="C123" s="11" t="s">
        <v>323</v>
      </c>
      <c r="D123" s="38" t="n">
        <v>45730</v>
      </c>
      <c r="E123" s="38" t="n">
        <v>45760</v>
      </c>
      <c r="F123" s="37" t="n">
        <v>5940</v>
      </c>
      <c r="G123" s="37" t="n">
        <v>1188</v>
      </c>
      <c r="H123" s="37" t="n">
        <v>7128</v>
      </c>
      <c r="I123" s="11" t="s">
        <v>283</v>
      </c>
      <c r="J123" s="11"/>
      <c r="K123" s="11" t="s">
        <v>4152</v>
      </c>
      <c r="L123" s="38" t="n">
        <v>45775</v>
      </c>
      <c r="M123" s="11" t="n">
        <v>15</v>
      </c>
      <c r="N123" s="11"/>
      <c r="O123" s="11"/>
    </row>
    <row r="124" customFormat="false" ht="15" hidden="false" customHeight="false" outlineLevel="0" collapsed="false">
      <c r="A124" s="11" t="s">
        <v>1710</v>
      </c>
      <c r="B124" s="11" t="s">
        <v>299</v>
      </c>
      <c r="C124" s="11" t="s">
        <v>298</v>
      </c>
      <c r="D124" s="38" t="n">
        <v>45730</v>
      </c>
      <c r="E124" s="38" t="n">
        <v>45790</v>
      </c>
      <c r="F124" s="37" t="n">
        <v>7070</v>
      </c>
      <c r="G124" s="37" t="n">
        <v>0</v>
      </c>
      <c r="H124" s="37" t="n">
        <v>7070</v>
      </c>
      <c r="I124" s="11" t="s">
        <v>283</v>
      </c>
      <c r="J124" s="11"/>
      <c r="K124" s="11" t="s">
        <v>4152</v>
      </c>
      <c r="L124" s="38" t="n">
        <v>45796</v>
      </c>
      <c r="M124" s="11" t="n">
        <v>6</v>
      </c>
      <c r="N124" s="11"/>
      <c r="O124" s="11"/>
    </row>
    <row r="125" customFormat="false" ht="15" hidden="false" customHeight="false" outlineLevel="0" collapsed="false">
      <c r="A125" s="11" t="s">
        <v>1610</v>
      </c>
      <c r="B125" s="11" t="s">
        <v>324</v>
      </c>
      <c r="C125" s="11" t="s">
        <v>323</v>
      </c>
      <c r="D125" s="38" t="n">
        <v>45730</v>
      </c>
      <c r="E125" s="38" t="n">
        <v>45760</v>
      </c>
      <c r="F125" s="37" t="n">
        <v>7320</v>
      </c>
      <c r="G125" s="37" t="n">
        <v>1464</v>
      </c>
      <c r="H125" s="37" t="n">
        <v>8784</v>
      </c>
      <c r="I125" s="11" t="s">
        <v>283</v>
      </c>
      <c r="J125" s="11"/>
      <c r="K125" s="11" t="s">
        <v>4152</v>
      </c>
      <c r="L125" s="38" t="n">
        <v>45771</v>
      </c>
      <c r="M125" s="11" t="n">
        <v>11</v>
      </c>
      <c r="N125" s="11"/>
      <c r="O125" s="11"/>
    </row>
    <row r="126" customFormat="false" ht="15" hidden="false" customHeight="false" outlineLevel="0" collapsed="false">
      <c r="A126" s="11" t="s">
        <v>1618</v>
      </c>
      <c r="B126" s="11" t="s">
        <v>281</v>
      </c>
      <c r="C126" s="11" t="s">
        <v>280</v>
      </c>
      <c r="D126" s="38" t="n">
        <v>45730</v>
      </c>
      <c r="E126" s="38" t="n">
        <v>45775</v>
      </c>
      <c r="F126" s="37" t="n">
        <v>8070</v>
      </c>
      <c r="G126" s="37" t="n">
        <v>1614</v>
      </c>
      <c r="H126" s="37" t="n">
        <v>9684</v>
      </c>
      <c r="I126" s="11" t="s">
        <v>283</v>
      </c>
      <c r="J126" s="11"/>
      <c r="K126" s="11" t="s">
        <v>4152</v>
      </c>
      <c r="L126" s="38" t="n">
        <v>45775</v>
      </c>
      <c r="M126" s="11" t="n">
        <v>0</v>
      </c>
      <c r="N126" s="11"/>
      <c r="O126" s="11"/>
    </row>
    <row r="127" customFormat="false" ht="15" hidden="false" customHeight="false" outlineLevel="0" collapsed="false">
      <c r="A127" s="11" t="s">
        <v>1714</v>
      </c>
      <c r="B127" s="11" t="s">
        <v>332</v>
      </c>
      <c r="C127" s="11" t="s">
        <v>331</v>
      </c>
      <c r="D127" s="38" t="n">
        <v>45730</v>
      </c>
      <c r="E127" s="38" t="n">
        <v>45775</v>
      </c>
      <c r="F127" s="37" t="n">
        <v>3730</v>
      </c>
      <c r="G127" s="37" t="n">
        <v>746</v>
      </c>
      <c r="H127" s="37" t="n">
        <v>4476</v>
      </c>
      <c r="I127" s="11" t="s">
        <v>283</v>
      </c>
      <c r="J127" s="11"/>
      <c r="K127" s="11" t="s">
        <v>4152</v>
      </c>
      <c r="L127" s="38" t="n">
        <v>45796</v>
      </c>
      <c r="M127" s="11" t="n">
        <v>21</v>
      </c>
      <c r="N127" s="11"/>
      <c r="O127" s="11"/>
    </row>
    <row r="128" customFormat="false" ht="15" hidden="false" customHeight="false" outlineLevel="0" collapsed="false">
      <c r="A128" s="11" t="s">
        <v>1935</v>
      </c>
      <c r="B128" s="11" t="s">
        <v>299</v>
      </c>
      <c r="C128" s="11" t="s">
        <v>298</v>
      </c>
      <c r="D128" s="38" t="n">
        <v>45733</v>
      </c>
      <c r="E128" s="38" t="n">
        <v>45793</v>
      </c>
      <c r="F128" s="37" t="n">
        <v>12330</v>
      </c>
      <c r="G128" s="37" t="n">
        <v>0</v>
      </c>
      <c r="H128" s="37" t="n">
        <v>12330</v>
      </c>
      <c r="I128" s="11" t="s">
        <v>283</v>
      </c>
      <c r="J128" s="11"/>
      <c r="K128" s="11" t="s">
        <v>4152</v>
      </c>
      <c r="L128" s="38" t="n">
        <v>45842</v>
      </c>
      <c r="M128" s="11" t="n">
        <v>49</v>
      </c>
      <c r="N128" s="11"/>
      <c r="O128" s="11"/>
    </row>
    <row r="129" customFormat="false" ht="15" hidden="false" customHeight="false" outlineLevel="0" collapsed="false">
      <c r="A129" s="11" t="s">
        <v>1708</v>
      </c>
      <c r="B129" s="11" t="s">
        <v>332</v>
      </c>
      <c r="C129" s="11" t="s">
        <v>331</v>
      </c>
      <c r="D129" s="38" t="n">
        <v>45733</v>
      </c>
      <c r="E129" s="38" t="n">
        <v>45778</v>
      </c>
      <c r="F129" s="37" t="n">
        <v>7670</v>
      </c>
      <c r="G129" s="37" t="n">
        <v>1534</v>
      </c>
      <c r="H129" s="37" t="n">
        <v>9204</v>
      </c>
      <c r="I129" s="11" t="s">
        <v>283</v>
      </c>
      <c r="J129" s="11"/>
      <c r="K129" s="11" t="s">
        <v>4152</v>
      </c>
      <c r="L129" s="38" t="n">
        <v>45793</v>
      </c>
      <c r="M129" s="11" t="n">
        <v>15</v>
      </c>
      <c r="N129" s="11"/>
      <c r="O129" s="11"/>
    </row>
    <row r="130" customFormat="false" ht="15" hidden="false" customHeight="false" outlineLevel="0" collapsed="false">
      <c r="A130" s="11" t="s">
        <v>1649</v>
      </c>
      <c r="B130" s="11" t="s">
        <v>281</v>
      </c>
      <c r="C130" s="11" t="s">
        <v>280</v>
      </c>
      <c r="D130" s="38" t="n">
        <v>45733</v>
      </c>
      <c r="E130" s="38" t="n">
        <v>45778</v>
      </c>
      <c r="F130" s="37" t="n">
        <v>4350</v>
      </c>
      <c r="G130" s="37" t="n">
        <v>870</v>
      </c>
      <c r="H130" s="37" t="n">
        <v>5220</v>
      </c>
      <c r="I130" s="11" t="s">
        <v>283</v>
      </c>
      <c r="J130" s="11"/>
      <c r="K130" s="11" t="s">
        <v>4152</v>
      </c>
      <c r="L130" s="38" t="n">
        <v>45779</v>
      </c>
      <c r="M130" s="11" t="n">
        <v>1</v>
      </c>
      <c r="N130" s="11"/>
      <c r="O130" s="11"/>
    </row>
    <row r="131" customFormat="false" ht="15" hidden="false" customHeight="false" outlineLevel="0" collapsed="false">
      <c r="A131" s="11" t="s">
        <v>1585</v>
      </c>
      <c r="B131" s="11" t="s">
        <v>288</v>
      </c>
      <c r="C131" s="11" t="s">
        <v>287</v>
      </c>
      <c r="D131" s="38" t="n">
        <v>45734</v>
      </c>
      <c r="E131" s="38" t="n">
        <v>45764</v>
      </c>
      <c r="F131" s="37" t="n">
        <v>2340</v>
      </c>
      <c r="G131" s="37" t="n">
        <v>468</v>
      </c>
      <c r="H131" s="37" t="n">
        <v>2808</v>
      </c>
      <c r="I131" s="11" t="s">
        <v>283</v>
      </c>
      <c r="J131" s="11"/>
      <c r="K131" s="11" t="s">
        <v>4152</v>
      </c>
      <c r="L131" s="38" t="n">
        <v>45769</v>
      </c>
      <c r="M131" s="11" t="n">
        <v>5</v>
      </c>
      <c r="N131" s="11"/>
      <c r="O131" s="11"/>
    </row>
    <row r="132" customFormat="false" ht="15" hidden="false" customHeight="false" outlineLevel="0" collapsed="false">
      <c r="A132" s="11" t="s">
        <v>1722</v>
      </c>
      <c r="B132" s="11" t="s">
        <v>350</v>
      </c>
      <c r="C132" s="11" t="s">
        <v>349</v>
      </c>
      <c r="D132" s="38" t="n">
        <v>45735</v>
      </c>
      <c r="E132" s="38" t="n">
        <v>45795</v>
      </c>
      <c r="F132" s="37" t="n">
        <v>8150</v>
      </c>
      <c r="G132" s="37" t="n">
        <v>1630</v>
      </c>
      <c r="H132" s="37" t="n">
        <v>9780</v>
      </c>
      <c r="I132" s="11" t="s">
        <v>283</v>
      </c>
      <c r="J132" s="11"/>
      <c r="K132" s="11" t="s">
        <v>4152</v>
      </c>
      <c r="L132" s="38" t="n">
        <v>45796</v>
      </c>
      <c r="M132" s="11" t="n">
        <v>1</v>
      </c>
      <c r="N132" s="11"/>
      <c r="O132" s="11"/>
    </row>
    <row r="133" customFormat="false" ht="15" hidden="false" customHeight="false" outlineLevel="0" collapsed="false">
      <c r="A133" s="11" t="s">
        <v>1753</v>
      </c>
      <c r="B133" s="11" t="s">
        <v>336</v>
      </c>
      <c r="C133" s="11" t="s">
        <v>335</v>
      </c>
      <c r="D133" s="38" t="n">
        <v>45735</v>
      </c>
      <c r="E133" s="38" t="n">
        <v>45780</v>
      </c>
      <c r="F133" s="37" t="n">
        <v>5350</v>
      </c>
      <c r="G133" s="37" t="n">
        <v>1070</v>
      </c>
      <c r="H133" s="37" t="n">
        <v>6420</v>
      </c>
      <c r="I133" s="11" t="s">
        <v>283</v>
      </c>
      <c r="J133" s="11"/>
      <c r="K133" s="11" t="s">
        <v>4152</v>
      </c>
      <c r="L133" s="38" t="n">
        <v>45804</v>
      </c>
      <c r="M133" s="11" t="n">
        <v>24</v>
      </c>
      <c r="N133" s="11"/>
      <c r="O133" s="11"/>
    </row>
    <row r="134" customFormat="false" ht="15" hidden="false" customHeight="false" outlineLevel="0" collapsed="false">
      <c r="A134" s="11" t="s">
        <v>1880</v>
      </c>
      <c r="B134" s="11" t="s">
        <v>332</v>
      </c>
      <c r="C134" s="11" t="s">
        <v>331</v>
      </c>
      <c r="D134" s="38" t="n">
        <v>45735</v>
      </c>
      <c r="E134" s="38" t="n">
        <v>45780</v>
      </c>
      <c r="F134" s="37" t="n">
        <v>10090</v>
      </c>
      <c r="G134" s="37" t="n">
        <v>2018</v>
      </c>
      <c r="H134" s="37" t="n">
        <v>12108</v>
      </c>
      <c r="I134" s="11" t="s">
        <v>283</v>
      </c>
      <c r="J134" s="11"/>
      <c r="K134" s="11" t="s">
        <v>4152</v>
      </c>
      <c r="L134" s="38" t="n">
        <v>45831</v>
      </c>
      <c r="M134" s="11" t="n">
        <v>51</v>
      </c>
      <c r="N134" s="11"/>
      <c r="O134" s="11"/>
    </row>
    <row r="135" customFormat="false" ht="15" hidden="false" customHeight="false" outlineLevel="0" collapsed="false">
      <c r="A135" s="11" t="s">
        <v>1628</v>
      </c>
      <c r="B135" s="11" t="s">
        <v>324</v>
      </c>
      <c r="C135" s="11" t="s">
        <v>323</v>
      </c>
      <c r="D135" s="38" t="n">
        <v>45735</v>
      </c>
      <c r="E135" s="38" t="n">
        <v>45765</v>
      </c>
      <c r="F135" s="37" t="n">
        <v>4180</v>
      </c>
      <c r="G135" s="37" t="n">
        <v>836</v>
      </c>
      <c r="H135" s="37" t="n">
        <v>5016</v>
      </c>
      <c r="I135" s="11" t="s">
        <v>283</v>
      </c>
      <c r="J135" s="11"/>
      <c r="K135" s="11" t="s">
        <v>4152</v>
      </c>
      <c r="L135" s="38" t="n">
        <v>45775</v>
      </c>
      <c r="M135" s="11" t="n">
        <v>10</v>
      </c>
      <c r="N135" s="11"/>
      <c r="O135" s="11"/>
    </row>
    <row r="136" customFormat="false" ht="15" hidden="false" customHeight="false" outlineLevel="0" collapsed="false">
      <c r="A136" s="11" t="s">
        <v>1706</v>
      </c>
      <c r="B136" s="11" t="s">
        <v>336</v>
      </c>
      <c r="C136" s="11" t="s">
        <v>335</v>
      </c>
      <c r="D136" s="38" t="n">
        <v>45735</v>
      </c>
      <c r="E136" s="38" t="n">
        <v>45780</v>
      </c>
      <c r="F136" s="37" t="n">
        <v>8070</v>
      </c>
      <c r="G136" s="37" t="n">
        <v>1614</v>
      </c>
      <c r="H136" s="37" t="n">
        <v>9684</v>
      </c>
      <c r="I136" s="11" t="s">
        <v>283</v>
      </c>
      <c r="J136" s="11"/>
      <c r="K136" s="11" t="s">
        <v>4152</v>
      </c>
      <c r="L136" s="38" t="n">
        <v>45792</v>
      </c>
      <c r="M136" s="11" t="n">
        <v>12</v>
      </c>
      <c r="N136" s="11"/>
      <c r="O136" s="11"/>
    </row>
    <row r="137" customFormat="false" ht="15" hidden="false" customHeight="false" outlineLevel="0" collapsed="false">
      <c r="A137" s="11" t="s">
        <v>1647</v>
      </c>
      <c r="B137" s="11" t="s">
        <v>336</v>
      </c>
      <c r="C137" s="11" t="s">
        <v>335</v>
      </c>
      <c r="D137" s="38" t="n">
        <v>45735</v>
      </c>
      <c r="E137" s="38" t="n">
        <v>45780</v>
      </c>
      <c r="F137" s="37" t="n">
        <v>8510</v>
      </c>
      <c r="G137" s="37" t="n">
        <v>1702</v>
      </c>
      <c r="H137" s="37" t="n">
        <v>10212</v>
      </c>
      <c r="I137" s="11" t="s">
        <v>283</v>
      </c>
      <c r="J137" s="11"/>
      <c r="K137" s="11" t="s">
        <v>4152</v>
      </c>
      <c r="L137" s="38" t="n">
        <v>45779</v>
      </c>
      <c r="M137" s="11" t="n">
        <v>-1</v>
      </c>
      <c r="N137" s="11"/>
      <c r="O137" s="11"/>
    </row>
    <row r="138" customFormat="false" ht="15" hidden="false" customHeight="false" outlineLevel="0" collapsed="false">
      <c r="A138" s="11" t="s">
        <v>1733</v>
      </c>
      <c r="B138" s="11" t="s">
        <v>328</v>
      </c>
      <c r="C138" s="11" t="s">
        <v>327</v>
      </c>
      <c r="D138" s="38" t="n">
        <v>45735</v>
      </c>
      <c r="E138" s="38" t="n">
        <v>45795</v>
      </c>
      <c r="F138" s="37" t="n">
        <v>22050</v>
      </c>
      <c r="G138" s="37" t="n">
        <v>4410</v>
      </c>
      <c r="H138" s="37" t="n">
        <v>26460</v>
      </c>
      <c r="I138" s="11" t="s">
        <v>283</v>
      </c>
      <c r="J138" s="11"/>
      <c r="K138" s="11" t="s">
        <v>4152</v>
      </c>
      <c r="L138" s="38" t="n">
        <v>45798</v>
      </c>
      <c r="M138" s="11" t="n">
        <v>3</v>
      </c>
      <c r="N138" s="11"/>
      <c r="O138" s="11"/>
    </row>
    <row r="139" customFormat="false" ht="15" hidden="false" customHeight="false" outlineLevel="0" collapsed="false">
      <c r="A139" s="11" t="s">
        <v>1777</v>
      </c>
      <c r="B139" s="11" t="s">
        <v>350</v>
      </c>
      <c r="C139" s="11" t="s">
        <v>349</v>
      </c>
      <c r="D139" s="38" t="n">
        <v>45735</v>
      </c>
      <c r="E139" s="38" t="n">
        <v>45795</v>
      </c>
      <c r="F139" s="37" t="n">
        <v>4820</v>
      </c>
      <c r="G139" s="37" t="n">
        <v>964</v>
      </c>
      <c r="H139" s="37" t="n">
        <v>5784</v>
      </c>
      <c r="I139" s="11" t="s">
        <v>283</v>
      </c>
      <c r="J139" s="11"/>
      <c r="K139" s="11" t="s">
        <v>4152</v>
      </c>
      <c r="L139" s="38" t="n">
        <v>45807</v>
      </c>
      <c r="M139" s="11" t="n">
        <v>12</v>
      </c>
      <c r="N139" s="11"/>
      <c r="O139" s="11"/>
    </row>
    <row r="140" customFormat="false" ht="15" hidden="false" customHeight="false" outlineLevel="0" collapsed="false">
      <c r="A140" s="11" t="s">
        <v>1847</v>
      </c>
      <c r="B140" s="11" t="s">
        <v>350</v>
      </c>
      <c r="C140" s="11" t="s">
        <v>349</v>
      </c>
      <c r="D140" s="38" t="n">
        <v>45735</v>
      </c>
      <c r="E140" s="38" t="n">
        <v>45795</v>
      </c>
      <c r="F140" s="37" t="n">
        <v>18440</v>
      </c>
      <c r="G140" s="37" t="n">
        <v>3688</v>
      </c>
      <c r="H140" s="37" t="n">
        <v>22128</v>
      </c>
      <c r="I140" s="11" t="s">
        <v>283</v>
      </c>
      <c r="J140" s="11"/>
      <c r="K140" s="11" t="s">
        <v>4152</v>
      </c>
      <c r="L140" s="38" t="n">
        <v>45824</v>
      </c>
      <c r="M140" s="11" t="n">
        <v>29</v>
      </c>
      <c r="N140" s="11"/>
      <c r="O140" s="11"/>
    </row>
    <row r="141" customFormat="false" ht="15" hidden="false" customHeight="false" outlineLevel="0" collapsed="false">
      <c r="A141" s="11" t="s">
        <v>1843</v>
      </c>
      <c r="B141" s="11" t="s">
        <v>328</v>
      </c>
      <c r="C141" s="11" t="s">
        <v>327</v>
      </c>
      <c r="D141" s="38" t="n">
        <v>45736</v>
      </c>
      <c r="E141" s="38" t="n">
        <v>45796</v>
      </c>
      <c r="F141" s="37" t="n">
        <v>9800</v>
      </c>
      <c r="G141" s="37" t="n">
        <v>1960</v>
      </c>
      <c r="H141" s="37" t="n">
        <v>11760</v>
      </c>
      <c r="I141" s="11" t="s">
        <v>283</v>
      </c>
      <c r="J141" s="11"/>
      <c r="K141" s="11" t="s">
        <v>4152</v>
      </c>
      <c r="L141" s="38" t="n">
        <v>45821</v>
      </c>
      <c r="M141" s="11" t="n">
        <v>25</v>
      </c>
      <c r="N141" s="11"/>
      <c r="O141" s="11"/>
    </row>
    <row r="142" customFormat="false" ht="15" hidden="false" customHeight="false" outlineLevel="0" collapsed="false">
      <c r="A142" s="11" t="s">
        <v>1632</v>
      </c>
      <c r="B142" s="11" t="s">
        <v>400</v>
      </c>
      <c r="C142" s="11" t="s">
        <v>399</v>
      </c>
      <c r="D142" s="38" t="n">
        <v>45736</v>
      </c>
      <c r="E142" s="38" t="n">
        <v>45766</v>
      </c>
      <c r="F142" s="37" t="n">
        <v>16550</v>
      </c>
      <c r="G142" s="37" t="n">
        <v>3310</v>
      </c>
      <c r="H142" s="37" t="n">
        <v>19860</v>
      </c>
      <c r="I142" s="11" t="s">
        <v>283</v>
      </c>
      <c r="J142" s="11"/>
      <c r="K142" s="11" t="s">
        <v>4152</v>
      </c>
      <c r="L142" s="38" t="n">
        <v>45776</v>
      </c>
      <c r="M142" s="11" t="n">
        <v>10</v>
      </c>
      <c r="N142" s="11"/>
      <c r="O142" s="11"/>
    </row>
    <row r="143" customFormat="false" ht="15" hidden="false" customHeight="false" outlineLevel="0" collapsed="false">
      <c r="A143" s="11" t="s">
        <v>1653</v>
      </c>
      <c r="B143" s="11" t="s">
        <v>281</v>
      </c>
      <c r="C143" s="11" t="s">
        <v>280</v>
      </c>
      <c r="D143" s="38" t="n">
        <v>45737</v>
      </c>
      <c r="E143" s="38" t="n">
        <v>45782</v>
      </c>
      <c r="F143" s="37" t="n">
        <v>15030</v>
      </c>
      <c r="G143" s="37" t="n">
        <v>3006</v>
      </c>
      <c r="H143" s="37" t="n">
        <v>18036</v>
      </c>
      <c r="I143" s="11" t="s">
        <v>283</v>
      </c>
      <c r="J143" s="11"/>
      <c r="K143" s="11" t="s">
        <v>4152</v>
      </c>
      <c r="L143" s="38" t="n">
        <v>45782</v>
      </c>
      <c r="M143" s="11" t="n">
        <v>0</v>
      </c>
      <c r="N143" s="11"/>
      <c r="O143" s="11"/>
    </row>
    <row r="144" customFormat="false" ht="15" hidden="false" customHeight="false" outlineLevel="0" collapsed="false">
      <c r="A144" s="11" t="s">
        <v>1804</v>
      </c>
      <c r="B144" s="11" t="s">
        <v>328</v>
      </c>
      <c r="C144" s="11" t="s">
        <v>327</v>
      </c>
      <c r="D144" s="38" t="n">
        <v>45740</v>
      </c>
      <c r="E144" s="38" t="n">
        <v>45800</v>
      </c>
      <c r="F144" s="37" t="n">
        <v>20000</v>
      </c>
      <c r="G144" s="37" t="n">
        <v>4000</v>
      </c>
      <c r="H144" s="37" t="n">
        <v>24000</v>
      </c>
      <c r="I144" s="11" t="s">
        <v>283</v>
      </c>
      <c r="J144" s="11"/>
      <c r="K144" s="11" t="s">
        <v>4152</v>
      </c>
      <c r="L144" s="38" t="n">
        <v>45811</v>
      </c>
      <c r="M144" s="11" t="n">
        <v>11</v>
      </c>
      <c r="N144" s="11"/>
      <c r="O144" s="11"/>
    </row>
    <row r="145" customFormat="false" ht="15" hidden="false" customHeight="false" outlineLevel="0" collapsed="false">
      <c r="A145" s="11" t="s">
        <v>1716</v>
      </c>
      <c r="B145" s="11" t="s">
        <v>336</v>
      </c>
      <c r="C145" s="11" t="s">
        <v>335</v>
      </c>
      <c r="D145" s="38" t="n">
        <v>45740</v>
      </c>
      <c r="E145" s="38" t="n">
        <v>45785</v>
      </c>
      <c r="F145" s="37" t="n">
        <v>4740</v>
      </c>
      <c r="G145" s="37" t="n">
        <v>948</v>
      </c>
      <c r="H145" s="37" t="n">
        <v>5688</v>
      </c>
      <c r="I145" s="11" t="s">
        <v>283</v>
      </c>
      <c r="J145" s="11"/>
      <c r="K145" s="11" t="s">
        <v>4152</v>
      </c>
      <c r="L145" s="38" t="n">
        <v>45796</v>
      </c>
      <c r="M145" s="11" t="n">
        <v>11</v>
      </c>
      <c r="N145" s="11"/>
      <c r="O145" s="11"/>
    </row>
    <row r="146" customFormat="false" ht="15" hidden="false" customHeight="false" outlineLevel="0" collapsed="false">
      <c r="A146" s="11" t="s">
        <v>1690</v>
      </c>
      <c r="B146" s="11" t="s">
        <v>336</v>
      </c>
      <c r="C146" s="11" t="s">
        <v>335</v>
      </c>
      <c r="D146" s="38" t="n">
        <v>45740</v>
      </c>
      <c r="E146" s="38" t="n">
        <v>45785</v>
      </c>
      <c r="F146" s="37" t="n">
        <v>4880</v>
      </c>
      <c r="G146" s="37" t="n">
        <v>976</v>
      </c>
      <c r="H146" s="37" t="n">
        <v>5856</v>
      </c>
      <c r="I146" s="11" t="s">
        <v>283</v>
      </c>
      <c r="J146" s="11"/>
      <c r="K146" s="11" t="s">
        <v>4152</v>
      </c>
      <c r="L146" s="38" t="n">
        <v>45789</v>
      </c>
      <c r="M146" s="11" t="n">
        <v>4</v>
      </c>
      <c r="N146" s="11"/>
      <c r="O146" s="11"/>
    </row>
    <row r="147" customFormat="false" ht="15" hidden="false" customHeight="false" outlineLevel="0" collapsed="false">
      <c r="A147" s="11" t="s">
        <v>1679</v>
      </c>
      <c r="B147" s="11" t="s">
        <v>281</v>
      </c>
      <c r="C147" s="11" t="s">
        <v>280</v>
      </c>
      <c r="D147" s="38" t="n">
        <v>45741</v>
      </c>
      <c r="E147" s="38" t="n">
        <v>45786</v>
      </c>
      <c r="F147" s="37" t="n">
        <v>5370</v>
      </c>
      <c r="G147" s="37" t="n">
        <v>1074</v>
      </c>
      <c r="H147" s="37" t="n">
        <v>6444</v>
      </c>
      <c r="I147" s="11" t="s">
        <v>283</v>
      </c>
      <c r="J147" s="11"/>
      <c r="K147" s="11" t="s">
        <v>4152</v>
      </c>
      <c r="L147" s="38" t="n">
        <v>45786</v>
      </c>
      <c r="M147" s="11" t="n">
        <v>0</v>
      </c>
      <c r="N147" s="11"/>
      <c r="O147" s="11"/>
    </row>
    <row r="148" customFormat="false" ht="15" hidden="false" customHeight="false" outlineLevel="0" collapsed="false">
      <c r="A148" s="11" t="s">
        <v>1616</v>
      </c>
      <c r="B148" s="11" t="s">
        <v>288</v>
      </c>
      <c r="C148" s="11" t="s">
        <v>287</v>
      </c>
      <c r="D148" s="38" t="n">
        <v>45742</v>
      </c>
      <c r="E148" s="38" t="n">
        <v>45772</v>
      </c>
      <c r="F148" s="37" t="n">
        <v>4880</v>
      </c>
      <c r="G148" s="37" t="n">
        <v>976</v>
      </c>
      <c r="H148" s="37" t="n">
        <v>5856</v>
      </c>
      <c r="I148" s="11" t="s">
        <v>283</v>
      </c>
      <c r="J148" s="11"/>
      <c r="K148" s="11" t="s">
        <v>4152</v>
      </c>
      <c r="L148" s="38" t="n">
        <v>45772</v>
      </c>
      <c r="M148" s="11" t="n">
        <v>0</v>
      </c>
      <c r="N148" s="11"/>
      <c r="O148" s="11"/>
    </row>
    <row r="149" customFormat="false" ht="15" hidden="false" customHeight="false" outlineLevel="0" collapsed="false">
      <c r="A149" s="11" t="s">
        <v>1770</v>
      </c>
      <c r="B149" s="11" t="s">
        <v>299</v>
      </c>
      <c r="C149" s="11" t="s">
        <v>298</v>
      </c>
      <c r="D149" s="38" t="n">
        <v>45743</v>
      </c>
      <c r="E149" s="38" t="n">
        <v>45803</v>
      </c>
      <c r="F149" s="37" t="n">
        <v>9950</v>
      </c>
      <c r="G149" s="37" t="n">
        <v>0</v>
      </c>
      <c r="H149" s="37" t="n">
        <v>9950</v>
      </c>
      <c r="I149" s="11" t="s">
        <v>283</v>
      </c>
      <c r="J149" s="11"/>
      <c r="K149" s="11" t="s">
        <v>4152</v>
      </c>
      <c r="L149" s="38" t="n">
        <v>45807</v>
      </c>
      <c r="M149" s="11" t="n">
        <v>4</v>
      </c>
      <c r="N149" s="11"/>
      <c r="O149" s="11"/>
    </row>
    <row r="150" customFormat="false" ht="15" hidden="false" customHeight="false" outlineLevel="0" collapsed="false">
      <c r="A150" s="11" t="s">
        <v>1683</v>
      </c>
      <c r="B150" s="11" t="s">
        <v>324</v>
      </c>
      <c r="C150" s="11" t="s">
        <v>323</v>
      </c>
      <c r="D150" s="38" t="n">
        <v>45743</v>
      </c>
      <c r="E150" s="38" t="n">
        <v>45773</v>
      </c>
      <c r="F150" s="37" t="n">
        <v>6160</v>
      </c>
      <c r="G150" s="37" t="n">
        <v>1232</v>
      </c>
      <c r="H150" s="37" t="n">
        <v>7392</v>
      </c>
      <c r="I150" s="11" t="s">
        <v>283</v>
      </c>
      <c r="J150" s="11"/>
      <c r="K150" s="11" t="s">
        <v>4152</v>
      </c>
      <c r="L150" s="38" t="n">
        <v>45786</v>
      </c>
      <c r="M150" s="11" t="n">
        <v>13</v>
      </c>
      <c r="N150" s="11"/>
      <c r="O150" s="11"/>
    </row>
    <row r="151" customFormat="false" ht="15" hidden="false" customHeight="false" outlineLevel="0" collapsed="false">
      <c r="A151" s="11" t="s">
        <v>1712</v>
      </c>
      <c r="B151" s="11" t="s">
        <v>336</v>
      </c>
      <c r="C151" s="11" t="s">
        <v>335</v>
      </c>
      <c r="D151" s="38" t="n">
        <v>45744</v>
      </c>
      <c r="E151" s="38" t="n">
        <v>45789</v>
      </c>
      <c r="F151" s="37" t="n">
        <v>5920</v>
      </c>
      <c r="G151" s="37" t="n">
        <v>1184</v>
      </c>
      <c r="H151" s="37" t="n">
        <v>7104</v>
      </c>
      <c r="I151" s="11" t="s">
        <v>283</v>
      </c>
      <c r="J151" s="11"/>
      <c r="K151" s="11" t="s">
        <v>4152</v>
      </c>
      <c r="L151" s="38" t="n">
        <v>45796</v>
      </c>
      <c r="M151" s="11" t="n">
        <v>7</v>
      </c>
      <c r="N151" s="11"/>
      <c r="O151" s="11"/>
    </row>
    <row r="152" customFormat="false" ht="15" hidden="false" customHeight="false" outlineLevel="0" collapsed="false">
      <c r="A152" s="11" t="s">
        <v>1687</v>
      </c>
      <c r="B152" s="11" t="s">
        <v>281</v>
      </c>
      <c r="C152" s="11" t="s">
        <v>280</v>
      </c>
      <c r="D152" s="38" t="n">
        <v>45744</v>
      </c>
      <c r="E152" s="38" t="n">
        <v>45789</v>
      </c>
      <c r="F152" s="37" t="n">
        <v>7790</v>
      </c>
      <c r="G152" s="37" t="n">
        <v>1558</v>
      </c>
      <c r="H152" s="37" t="n">
        <v>9348</v>
      </c>
      <c r="I152" s="11" t="s">
        <v>283</v>
      </c>
      <c r="J152" s="11"/>
      <c r="K152" s="11" t="s">
        <v>4152</v>
      </c>
      <c r="L152" s="38" t="n">
        <v>45789</v>
      </c>
      <c r="M152" s="11" t="n">
        <v>0</v>
      </c>
      <c r="N152" s="11"/>
      <c r="O152" s="11"/>
    </row>
    <row r="153" customFormat="false" ht="15" hidden="false" customHeight="false" outlineLevel="0" collapsed="false">
      <c r="A153" s="11" t="s">
        <v>1835</v>
      </c>
      <c r="B153" s="11" t="s">
        <v>328</v>
      </c>
      <c r="C153" s="11" t="s">
        <v>327</v>
      </c>
      <c r="D153" s="38" t="n">
        <v>45744</v>
      </c>
      <c r="E153" s="38" t="n">
        <v>45804</v>
      </c>
      <c r="F153" s="37" t="n">
        <v>9640</v>
      </c>
      <c r="G153" s="37" t="n">
        <v>1928</v>
      </c>
      <c r="H153" s="37" t="n">
        <v>11568</v>
      </c>
      <c r="I153" s="11" t="s">
        <v>283</v>
      </c>
      <c r="J153" s="11"/>
      <c r="K153" s="11" t="s">
        <v>4152</v>
      </c>
      <c r="L153" s="38" t="n">
        <v>45819</v>
      </c>
      <c r="M153" s="11" t="n">
        <v>15</v>
      </c>
      <c r="N153" s="11"/>
      <c r="O153" s="11"/>
    </row>
    <row r="154" customFormat="false" ht="15" hidden="false" customHeight="false" outlineLevel="0" collapsed="false">
      <c r="A154" s="11" t="s">
        <v>1807</v>
      </c>
      <c r="B154" s="11" t="s">
        <v>299</v>
      </c>
      <c r="C154" s="11" t="s">
        <v>298</v>
      </c>
      <c r="D154" s="38" t="n">
        <v>45747</v>
      </c>
      <c r="E154" s="38" t="n">
        <v>45807</v>
      </c>
      <c r="F154" s="37" t="n">
        <v>6050</v>
      </c>
      <c r="G154" s="37" t="n">
        <v>0</v>
      </c>
      <c r="H154" s="37" t="n">
        <v>6050</v>
      </c>
      <c r="I154" s="11" t="s">
        <v>283</v>
      </c>
      <c r="J154" s="11"/>
      <c r="K154" s="11" t="s">
        <v>4152</v>
      </c>
      <c r="L154" s="38" t="n">
        <v>45812</v>
      </c>
      <c r="M154" s="11" t="n">
        <v>5</v>
      </c>
      <c r="N154" s="11"/>
      <c r="O154" s="11"/>
    </row>
    <row r="155" customFormat="false" ht="15" hidden="false" customHeight="false" outlineLevel="0" collapsed="false">
      <c r="A155" s="11" t="s">
        <v>1747</v>
      </c>
      <c r="B155" s="11" t="s">
        <v>336</v>
      </c>
      <c r="C155" s="11" t="s">
        <v>335</v>
      </c>
      <c r="D155" s="38" t="n">
        <v>45748</v>
      </c>
      <c r="E155" s="38" t="n">
        <v>45793</v>
      </c>
      <c r="F155" s="37" t="n">
        <v>3530</v>
      </c>
      <c r="G155" s="37" t="n">
        <v>706</v>
      </c>
      <c r="H155" s="37" t="n">
        <v>4236</v>
      </c>
      <c r="I155" s="11" t="s">
        <v>283</v>
      </c>
      <c r="J155" s="11"/>
      <c r="K155" s="11" t="s">
        <v>4152</v>
      </c>
      <c r="L155" s="38" t="n">
        <v>45803</v>
      </c>
      <c r="M155" s="11" t="n">
        <v>10</v>
      </c>
      <c r="N155" s="11"/>
      <c r="O155" s="11"/>
    </row>
    <row r="156" customFormat="false" ht="15" hidden="false" customHeight="false" outlineLevel="0" collapsed="false">
      <c r="A156" s="11" t="s">
        <v>1663</v>
      </c>
      <c r="B156" s="11" t="s">
        <v>288</v>
      </c>
      <c r="C156" s="11" t="s">
        <v>287</v>
      </c>
      <c r="D156" s="38" t="n">
        <v>45748</v>
      </c>
      <c r="E156" s="38" t="n">
        <v>45778</v>
      </c>
      <c r="F156" s="37" t="n">
        <v>3950</v>
      </c>
      <c r="G156" s="37" t="n">
        <v>790</v>
      </c>
      <c r="H156" s="37" t="n">
        <v>4740</v>
      </c>
      <c r="I156" s="11" t="s">
        <v>283</v>
      </c>
      <c r="J156" s="11"/>
      <c r="K156" s="11" t="s">
        <v>4152</v>
      </c>
      <c r="L156" s="38" t="n">
        <v>45782</v>
      </c>
      <c r="M156" s="11" t="n">
        <v>4</v>
      </c>
      <c r="N156" s="11"/>
      <c r="O156" s="11"/>
    </row>
    <row r="157" customFormat="false" ht="15" hidden="false" customHeight="false" outlineLevel="0" collapsed="false">
      <c r="A157" s="11" t="s">
        <v>1658</v>
      </c>
      <c r="B157" s="11" t="s">
        <v>288</v>
      </c>
      <c r="C157" s="11" t="s">
        <v>287</v>
      </c>
      <c r="D157" s="38" t="n">
        <v>45748</v>
      </c>
      <c r="E157" s="38" t="n">
        <v>45778</v>
      </c>
      <c r="F157" s="37" t="n">
        <v>3620</v>
      </c>
      <c r="G157" s="37" t="n">
        <v>724</v>
      </c>
      <c r="H157" s="37" t="n">
        <v>4344</v>
      </c>
      <c r="I157" s="11" t="s">
        <v>283</v>
      </c>
      <c r="J157" s="11"/>
      <c r="K157" s="11" t="s">
        <v>4152</v>
      </c>
      <c r="L157" s="38" t="n">
        <v>45782</v>
      </c>
      <c r="M157" s="11" t="n">
        <v>4</v>
      </c>
      <c r="N157" s="11"/>
      <c r="O157" s="11"/>
    </row>
    <row r="158" customFormat="false" ht="15" hidden="false" customHeight="false" outlineLevel="0" collapsed="false">
      <c r="A158" s="11" t="s">
        <v>1661</v>
      </c>
      <c r="B158" s="11" t="s">
        <v>288</v>
      </c>
      <c r="C158" s="11" t="s">
        <v>287</v>
      </c>
      <c r="D158" s="38" t="n">
        <v>45749</v>
      </c>
      <c r="E158" s="38" t="n">
        <v>45779</v>
      </c>
      <c r="F158" s="37" t="n">
        <v>2170</v>
      </c>
      <c r="G158" s="37" t="n">
        <v>434</v>
      </c>
      <c r="H158" s="37" t="n">
        <v>2604</v>
      </c>
      <c r="I158" s="11" t="s">
        <v>283</v>
      </c>
      <c r="J158" s="11"/>
      <c r="K158" s="11" t="s">
        <v>4152</v>
      </c>
      <c r="L158" s="38" t="n">
        <v>45782</v>
      </c>
      <c r="M158" s="11" t="n">
        <v>3</v>
      </c>
      <c r="N158" s="11"/>
      <c r="O158" s="11"/>
    </row>
    <row r="159" customFormat="false" ht="15" hidden="false" customHeight="false" outlineLevel="0" collapsed="false">
      <c r="A159" s="11" t="s">
        <v>1718</v>
      </c>
      <c r="B159" s="11" t="s">
        <v>281</v>
      </c>
      <c r="C159" s="11" t="s">
        <v>280</v>
      </c>
      <c r="D159" s="38" t="n">
        <v>45751</v>
      </c>
      <c r="E159" s="38" t="n">
        <v>45796</v>
      </c>
      <c r="F159" s="37" t="n">
        <v>3420</v>
      </c>
      <c r="G159" s="37" t="n">
        <v>684</v>
      </c>
      <c r="H159" s="37" t="n">
        <v>4104</v>
      </c>
      <c r="I159" s="11" t="s">
        <v>283</v>
      </c>
      <c r="J159" s="11"/>
      <c r="K159" s="11" t="s">
        <v>4152</v>
      </c>
      <c r="L159" s="38" t="n">
        <v>45796</v>
      </c>
      <c r="M159" s="11" t="n">
        <v>0</v>
      </c>
      <c r="N159" s="11"/>
      <c r="O159" s="11"/>
    </row>
    <row r="160" customFormat="false" ht="15" hidden="false" customHeight="false" outlineLevel="0" collapsed="false">
      <c r="A160" s="11" t="s">
        <v>1745</v>
      </c>
      <c r="B160" s="11" t="s">
        <v>324</v>
      </c>
      <c r="C160" s="11" t="s">
        <v>323</v>
      </c>
      <c r="D160" s="38" t="n">
        <v>45751</v>
      </c>
      <c r="E160" s="38" t="n">
        <v>45781</v>
      </c>
      <c r="F160" s="37" t="n">
        <v>4470</v>
      </c>
      <c r="G160" s="37" t="n">
        <v>894</v>
      </c>
      <c r="H160" s="37" t="n">
        <v>5364</v>
      </c>
      <c r="I160" s="11" t="s">
        <v>283</v>
      </c>
      <c r="J160" s="11"/>
      <c r="K160" s="11" t="s">
        <v>4152</v>
      </c>
      <c r="L160" s="38" t="n">
        <v>45803</v>
      </c>
      <c r="M160" s="11" t="n">
        <v>22</v>
      </c>
      <c r="N160" s="11"/>
      <c r="O160" s="11"/>
    </row>
    <row r="161" customFormat="false" ht="15" hidden="false" customHeight="false" outlineLevel="0" collapsed="false">
      <c r="A161" s="11" t="s">
        <v>1757</v>
      </c>
      <c r="B161" s="11" t="s">
        <v>336</v>
      </c>
      <c r="C161" s="11" t="s">
        <v>335</v>
      </c>
      <c r="D161" s="38" t="n">
        <v>45751</v>
      </c>
      <c r="E161" s="38" t="n">
        <v>45796</v>
      </c>
      <c r="F161" s="37" t="n">
        <v>2960</v>
      </c>
      <c r="G161" s="37" t="n">
        <v>592</v>
      </c>
      <c r="H161" s="37" t="n">
        <v>3552</v>
      </c>
      <c r="I161" s="11" t="s">
        <v>283</v>
      </c>
      <c r="J161" s="11"/>
      <c r="K161" s="11" t="s">
        <v>4152</v>
      </c>
      <c r="L161" s="38" t="n">
        <v>45804</v>
      </c>
      <c r="M161" s="11" t="n">
        <v>8</v>
      </c>
      <c r="N161" s="11"/>
      <c r="O161" s="11"/>
    </row>
    <row r="162" customFormat="false" ht="15" hidden="false" customHeight="false" outlineLevel="0" collapsed="false">
      <c r="A162" s="11" t="s">
        <v>1720</v>
      </c>
      <c r="B162" s="11" t="s">
        <v>281</v>
      </c>
      <c r="C162" s="11" t="s">
        <v>280</v>
      </c>
      <c r="D162" s="38" t="n">
        <v>45751</v>
      </c>
      <c r="E162" s="38" t="n">
        <v>45796</v>
      </c>
      <c r="F162" s="37" t="n">
        <v>5450</v>
      </c>
      <c r="G162" s="37" t="n">
        <v>1090</v>
      </c>
      <c r="H162" s="37" t="n">
        <v>6540</v>
      </c>
      <c r="I162" s="11" t="s">
        <v>283</v>
      </c>
      <c r="J162" s="11"/>
      <c r="K162" s="11" t="s">
        <v>4152</v>
      </c>
      <c r="L162" s="38" t="n">
        <v>45796</v>
      </c>
      <c r="M162" s="11" t="n">
        <v>0</v>
      </c>
      <c r="N162" s="11"/>
      <c r="O162" s="11"/>
    </row>
    <row r="163" customFormat="false" ht="15" hidden="false" customHeight="false" outlineLevel="0" collapsed="false">
      <c r="A163" s="11" t="s">
        <v>1779</v>
      </c>
      <c r="B163" s="11" t="s">
        <v>336</v>
      </c>
      <c r="C163" s="11" t="s">
        <v>335</v>
      </c>
      <c r="D163" s="38" t="n">
        <v>45751</v>
      </c>
      <c r="E163" s="38" t="n">
        <v>45796</v>
      </c>
      <c r="F163" s="37" t="n">
        <v>10330</v>
      </c>
      <c r="G163" s="37" t="n">
        <v>2066</v>
      </c>
      <c r="H163" s="37" t="n">
        <v>12396</v>
      </c>
      <c r="I163" s="11" t="s">
        <v>283</v>
      </c>
      <c r="J163" s="11"/>
      <c r="K163" s="11" t="s">
        <v>4152</v>
      </c>
      <c r="L163" s="38" t="n">
        <v>45807</v>
      </c>
      <c r="M163" s="11" t="n">
        <v>11</v>
      </c>
      <c r="N163" s="11"/>
      <c r="O163" s="11"/>
    </row>
    <row r="164" customFormat="false" ht="15" hidden="false" customHeight="false" outlineLevel="0" collapsed="false">
      <c r="A164" s="11" t="s">
        <v>1665</v>
      </c>
      <c r="B164" s="11" t="s">
        <v>288</v>
      </c>
      <c r="C164" s="11" t="s">
        <v>287</v>
      </c>
      <c r="D164" s="38" t="n">
        <v>45751</v>
      </c>
      <c r="E164" s="38" t="n">
        <v>45781</v>
      </c>
      <c r="F164" s="37" t="n">
        <v>3470</v>
      </c>
      <c r="G164" s="37" t="n">
        <v>694</v>
      </c>
      <c r="H164" s="37" t="n">
        <v>4164</v>
      </c>
      <c r="I164" s="11" t="s">
        <v>283</v>
      </c>
      <c r="J164" s="11"/>
      <c r="K164" s="11" t="s">
        <v>4152</v>
      </c>
      <c r="L164" s="38" t="n">
        <v>45783</v>
      </c>
      <c r="M164" s="11" t="n">
        <v>2</v>
      </c>
      <c r="N164" s="11"/>
      <c r="O164" s="11"/>
    </row>
    <row r="165" customFormat="false" ht="15" hidden="false" customHeight="false" outlineLevel="0" collapsed="false">
      <c r="A165" s="11" t="s">
        <v>1793</v>
      </c>
      <c r="B165" s="11" t="s">
        <v>336</v>
      </c>
      <c r="C165" s="11" t="s">
        <v>335</v>
      </c>
      <c r="D165" s="38" t="n">
        <v>45751</v>
      </c>
      <c r="E165" s="38" t="n">
        <v>45796</v>
      </c>
      <c r="F165" s="37" t="n">
        <v>7410</v>
      </c>
      <c r="G165" s="37" t="n">
        <v>1482</v>
      </c>
      <c r="H165" s="37" t="n">
        <v>8892</v>
      </c>
      <c r="I165" s="11" t="s">
        <v>283</v>
      </c>
      <c r="J165" s="11"/>
      <c r="K165" s="11" t="s">
        <v>4152</v>
      </c>
      <c r="L165" s="38" t="n">
        <v>45810</v>
      </c>
      <c r="M165" s="11" t="n">
        <v>14</v>
      </c>
      <c r="N165" s="11"/>
      <c r="O165" s="11"/>
    </row>
    <row r="166" customFormat="false" ht="15" hidden="false" customHeight="false" outlineLevel="0" collapsed="false">
      <c r="A166" s="11" t="s">
        <v>1797</v>
      </c>
      <c r="B166" s="11" t="s">
        <v>328</v>
      </c>
      <c r="C166" s="11" t="s">
        <v>327</v>
      </c>
      <c r="D166" s="38" t="n">
        <v>45751</v>
      </c>
      <c r="E166" s="38" t="n">
        <v>45811</v>
      </c>
      <c r="F166" s="37" t="n">
        <v>16970</v>
      </c>
      <c r="G166" s="37" t="n">
        <v>3394</v>
      </c>
      <c r="H166" s="37" t="n">
        <v>20364</v>
      </c>
      <c r="I166" s="11" t="s">
        <v>283</v>
      </c>
      <c r="J166" s="11"/>
      <c r="K166" s="11" t="s">
        <v>4152</v>
      </c>
      <c r="L166" s="38" t="n">
        <v>45811</v>
      </c>
      <c r="M166" s="11" t="n">
        <v>0</v>
      </c>
      <c r="N166" s="11"/>
      <c r="O166" s="11"/>
    </row>
    <row r="167" customFormat="false" ht="15" hidden="false" customHeight="false" outlineLevel="0" collapsed="false">
      <c r="A167" s="11" t="s">
        <v>1749</v>
      </c>
      <c r="B167" s="11" t="s">
        <v>336</v>
      </c>
      <c r="C167" s="11" t="s">
        <v>335</v>
      </c>
      <c r="D167" s="38" t="n">
        <v>45755</v>
      </c>
      <c r="E167" s="38" t="n">
        <v>45800</v>
      </c>
      <c r="F167" s="37" t="n">
        <v>8420</v>
      </c>
      <c r="G167" s="37" t="n">
        <v>1684</v>
      </c>
      <c r="H167" s="37" t="n">
        <v>10104</v>
      </c>
      <c r="I167" s="11" t="s">
        <v>283</v>
      </c>
      <c r="J167" s="11"/>
      <c r="K167" s="11" t="s">
        <v>4152</v>
      </c>
      <c r="L167" s="38" t="n">
        <v>45803</v>
      </c>
      <c r="M167" s="11" t="n">
        <v>3</v>
      </c>
      <c r="N167" s="11"/>
      <c r="O167" s="11"/>
    </row>
    <row r="168" customFormat="false" ht="15" hidden="false" customHeight="false" outlineLevel="0" collapsed="false">
      <c r="A168" s="11" t="s">
        <v>1739</v>
      </c>
      <c r="B168" s="11" t="s">
        <v>336</v>
      </c>
      <c r="C168" s="11" t="s">
        <v>335</v>
      </c>
      <c r="D168" s="38" t="n">
        <v>45755</v>
      </c>
      <c r="E168" s="38" t="n">
        <v>45800</v>
      </c>
      <c r="F168" s="37" t="n">
        <v>5480</v>
      </c>
      <c r="G168" s="37" t="n">
        <v>1096</v>
      </c>
      <c r="H168" s="37" t="n">
        <v>6576</v>
      </c>
      <c r="I168" s="11" t="s">
        <v>283</v>
      </c>
      <c r="J168" s="11"/>
      <c r="K168" s="11" t="s">
        <v>4152</v>
      </c>
      <c r="L168" s="38" t="n">
        <v>45803</v>
      </c>
      <c r="M168" s="11" t="n">
        <v>3</v>
      </c>
      <c r="N168" s="11"/>
      <c r="O168" s="11"/>
    </row>
    <row r="169" customFormat="false" ht="15" hidden="false" customHeight="false" outlineLevel="0" collapsed="false">
      <c r="A169" s="11" t="s">
        <v>1919</v>
      </c>
      <c r="B169" s="11" t="s">
        <v>350</v>
      </c>
      <c r="C169" s="11" t="s">
        <v>349</v>
      </c>
      <c r="D169" s="38" t="n">
        <v>45755</v>
      </c>
      <c r="E169" s="38" t="n">
        <v>45815</v>
      </c>
      <c r="F169" s="37" t="n">
        <v>8790</v>
      </c>
      <c r="G169" s="37" t="n">
        <v>1758</v>
      </c>
      <c r="H169" s="37" t="n">
        <v>10548</v>
      </c>
      <c r="I169" s="11" t="s">
        <v>283</v>
      </c>
      <c r="J169" s="11"/>
      <c r="K169" s="11" t="s">
        <v>4152</v>
      </c>
      <c r="L169" s="38" t="n">
        <v>45839</v>
      </c>
      <c r="M169" s="11" t="n">
        <v>24</v>
      </c>
      <c r="N169" s="11"/>
      <c r="O169" s="11"/>
    </row>
    <row r="170" customFormat="false" ht="15" hidden="false" customHeight="false" outlineLevel="0" collapsed="false">
      <c r="A170" s="11" t="s">
        <v>1643</v>
      </c>
      <c r="B170" s="11" t="s">
        <v>400</v>
      </c>
      <c r="C170" s="11" t="s">
        <v>399</v>
      </c>
      <c r="D170" s="38" t="n">
        <v>45755</v>
      </c>
      <c r="E170" s="38" t="n">
        <v>45785</v>
      </c>
      <c r="F170" s="37" t="n">
        <v>14620</v>
      </c>
      <c r="G170" s="37" t="n">
        <v>2924</v>
      </c>
      <c r="H170" s="37" t="n">
        <v>17544</v>
      </c>
      <c r="I170" s="11" t="s">
        <v>283</v>
      </c>
      <c r="J170" s="11"/>
      <c r="K170" s="11" t="s">
        <v>4152</v>
      </c>
      <c r="L170" s="38" t="n">
        <v>45779</v>
      </c>
      <c r="M170" s="11" t="n">
        <v>-6</v>
      </c>
      <c r="N170" s="11"/>
      <c r="O170" s="11"/>
    </row>
    <row r="171" customFormat="false" ht="15" hidden="false" customHeight="false" outlineLevel="0" collapsed="false">
      <c r="A171" s="11" t="s">
        <v>1781</v>
      </c>
      <c r="B171" s="11" t="s">
        <v>324</v>
      </c>
      <c r="C171" s="11" t="s">
        <v>323</v>
      </c>
      <c r="D171" s="38" t="n">
        <v>45756</v>
      </c>
      <c r="E171" s="38" t="n">
        <v>45786</v>
      </c>
      <c r="F171" s="37" t="n">
        <v>8530</v>
      </c>
      <c r="G171" s="37" t="n">
        <v>1706</v>
      </c>
      <c r="H171" s="37" t="n">
        <v>10236</v>
      </c>
      <c r="I171" s="11" t="s">
        <v>283</v>
      </c>
      <c r="J171" s="11"/>
      <c r="K171" s="11" t="s">
        <v>4152</v>
      </c>
      <c r="L171" s="38" t="n">
        <v>45810</v>
      </c>
      <c r="M171" s="11" t="n">
        <v>24</v>
      </c>
      <c r="N171" s="11"/>
      <c r="O171" s="11"/>
    </row>
    <row r="172" customFormat="false" ht="15" hidden="false" customHeight="false" outlineLevel="0" collapsed="false">
      <c r="A172" s="11" t="s">
        <v>1741</v>
      </c>
      <c r="B172" s="11" t="s">
        <v>281</v>
      </c>
      <c r="C172" s="11" t="s">
        <v>280</v>
      </c>
      <c r="D172" s="38" t="n">
        <v>45756</v>
      </c>
      <c r="E172" s="38" t="n">
        <v>45801</v>
      </c>
      <c r="F172" s="37" t="n">
        <v>6650</v>
      </c>
      <c r="G172" s="37" t="n">
        <v>1330</v>
      </c>
      <c r="H172" s="37" t="n">
        <v>7980</v>
      </c>
      <c r="I172" s="11" t="s">
        <v>283</v>
      </c>
      <c r="J172" s="11"/>
      <c r="K172" s="11" t="s">
        <v>4152</v>
      </c>
      <c r="L172" s="38" t="n">
        <v>45803</v>
      </c>
      <c r="M172" s="11" t="n">
        <v>2</v>
      </c>
      <c r="N172" s="11"/>
      <c r="O172" s="11"/>
    </row>
    <row r="173" customFormat="false" ht="15" hidden="false" customHeight="false" outlineLevel="0" collapsed="false">
      <c r="A173" s="11" t="s">
        <v>1833</v>
      </c>
      <c r="B173" s="11" t="s">
        <v>332</v>
      </c>
      <c r="C173" s="11" t="s">
        <v>331</v>
      </c>
      <c r="D173" s="38" t="n">
        <v>45758</v>
      </c>
      <c r="E173" s="38" t="n">
        <v>45803</v>
      </c>
      <c r="F173" s="37" t="n">
        <v>7040</v>
      </c>
      <c r="G173" s="37" t="n">
        <v>1408</v>
      </c>
      <c r="H173" s="37" t="n">
        <v>8448</v>
      </c>
      <c r="I173" s="11" t="s">
        <v>283</v>
      </c>
      <c r="J173" s="11"/>
      <c r="K173" s="11" t="s">
        <v>4152</v>
      </c>
      <c r="L173" s="38" t="n">
        <v>45819</v>
      </c>
      <c r="M173" s="11" t="n">
        <v>16</v>
      </c>
      <c r="N173" s="11"/>
      <c r="O173" s="11"/>
    </row>
    <row r="174" customFormat="false" ht="15" hidden="false" customHeight="false" outlineLevel="0" collapsed="false">
      <c r="A174" s="11" t="s">
        <v>1820</v>
      </c>
      <c r="B174" s="11" t="s">
        <v>299</v>
      </c>
      <c r="C174" s="11" t="s">
        <v>298</v>
      </c>
      <c r="D174" s="38" t="n">
        <v>45758</v>
      </c>
      <c r="E174" s="38" t="n">
        <v>45818</v>
      </c>
      <c r="F174" s="37" t="n">
        <v>5270</v>
      </c>
      <c r="G174" s="37" t="n">
        <v>0</v>
      </c>
      <c r="H174" s="37" t="n">
        <v>5270</v>
      </c>
      <c r="I174" s="11" t="s">
        <v>283</v>
      </c>
      <c r="J174" s="11"/>
      <c r="K174" s="11" t="s">
        <v>4152</v>
      </c>
      <c r="L174" s="38" t="n">
        <v>45818</v>
      </c>
      <c r="M174" s="11" t="n">
        <v>0</v>
      </c>
      <c r="N174" s="11"/>
      <c r="O174" s="11"/>
    </row>
    <row r="175" customFormat="false" ht="15" hidden="false" customHeight="false" outlineLevel="0" collapsed="false">
      <c r="A175" s="11" t="s">
        <v>1991</v>
      </c>
      <c r="B175" s="11" t="s">
        <v>328</v>
      </c>
      <c r="C175" s="11" t="s">
        <v>327</v>
      </c>
      <c r="D175" s="38" t="n">
        <v>45758</v>
      </c>
      <c r="E175" s="38" t="n">
        <v>45818</v>
      </c>
      <c r="F175" s="37" t="n">
        <v>30010</v>
      </c>
      <c r="G175" s="37" t="n">
        <v>6002</v>
      </c>
      <c r="H175" s="37" t="n">
        <v>36012</v>
      </c>
      <c r="I175" s="11" t="s">
        <v>283</v>
      </c>
      <c r="J175" s="11"/>
      <c r="K175" s="11" t="s">
        <v>4152</v>
      </c>
      <c r="L175" s="38" t="n">
        <v>45853</v>
      </c>
      <c r="M175" s="11" t="n">
        <v>35</v>
      </c>
      <c r="N175" s="11"/>
      <c r="O175" s="11"/>
    </row>
    <row r="176" customFormat="false" ht="15" hidden="false" customHeight="false" outlineLevel="0" collapsed="false">
      <c r="A176" s="11" t="s">
        <v>1862</v>
      </c>
      <c r="B176" s="11" t="s">
        <v>350</v>
      </c>
      <c r="C176" s="11" t="s">
        <v>349</v>
      </c>
      <c r="D176" s="38" t="n">
        <v>45758</v>
      </c>
      <c r="E176" s="38" t="n">
        <v>45818</v>
      </c>
      <c r="F176" s="37" t="n">
        <v>8690</v>
      </c>
      <c r="G176" s="37" t="n">
        <v>1738</v>
      </c>
      <c r="H176" s="37" t="n">
        <v>10428</v>
      </c>
      <c r="I176" s="11" t="s">
        <v>283</v>
      </c>
      <c r="J176" s="11"/>
      <c r="K176" s="11" t="s">
        <v>4152</v>
      </c>
      <c r="L176" s="38" t="n">
        <v>45824</v>
      </c>
      <c r="M176" s="11" t="n">
        <v>6</v>
      </c>
      <c r="N176" s="11"/>
      <c r="O176" s="11"/>
    </row>
    <row r="177" customFormat="false" ht="15" hidden="false" customHeight="false" outlineLevel="0" collapsed="false">
      <c r="A177" s="11" t="s">
        <v>1799</v>
      </c>
      <c r="B177" s="11" t="s">
        <v>288</v>
      </c>
      <c r="C177" s="11" t="s">
        <v>287</v>
      </c>
      <c r="D177" s="38" t="n">
        <v>45761</v>
      </c>
      <c r="E177" s="38" t="n">
        <v>45791</v>
      </c>
      <c r="F177" s="37" t="n">
        <v>2740</v>
      </c>
      <c r="G177" s="37" t="n">
        <v>548</v>
      </c>
      <c r="H177" s="37" t="n">
        <v>3288</v>
      </c>
      <c r="I177" s="11" t="s">
        <v>283</v>
      </c>
      <c r="J177" s="11"/>
      <c r="K177" s="11" t="s">
        <v>4152</v>
      </c>
      <c r="L177" s="38" t="n">
        <v>45811</v>
      </c>
      <c r="M177" s="11" t="n">
        <v>20</v>
      </c>
      <c r="N177" s="11"/>
      <c r="O177" s="11"/>
    </row>
    <row r="178" customFormat="false" ht="15" hidden="false" customHeight="false" outlineLevel="0" collapsed="false">
      <c r="A178" s="11" t="s">
        <v>1775</v>
      </c>
      <c r="B178" s="11" t="s">
        <v>281</v>
      </c>
      <c r="C178" s="11" t="s">
        <v>280</v>
      </c>
      <c r="D178" s="38" t="n">
        <v>45762</v>
      </c>
      <c r="E178" s="38" t="n">
        <v>45807</v>
      </c>
      <c r="F178" s="37" t="n">
        <v>1350</v>
      </c>
      <c r="G178" s="37" t="n">
        <v>270</v>
      </c>
      <c r="H178" s="37" t="n">
        <v>1620</v>
      </c>
      <c r="I178" s="11" t="s">
        <v>283</v>
      </c>
      <c r="J178" s="11"/>
      <c r="K178" s="11" t="s">
        <v>4152</v>
      </c>
      <c r="L178" s="38" t="n">
        <v>45807</v>
      </c>
      <c r="M178" s="11" t="n">
        <v>0</v>
      </c>
      <c r="N178" s="11"/>
      <c r="O178" s="11"/>
    </row>
    <row r="179" customFormat="false" ht="15" hidden="false" customHeight="false" outlineLevel="0" collapsed="false">
      <c r="A179" s="11" t="s">
        <v>1854</v>
      </c>
      <c r="B179" s="11" t="s">
        <v>332</v>
      </c>
      <c r="C179" s="11" t="s">
        <v>331</v>
      </c>
      <c r="D179" s="38" t="n">
        <v>45764</v>
      </c>
      <c r="E179" s="38" t="n">
        <v>45809</v>
      </c>
      <c r="F179" s="37" t="n">
        <v>23320</v>
      </c>
      <c r="G179" s="37" t="n">
        <v>4664</v>
      </c>
      <c r="H179" s="37" t="n">
        <v>27984</v>
      </c>
      <c r="I179" s="11" t="s">
        <v>283</v>
      </c>
      <c r="J179" s="11"/>
      <c r="K179" s="11" t="s">
        <v>4152</v>
      </c>
      <c r="L179" s="38" t="n">
        <v>45824</v>
      </c>
      <c r="M179" s="11" t="n">
        <v>15</v>
      </c>
      <c r="N179" s="11"/>
      <c r="O179" s="11"/>
    </row>
    <row r="180" customFormat="false" ht="15" hidden="false" customHeight="false" outlineLevel="0" collapsed="false">
      <c r="A180" s="11" t="s">
        <v>1789</v>
      </c>
      <c r="B180" s="11" t="s">
        <v>281</v>
      </c>
      <c r="C180" s="11" t="s">
        <v>280</v>
      </c>
      <c r="D180" s="38" t="n">
        <v>45764</v>
      </c>
      <c r="E180" s="38" t="n">
        <v>45809</v>
      </c>
      <c r="F180" s="37" t="n">
        <v>8720</v>
      </c>
      <c r="G180" s="37" t="n">
        <v>1744</v>
      </c>
      <c r="H180" s="37" t="n">
        <v>10464</v>
      </c>
      <c r="I180" s="11" t="s">
        <v>283</v>
      </c>
      <c r="J180" s="11"/>
      <c r="K180" s="11" t="s">
        <v>4152</v>
      </c>
      <c r="L180" s="38" t="n">
        <v>45810</v>
      </c>
      <c r="M180" s="11" t="n">
        <v>1</v>
      </c>
      <c r="N180" s="11"/>
      <c r="O180" s="11"/>
    </row>
    <row r="181" customFormat="false" ht="15" hidden="false" customHeight="false" outlineLevel="0" collapsed="false">
      <c r="A181" s="11" t="s">
        <v>1818</v>
      </c>
      <c r="B181" s="11" t="s">
        <v>324</v>
      </c>
      <c r="C181" s="11" t="s">
        <v>323</v>
      </c>
      <c r="D181" s="38" t="n">
        <v>45765</v>
      </c>
      <c r="E181" s="38" t="n">
        <v>45795</v>
      </c>
      <c r="F181" s="37" t="n">
        <v>5370</v>
      </c>
      <c r="G181" s="37" t="n">
        <v>1074</v>
      </c>
      <c r="H181" s="37" t="n">
        <v>6444</v>
      </c>
      <c r="I181" s="11" t="s">
        <v>283</v>
      </c>
      <c r="J181" s="11"/>
      <c r="K181" s="11" t="s">
        <v>4152</v>
      </c>
      <c r="L181" s="38" t="n">
        <v>45814</v>
      </c>
      <c r="M181" s="11" t="n">
        <v>19</v>
      </c>
      <c r="N181" s="11"/>
      <c r="O181" s="11"/>
    </row>
    <row r="182" customFormat="false" ht="15" hidden="false" customHeight="false" outlineLevel="0" collapsed="false">
      <c r="A182" s="11" t="s">
        <v>1726</v>
      </c>
      <c r="B182" s="11" t="s">
        <v>288</v>
      </c>
      <c r="C182" s="11" t="s">
        <v>287</v>
      </c>
      <c r="D182" s="38" t="n">
        <v>45765</v>
      </c>
      <c r="E182" s="38" t="n">
        <v>45795</v>
      </c>
      <c r="F182" s="37" t="n">
        <v>2030</v>
      </c>
      <c r="G182" s="37" t="n">
        <v>406</v>
      </c>
      <c r="H182" s="37" t="n">
        <v>2436</v>
      </c>
      <c r="I182" s="11" t="s">
        <v>283</v>
      </c>
      <c r="J182" s="11"/>
      <c r="K182" s="11" t="s">
        <v>4152</v>
      </c>
      <c r="L182" s="38" t="n">
        <v>45797</v>
      </c>
      <c r="M182" s="11" t="n">
        <v>2</v>
      </c>
      <c r="N182" s="11"/>
      <c r="O182" s="11"/>
    </row>
    <row r="183" customFormat="false" ht="15" hidden="false" customHeight="false" outlineLevel="0" collapsed="false">
      <c r="A183" s="11" t="s">
        <v>1743</v>
      </c>
      <c r="B183" s="11" t="s">
        <v>400</v>
      </c>
      <c r="C183" s="11" t="s">
        <v>399</v>
      </c>
      <c r="D183" s="38" t="n">
        <v>45765</v>
      </c>
      <c r="E183" s="38" t="n">
        <v>45795</v>
      </c>
      <c r="F183" s="37" t="n">
        <v>14880</v>
      </c>
      <c r="G183" s="37" t="n">
        <v>2976</v>
      </c>
      <c r="H183" s="37" t="n">
        <v>17856</v>
      </c>
      <c r="I183" s="11" t="s">
        <v>283</v>
      </c>
      <c r="J183" s="11"/>
      <c r="K183" s="11" t="s">
        <v>4152</v>
      </c>
      <c r="L183" s="38" t="n">
        <v>45803</v>
      </c>
      <c r="M183" s="11" t="n">
        <v>8</v>
      </c>
      <c r="N183" s="11"/>
      <c r="O183" s="11"/>
    </row>
    <row r="184" customFormat="false" ht="15" hidden="false" customHeight="false" outlineLevel="0" collapsed="false">
      <c r="A184" s="11" t="s">
        <v>1795</v>
      </c>
      <c r="B184" s="11" t="s">
        <v>336</v>
      </c>
      <c r="C184" s="11" t="s">
        <v>335</v>
      </c>
      <c r="D184" s="38" t="n">
        <v>45765</v>
      </c>
      <c r="E184" s="38" t="n">
        <v>45810</v>
      </c>
      <c r="F184" s="37" t="n">
        <v>3950</v>
      </c>
      <c r="G184" s="37" t="n">
        <v>790</v>
      </c>
      <c r="H184" s="37" t="n">
        <v>4740</v>
      </c>
      <c r="I184" s="11" t="s">
        <v>283</v>
      </c>
      <c r="J184" s="11"/>
      <c r="K184" s="11" t="s">
        <v>4152</v>
      </c>
      <c r="L184" s="38" t="n">
        <v>45810</v>
      </c>
      <c r="M184" s="11" t="n">
        <v>0</v>
      </c>
      <c r="N184" s="11"/>
      <c r="O184" s="11"/>
    </row>
    <row r="185" customFormat="false" ht="15" hidden="false" customHeight="false" outlineLevel="0" collapsed="false">
      <c r="A185" s="11" t="s">
        <v>1865</v>
      </c>
      <c r="B185" s="11" t="s">
        <v>393</v>
      </c>
      <c r="C185" s="11" t="s">
        <v>392</v>
      </c>
      <c r="D185" s="38" t="n">
        <v>45765</v>
      </c>
      <c r="E185" s="38" t="n">
        <v>45815</v>
      </c>
      <c r="F185" s="37" t="n">
        <v>11920</v>
      </c>
      <c r="G185" s="37" t="n">
        <v>2384</v>
      </c>
      <c r="H185" s="37" t="n">
        <v>14304</v>
      </c>
      <c r="I185" s="11" t="s">
        <v>283</v>
      </c>
      <c r="J185" s="11"/>
      <c r="K185" s="11" t="s">
        <v>4152</v>
      </c>
      <c r="L185" s="38" t="n">
        <v>45825</v>
      </c>
      <c r="M185" s="11" t="n">
        <v>10</v>
      </c>
      <c r="N185" s="11"/>
      <c r="O185" s="11"/>
    </row>
    <row r="186" customFormat="false" ht="15" hidden="false" customHeight="false" outlineLevel="0" collapsed="false">
      <c r="A186" s="11" t="s">
        <v>1901</v>
      </c>
      <c r="B186" s="11" t="s">
        <v>350</v>
      </c>
      <c r="C186" s="11" t="s">
        <v>349</v>
      </c>
      <c r="D186" s="38" t="n">
        <v>45765</v>
      </c>
      <c r="E186" s="38" t="n">
        <v>45825</v>
      </c>
      <c r="F186" s="37" t="n">
        <v>8370</v>
      </c>
      <c r="G186" s="37" t="n">
        <v>1674</v>
      </c>
      <c r="H186" s="37" t="n">
        <v>10044</v>
      </c>
      <c r="I186" s="11" t="s">
        <v>283</v>
      </c>
      <c r="J186" s="11"/>
      <c r="K186" s="11" t="s">
        <v>4152</v>
      </c>
      <c r="L186" s="38" t="n">
        <v>45834</v>
      </c>
      <c r="M186" s="11" t="n">
        <v>9</v>
      </c>
      <c r="N186" s="11"/>
      <c r="O186" s="11"/>
    </row>
    <row r="187" customFormat="false" ht="15" hidden="false" customHeight="false" outlineLevel="0" collapsed="false">
      <c r="A187" s="11" t="s">
        <v>1876</v>
      </c>
      <c r="B187" s="11" t="s">
        <v>299</v>
      </c>
      <c r="C187" s="11" t="s">
        <v>298</v>
      </c>
      <c r="D187" s="38" t="n">
        <v>45765</v>
      </c>
      <c r="E187" s="38" t="n">
        <v>45825</v>
      </c>
      <c r="F187" s="37" t="n">
        <v>15390</v>
      </c>
      <c r="G187" s="37" t="n">
        <v>0</v>
      </c>
      <c r="H187" s="37" t="n">
        <v>15390</v>
      </c>
      <c r="I187" s="11" t="s">
        <v>283</v>
      </c>
      <c r="J187" s="11"/>
      <c r="K187" s="11" t="s">
        <v>4152</v>
      </c>
      <c r="L187" s="38" t="n">
        <v>45831</v>
      </c>
      <c r="M187" s="11" t="n">
        <v>6</v>
      </c>
      <c r="N187" s="11"/>
      <c r="O187" s="11"/>
    </row>
    <row r="188" customFormat="false" ht="15" hidden="false" customHeight="false" outlineLevel="0" collapsed="false">
      <c r="A188" s="11" t="s">
        <v>1791</v>
      </c>
      <c r="B188" s="11" t="s">
        <v>281</v>
      </c>
      <c r="C188" s="11" t="s">
        <v>280</v>
      </c>
      <c r="D188" s="38" t="n">
        <v>45765</v>
      </c>
      <c r="E188" s="38" t="n">
        <v>45810</v>
      </c>
      <c r="F188" s="37" t="n">
        <v>9330</v>
      </c>
      <c r="G188" s="37" t="n">
        <v>1866</v>
      </c>
      <c r="H188" s="37" t="n">
        <v>11196</v>
      </c>
      <c r="I188" s="11" t="s">
        <v>283</v>
      </c>
      <c r="J188" s="11"/>
      <c r="K188" s="11" t="s">
        <v>4152</v>
      </c>
      <c r="L188" s="38" t="n">
        <v>45810</v>
      </c>
      <c r="M188" s="11" t="n">
        <v>0</v>
      </c>
      <c r="N188" s="11"/>
      <c r="O188" s="11"/>
    </row>
    <row r="189" customFormat="false" ht="15" hidden="false" customHeight="false" outlineLevel="0" collapsed="false">
      <c r="A189" s="11" t="s">
        <v>1878</v>
      </c>
      <c r="B189" s="11" t="s">
        <v>350</v>
      </c>
      <c r="C189" s="11" t="s">
        <v>349</v>
      </c>
      <c r="D189" s="38" t="n">
        <v>45765</v>
      </c>
      <c r="E189" s="38" t="n">
        <v>45825</v>
      </c>
      <c r="F189" s="37" t="n">
        <v>13500</v>
      </c>
      <c r="G189" s="37" t="n">
        <v>2700</v>
      </c>
      <c r="H189" s="37" t="n">
        <v>16200</v>
      </c>
      <c r="I189" s="11" t="s">
        <v>283</v>
      </c>
      <c r="J189" s="11"/>
      <c r="K189" s="11" t="s">
        <v>4152</v>
      </c>
      <c r="L189" s="38" t="n">
        <v>45831</v>
      </c>
      <c r="M189" s="11" t="n">
        <v>6</v>
      </c>
      <c r="N189" s="11"/>
      <c r="O189" s="11"/>
    </row>
    <row r="190" customFormat="false" ht="15" hidden="false" customHeight="false" outlineLevel="0" collapsed="false">
      <c r="A190" s="11" t="s">
        <v>1724</v>
      </c>
      <c r="B190" s="11" t="s">
        <v>324</v>
      </c>
      <c r="C190" s="11" t="s">
        <v>323</v>
      </c>
      <c r="D190" s="38" t="n">
        <v>45765</v>
      </c>
      <c r="E190" s="38" t="n">
        <v>45795</v>
      </c>
      <c r="F190" s="37" t="n">
        <v>5220</v>
      </c>
      <c r="G190" s="37" t="n">
        <v>1044</v>
      </c>
      <c r="H190" s="37" t="n">
        <v>6264</v>
      </c>
      <c r="I190" s="11" t="s">
        <v>283</v>
      </c>
      <c r="J190" s="11"/>
      <c r="K190" s="11" t="s">
        <v>4152</v>
      </c>
      <c r="L190" s="38" t="n">
        <v>45796</v>
      </c>
      <c r="M190" s="11" t="n">
        <v>1</v>
      </c>
      <c r="N190" s="11"/>
      <c r="O190" s="11"/>
    </row>
    <row r="191" customFormat="false" ht="15" hidden="false" customHeight="false" outlineLevel="0" collapsed="false">
      <c r="A191" s="11" t="s">
        <v>1952</v>
      </c>
      <c r="B191" s="11" t="s">
        <v>350</v>
      </c>
      <c r="C191" s="11" t="s">
        <v>349</v>
      </c>
      <c r="D191" s="38" t="n">
        <v>45765</v>
      </c>
      <c r="E191" s="38" t="n">
        <v>45825</v>
      </c>
      <c r="F191" s="37" t="n">
        <v>10620</v>
      </c>
      <c r="G191" s="37" t="n">
        <v>2124</v>
      </c>
      <c r="H191" s="37" t="n">
        <v>12744</v>
      </c>
      <c r="I191" s="11" t="s">
        <v>283</v>
      </c>
      <c r="J191" s="11"/>
      <c r="K191" s="11" t="s">
        <v>4152</v>
      </c>
      <c r="L191" s="38" t="n">
        <v>45845</v>
      </c>
      <c r="M191" s="11" t="n">
        <v>20</v>
      </c>
      <c r="N191" s="11"/>
      <c r="O191" s="11"/>
    </row>
    <row r="192" customFormat="false" ht="15" hidden="false" customHeight="false" outlineLevel="0" collapsed="false">
      <c r="A192" s="11" t="s">
        <v>1983</v>
      </c>
      <c r="B192" s="11" t="s">
        <v>328</v>
      </c>
      <c r="C192" s="11" t="s">
        <v>327</v>
      </c>
      <c r="D192" s="38" t="n">
        <v>45769</v>
      </c>
      <c r="E192" s="38" t="n">
        <v>45829</v>
      </c>
      <c r="F192" s="37" t="n">
        <v>12330</v>
      </c>
      <c r="G192" s="37" t="n">
        <v>2466</v>
      </c>
      <c r="H192" s="37" t="n">
        <v>14796</v>
      </c>
      <c r="I192" s="11" t="s">
        <v>283</v>
      </c>
      <c r="J192" s="11"/>
      <c r="K192" s="11" t="s">
        <v>4152</v>
      </c>
      <c r="L192" s="38" t="n">
        <v>45853</v>
      </c>
      <c r="M192" s="11" t="n">
        <v>24</v>
      </c>
      <c r="N192" s="11"/>
      <c r="O192" s="11"/>
    </row>
    <row r="193" customFormat="false" ht="15" hidden="false" customHeight="false" outlineLevel="0" collapsed="false">
      <c r="A193" s="11" t="s">
        <v>1755</v>
      </c>
      <c r="B193" s="11" t="s">
        <v>288</v>
      </c>
      <c r="C193" s="11" t="s">
        <v>287</v>
      </c>
      <c r="D193" s="38" t="n">
        <v>45769</v>
      </c>
      <c r="E193" s="38" t="n">
        <v>45799</v>
      </c>
      <c r="F193" s="37" t="n">
        <v>1970</v>
      </c>
      <c r="G193" s="37" t="n">
        <v>394</v>
      </c>
      <c r="H193" s="37" t="n">
        <v>2364</v>
      </c>
      <c r="I193" s="11" t="s">
        <v>283</v>
      </c>
      <c r="J193" s="11"/>
      <c r="K193" s="11" t="s">
        <v>4152</v>
      </c>
      <c r="L193" s="38" t="n">
        <v>45804</v>
      </c>
      <c r="M193" s="11" t="n">
        <v>5</v>
      </c>
      <c r="N193" s="11"/>
      <c r="O193" s="11"/>
    </row>
    <row r="194" customFormat="false" ht="15" hidden="false" customHeight="false" outlineLevel="0" collapsed="false">
      <c r="A194" s="11" t="s">
        <v>1737</v>
      </c>
      <c r="B194" s="11" t="s">
        <v>288</v>
      </c>
      <c r="C194" s="11" t="s">
        <v>287</v>
      </c>
      <c r="D194" s="38" t="n">
        <v>45770</v>
      </c>
      <c r="E194" s="38" t="n">
        <v>45800</v>
      </c>
      <c r="F194" s="37" t="n">
        <v>3650</v>
      </c>
      <c r="G194" s="37" t="n">
        <v>730</v>
      </c>
      <c r="H194" s="37" t="n">
        <v>4380</v>
      </c>
      <c r="I194" s="11" t="s">
        <v>283</v>
      </c>
      <c r="J194" s="11"/>
      <c r="K194" s="11" t="s">
        <v>4152</v>
      </c>
      <c r="L194" s="38" t="n">
        <v>45803</v>
      </c>
      <c r="M194" s="11" t="n">
        <v>3</v>
      </c>
      <c r="N194" s="11"/>
      <c r="O194" s="11"/>
    </row>
    <row r="195" customFormat="false" ht="15" hidden="false" customHeight="false" outlineLevel="0" collapsed="false">
      <c r="A195" s="11" t="s">
        <v>1867</v>
      </c>
      <c r="B195" s="11" t="s">
        <v>332</v>
      </c>
      <c r="C195" s="11" t="s">
        <v>331</v>
      </c>
      <c r="D195" s="38" t="n">
        <v>45770</v>
      </c>
      <c r="E195" s="38" t="n">
        <v>45815</v>
      </c>
      <c r="F195" s="37" t="n">
        <v>6950</v>
      </c>
      <c r="G195" s="37" t="n">
        <v>1390</v>
      </c>
      <c r="H195" s="37" t="n">
        <v>8340</v>
      </c>
      <c r="I195" s="11" t="s">
        <v>283</v>
      </c>
      <c r="J195" s="11"/>
      <c r="K195" s="11" t="s">
        <v>4152</v>
      </c>
      <c r="L195" s="38" t="n">
        <v>45826</v>
      </c>
      <c r="M195" s="11" t="n">
        <v>11</v>
      </c>
      <c r="N195" s="11"/>
      <c r="O195" s="11"/>
    </row>
    <row r="196" customFormat="false" ht="15" hidden="false" customHeight="false" outlineLevel="0" collapsed="false">
      <c r="A196" s="11" t="s">
        <v>1849</v>
      </c>
      <c r="B196" s="11" t="s">
        <v>336</v>
      </c>
      <c r="C196" s="11" t="s">
        <v>335</v>
      </c>
      <c r="D196" s="38" t="n">
        <v>45770</v>
      </c>
      <c r="E196" s="38" t="n">
        <v>45815</v>
      </c>
      <c r="F196" s="37" t="n">
        <v>3850</v>
      </c>
      <c r="G196" s="37" t="n">
        <v>770</v>
      </c>
      <c r="H196" s="37" t="n">
        <v>4620</v>
      </c>
      <c r="I196" s="11" t="s">
        <v>283</v>
      </c>
      <c r="J196" s="11"/>
      <c r="K196" s="11" t="s">
        <v>4152</v>
      </c>
      <c r="L196" s="38" t="n">
        <v>45824</v>
      </c>
      <c r="M196" s="11" t="n">
        <v>9</v>
      </c>
      <c r="N196" s="11"/>
      <c r="O196" s="11"/>
    </row>
    <row r="197" customFormat="false" ht="15" hidden="false" customHeight="false" outlineLevel="0" collapsed="false">
      <c r="A197" s="11" t="s">
        <v>1929</v>
      </c>
      <c r="B197" s="11" t="s">
        <v>299</v>
      </c>
      <c r="C197" s="11" t="s">
        <v>298</v>
      </c>
      <c r="D197" s="38" t="n">
        <v>45771</v>
      </c>
      <c r="E197" s="38" t="n">
        <v>45831</v>
      </c>
      <c r="F197" s="37" t="n">
        <v>6340</v>
      </c>
      <c r="G197" s="37" t="n">
        <v>0</v>
      </c>
      <c r="H197" s="37" t="n">
        <v>6340</v>
      </c>
      <c r="I197" s="11" t="s">
        <v>283</v>
      </c>
      <c r="J197" s="11"/>
      <c r="K197" s="11" t="s">
        <v>4152</v>
      </c>
      <c r="L197" s="38" t="n">
        <v>45841</v>
      </c>
      <c r="M197" s="11" t="n">
        <v>10</v>
      </c>
      <c r="N197" s="11"/>
      <c r="O197" s="11"/>
    </row>
    <row r="198" customFormat="false" ht="15" hidden="false" customHeight="false" outlineLevel="0" collapsed="false">
      <c r="A198" s="11" t="s">
        <v>1827</v>
      </c>
      <c r="B198" s="11" t="s">
        <v>281</v>
      </c>
      <c r="C198" s="11" t="s">
        <v>280</v>
      </c>
      <c r="D198" s="38" t="n">
        <v>45771</v>
      </c>
      <c r="E198" s="38" t="n">
        <v>45816</v>
      </c>
      <c r="F198" s="37" t="n">
        <v>7330</v>
      </c>
      <c r="G198" s="37" t="n">
        <v>1466</v>
      </c>
      <c r="H198" s="37" t="n">
        <v>8796</v>
      </c>
      <c r="I198" s="11" t="s">
        <v>283</v>
      </c>
      <c r="J198" s="11"/>
      <c r="K198" s="11" t="s">
        <v>4152</v>
      </c>
      <c r="L198" s="38" t="n">
        <v>45818</v>
      </c>
      <c r="M198" s="11" t="n">
        <v>2</v>
      </c>
      <c r="N198" s="11"/>
      <c r="O198" s="11"/>
    </row>
    <row r="199" customFormat="false" ht="15" hidden="false" customHeight="false" outlineLevel="0" collapsed="false">
      <c r="A199" s="11" t="s">
        <v>1825</v>
      </c>
      <c r="B199" s="11" t="s">
        <v>281</v>
      </c>
      <c r="C199" s="11" t="s">
        <v>280</v>
      </c>
      <c r="D199" s="38" t="n">
        <v>45772</v>
      </c>
      <c r="E199" s="38" t="n">
        <v>45817</v>
      </c>
      <c r="F199" s="37" t="n">
        <v>5390</v>
      </c>
      <c r="G199" s="37" t="n">
        <v>1078</v>
      </c>
      <c r="H199" s="37" t="n">
        <v>6468</v>
      </c>
      <c r="I199" s="11" t="s">
        <v>283</v>
      </c>
      <c r="J199" s="11"/>
      <c r="K199" s="11" t="s">
        <v>4152</v>
      </c>
      <c r="L199" s="38" t="n">
        <v>45818</v>
      </c>
      <c r="M199" s="11" t="n">
        <v>1</v>
      </c>
      <c r="N199" s="11"/>
      <c r="O199" s="11"/>
    </row>
    <row r="200" customFormat="false" ht="15" hidden="false" customHeight="false" outlineLevel="0" collapsed="false">
      <c r="A200" s="11" t="s">
        <v>1823</v>
      </c>
      <c r="B200" s="11" t="s">
        <v>281</v>
      </c>
      <c r="C200" s="11" t="s">
        <v>280</v>
      </c>
      <c r="D200" s="38" t="n">
        <v>45772</v>
      </c>
      <c r="E200" s="38" t="n">
        <v>45817</v>
      </c>
      <c r="F200" s="37" t="n">
        <v>11580</v>
      </c>
      <c r="G200" s="37" t="n">
        <v>2316</v>
      </c>
      <c r="H200" s="37" t="n">
        <v>13896</v>
      </c>
      <c r="I200" s="11" t="s">
        <v>283</v>
      </c>
      <c r="J200" s="11"/>
      <c r="K200" s="11" t="s">
        <v>4152</v>
      </c>
      <c r="L200" s="38" t="n">
        <v>45818</v>
      </c>
      <c r="M200" s="11" t="n">
        <v>1</v>
      </c>
      <c r="N200" s="11"/>
      <c r="O200" s="11"/>
    </row>
    <row r="201" customFormat="false" ht="15" hidden="false" customHeight="false" outlineLevel="0" collapsed="false">
      <c r="A201" s="11" t="s">
        <v>1903</v>
      </c>
      <c r="B201" s="11" t="s">
        <v>350</v>
      </c>
      <c r="C201" s="11" t="s">
        <v>349</v>
      </c>
      <c r="D201" s="38" t="n">
        <v>45772</v>
      </c>
      <c r="E201" s="38" t="n">
        <v>45832</v>
      </c>
      <c r="F201" s="37" t="n">
        <v>14930</v>
      </c>
      <c r="G201" s="37" t="n">
        <v>2986</v>
      </c>
      <c r="H201" s="37" t="n">
        <v>17916</v>
      </c>
      <c r="I201" s="11" t="s">
        <v>283</v>
      </c>
      <c r="J201" s="11"/>
      <c r="K201" s="11" t="s">
        <v>4152</v>
      </c>
      <c r="L201" s="38" t="n">
        <v>45834</v>
      </c>
      <c r="M201" s="11" t="n">
        <v>2</v>
      </c>
      <c r="N201" s="11"/>
      <c r="O201" s="11"/>
    </row>
    <row r="202" customFormat="false" ht="15" hidden="false" customHeight="false" outlineLevel="0" collapsed="false">
      <c r="A202" s="11" t="s">
        <v>1886</v>
      </c>
      <c r="B202" s="11" t="s">
        <v>393</v>
      </c>
      <c r="C202" s="11" t="s">
        <v>392</v>
      </c>
      <c r="D202" s="38" t="n">
        <v>45772</v>
      </c>
      <c r="E202" s="38" t="n">
        <v>45822</v>
      </c>
      <c r="F202" s="37" t="n">
        <v>11680</v>
      </c>
      <c r="G202" s="37" t="n">
        <v>2336</v>
      </c>
      <c r="H202" s="37" t="n">
        <v>14016</v>
      </c>
      <c r="I202" s="11" t="s">
        <v>283</v>
      </c>
      <c r="J202" s="11"/>
      <c r="K202" s="11" t="s">
        <v>4152</v>
      </c>
      <c r="L202" s="38" t="n">
        <v>45831</v>
      </c>
      <c r="M202" s="11" t="n">
        <v>9</v>
      </c>
      <c r="N202" s="11"/>
      <c r="O202" s="11"/>
    </row>
    <row r="203" customFormat="false" ht="15" hidden="false" customHeight="false" outlineLevel="0" collapsed="false">
      <c r="A203" s="11" t="s">
        <v>1888</v>
      </c>
      <c r="B203" s="11" t="s">
        <v>336</v>
      </c>
      <c r="C203" s="11" t="s">
        <v>335</v>
      </c>
      <c r="D203" s="38" t="n">
        <v>45775</v>
      </c>
      <c r="E203" s="38" t="n">
        <v>45820</v>
      </c>
      <c r="F203" s="37" t="n">
        <v>2830</v>
      </c>
      <c r="G203" s="37" t="n">
        <v>566</v>
      </c>
      <c r="H203" s="37" t="n">
        <v>3396</v>
      </c>
      <c r="I203" s="11" t="s">
        <v>283</v>
      </c>
      <c r="J203" s="11"/>
      <c r="K203" s="11" t="s">
        <v>4152</v>
      </c>
      <c r="L203" s="38" t="n">
        <v>45831</v>
      </c>
      <c r="M203" s="11" t="n">
        <v>11</v>
      </c>
      <c r="N203" s="11"/>
      <c r="O203" s="11"/>
    </row>
    <row r="204" customFormat="false" ht="15" hidden="false" customHeight="false" outlineLevel="0" collapsed="false">
      <c r="A204" s="11" t="s">
        <v>1841</v>
      </c>
      <c r="B204" s="11" t="s">
        <v>281</v>
      </c>
      <c r="C204" s="11" t="s">
        <v>280</v>
      </c>
      <c r="D204" s="38" t="n">
        <v>45775</v>
      </c>
      <c r="E204" s="38" t="n">
        <v>45820</v>
      </c>
      <c r="F204" s="37" t="n">
        <v>5340</v>
      </c>
      <c r="G204" s="37" t="n">
        <v>1068</v>
      </c>
      <c r="H204" s="37" t="n">
        <v>6408</v>
      </c>
      <c r="I204" s="11" t="s">
        <v>283</v>
      </c>
      <c r="J204" s="11"/>
      <c r="K204" s="11" t="s">
        <v>4152</v>
      </c>
      <c r="L204" s="38" t="n">
        <v>45820</v>
      </c>
      <c r="M204" s="11" t="n">
        <v>0</v>
      </c>
      <c r="N204" s="11"/>
      <c r="O204" s="11"/>
    </row>
    <row r="205" customFormat="false" ht="15" hidden="false" customHeight="false" outlineLevel="0" collapsed="false">
      <c r="A205" s="11" t="s">
        <v>1839</v>
      </c>
      <c r="B205" s="11" t="s">
        <v>281</v>
      </c>
      <c r="C205" s="11" t="s">
        <v>280</v>
      </c>
      <c r="D205" s="38" t="n">
        <v>45775</v>
      </c>
      <c r="E205" s="38" t="n">
        <v>45820</v>
      </c>
      <c r="F205" s="37" t="n">
        <v>3070</v>
      </c>
      <c r="G205" s="37" t="n">
        <v>614</v>
      </c>
      <c r="H205" s="37" t="n">
        <v>3684</v>
      </c>
      <c r="I205" s="11" t="s">
        <v>283</v>
      </c>
      <c r="J205" s="11"/>
      <c r="K205" s="11" t="s">
        <v>4152</v>
      </c>
      <c r="L205" s="38" t="n">
        <v>45820</v>
      </c>
      <c r="M205" s="11" t="n">
        <v>0</v>
      </c>
      <c r="N205" s="11"/>
      <c r="O205" s="11"/>
    </row>
    <row r="206" customFormat="false" ht="15" hidden="false" customHeight="false" outlineLevel="0" collapsed="false">
      <c r="A206" s="11" t="s">
        <v>2103</v>
      </c>
      <c r="B206" s="11" t="s">
        <v>328</v>
      </c>
      <c r="C206" s="11" t="s">
        <v>327</v>
      </c>
      <c r="D206" s="38" t="n">
        <v>45775</v>
      </c>
      <c r="E206" s="38" t="n">
        <v>45835</v>
      </c>
      <c r="F206" s="37" t="n">
        <v>19500</v>
      </c>
      <c r="G206" s="37" t="n">
        <v>3900</v>
      </c>
      <c r="H206" s="37" t="n">
        <v>23400</v>
      </c>
      <c r="I206" s="11" t="s">
        <v>283</v>
      </c>
      <c r="J206" s="11"/>
      <c r="K206" s="11" t="s">
        <v>4152</v>
      </c>
      <c r="L206" s="38" t="n">
        <v>45876</v>
      </c>
      <c r="M206" s="11" t="n">
        <v>41</v>
      </c>
      <c r="N206" s="11"/>
      <c r="O206" s="11"/>
    </row>
    <row r="207" customFormat="false" ht="15" hidden="false" customHeight="false" outlineLevel="0" collapsed="false">
      <c r="A207" s="11" t="s">
        <v>1979</v>
      </c>
      <c r="B207" s="11" t="s">
        <v>332</v>
      </c>
      <c r="C207" s="11" t="s">
        <v>331</v>
      </c>
      <c r="D207" s="38" t="n">
        <v>45776</v>
      </c>
      <c r="E207" s="38" t="n">
        <v>45821</v>
      </c>
      <c r="F207" s="37" t="n">
        <v>9890</v>
      </c>
      <c r="G207" s="37" t="n">
        <v>1978</v>
      </c>
      <c r="H207" s="37" t="n">
        <v>11868</v>
      </c>
      <c r="I207" s="11" t="s">
        <v>283</v>
      </c>
      <c r="J207" s="11"/>
      <c r="K207" s="11" t="s">
        <v>4152</v>
      </c>
      <c r="L207" s="38" t="n">
        <v>45853</v>
      </c>
      <c r="M207" s="11" t="n">
        <v>32</v>
      </c>
      <c r="N207" s="11"/>
      <c r="O207" s="11"/>
    </row>
    <row r="208" customFormat="false" ht="15" hidden="false" customHeight="false" outlineLevel="0" collapsed="false">
      <c r="A208" s="11" t="s">
        <v>1965</v>
      </c>
      <c r="B208" s="11" t="s">
        <v>328</v>
      </c>
      <c r="C208" s="11" t="s">
        <v>327</v>
      </c>
      <c r="D208" s="38" t="n">
        <v>45776</v>
      </c>
      <c r="E208" s="38" t="n">
        <v>45836</v>
      </c>
      <c r="F208" s="37" t="n">
        <v>21490</v>
      </c>
      <c r="G208" s="37" t="n">
        <v>4298</v>
      </c>
      <c r="H208" s="37" t="n">
        <v>25788</v>
      </c>
      <c r="I208" s="11" t="s">
        <v>283</v>
      </c>
      <c r="J208" s="11"/>
      <c r="K208" s="11" t="s">
        <v>4152</v>
      </c>
      <c r="L208" s="38" t="n">
        <v>45848</v>
      </c>
      <c r="M208" s="11" t="n">
        <v>12</v>
      </c>
      <c r="N208" s="11"/>
      <c r="O208" s="11"/>
    </row>
    <row r="209" customFormat="false" ht="15" hidden="false" customHeight="false" outlineLevel="0" collapsed="false">
      <c r="A209" s="11" t="s">
        <v>1860</v>
      </c>
      <c r="B209" s="11" t="s">
        <v>281</v>
      </c>
      <c r="C209" s="11" t="s">
        <v>280</v>
      </c>
      <c r="D209" s="38" t="n">
        <v>45777</v>
      </c>
      <c r="E209" s="38" t="n">
        <v>45822</v>
      </c>
      <c r="F209" s="37" t="n">
        <v>3170</v>
      </c>
      <c r="G209" s="37" t="n">
        <v>634</v>
      </c>
      <c r="H209" s="37" t="n">
        <v>3804</v>
      </c>
      <c r="I209" s="11" t="s">
        <v>283</v>
      </c>
      <c r="J209" s="11"/>
      <c r="K209" s="11" t="s">
        <v>4152</v>
      </c>
      <c r="L209" s="38" t="n">
        <v>45824</v>
      </c>
      <c r="M209" s="11" t="n">
        <v>2</v>
      </c>
      <c r="N209" s="11"/>
      <c r="O209" s="11"/>
    </row>
    <row r="210" customFormat="false" ht="15" hidden="false" customHeight="false" outlineLevel="0" collapsed="false">
      <c r="A210" s="11" t="s">
        <v>1956</v>
      </c>
      <c r="B210" s="11" t="s">
        <v>299</v>
      </c>
      <c r="C210" s="11" t="s">
        <v>298</v>
      </c>
      <c r="D210" s="38" t="n">
        <v>45777</v>
      </c>
      <c r="E210" s="38" t="n">
        <v>45837</v>
      </c>
      <c r="F210" s="37" t="n">
        <v>8400</v>
      </c>
      <c r="G210" s="37" t="n">
        <v>0</v>
      </c>
      <c r="H210" s="37" t="n">
        <v>8400</v>
      </c>
      <c r="I210" s="11" t="s">
        <v>283</v>
      </c>
      <c r="J210" s="11"/>
      <c r="K210" s="11" t="s">
        <v>4152</v>
      </c>
      <c r="L210" s="38" t="n">
        <v>45845</v>
      </c>
      <c r="M210" s="11" t="n">
        <v>8</v>
      </c>
      <c r="N210" s="11"/>
      <c r="O210" s="11"/>
    </row>
    <row r="211" customFormat="false" ht="15" hidden="false" customHeight="false" outlineLevel="0" collapsed="false">
      <c r="A211" s="11" t="s">
        <v>1977</v>
      </c>
      <c r="B211" s="11" t="s">
        <v>336</v>
      </c>
      <c r="C211" s="11" t="s">
        <v>335</v>
      </c>
      <c r="D211" s="38" t="n">
        <v>45777</v>
      </c>
      <c r="E211" s="38" t="n">
        <v>45822</v>
      </c>
      <c r="F211" s="37" t="n">
        <v>4330</v>
      </c>
      <c r="G211" s="37" t="n">
        <v>866</v>
      </c>
      <c r="H211" s="37" t="n">
        <v>5196</v>
      </c>
      <c r="I211" s="11" t="s">
        <v>283</v>
      </c>
      <c r="J211" s="11"/>
      <c r="K211" s="11" t="s">
        <v>4152</v>
      </c>
      <c r="L211" s="38" t="n">
        <v>45849</v>
      </c>
      <c r="M211" s="11" t="n">
        <v>27</v>
      </c>
      <c r="N211" s="11"/>
      <c r="O211" s="11"/>
    </row>
    <row r="212" customFormat="false" ht="15" hidden="false" customHeight="false" outlineLevel="0" collapsed="false">
      <c r="A212" s="11" t="s">
        <v>1845</v>
      </c>
      <c r="B212" s="11" t="s">
        <v>281</v>
      </c>
      <c r="C212" s="11" t="s">
        <v>280</v>
      </c>
      <c r="D212" s="38" t="n">
        <v>45779</v>
      </c>
      <c r="E212" s="38" t="n">
        <v>45824</v>
      </c>
      <c r="F212" s="37" t="n">
        <v>2840</v>
      </c>
      <c r="G212" s="37" t="n">
        <v>568</v>
      </c>
      <c r="H212" s="37" t="n">
        <v>3408</v>
      </c>
      <c r="I212" s="11" t="s">
        <v>283</v>
      </c>
      <c r="J212" s="11"/>
      <c r="K212" s="11" t="s">
        <v>4152</v>
      </c>
      <c r="L212" s="38" t="n">
        <v>45824</v>
      </c>
      <c r="M212" s="11" t="n">
        <v>0</v>
      </c>
      <c r="N212" s="11"/>
      <c r="O212" s="11"/>
    </row>
    <row r="213" customFormat="false" ht="15" hidden="false" customHeight="false" outlineLevel="0" collapsed="false">
      <c r="A213" s="11" t="s">
        <v>1809</v>
      </c>
      <c r="B213" s="11" t="s">
        <v>324</v>
      </c>
      <c r="C213" s="11" t="s">
        <v>323</v>
      </c>
      <c r="D213" s="38" t="n">
        <v>45779</v>
      </c>
      <c r="E213" s="38" t="n">
        <v>45809</v>
      </c>
      <c r="F213" s="37" t="n">
        <v>5830</v>
      </c>
      <c r="G213" s="37" t="n">
        <v>1166</v>
      </c>
      <c r="H213" s="37" t="n">
        <v>6996</v>
      </c>
      <c r="I213" s="11" t="s">
        <v>283</v>
      </c>
      <c r="J213" s="11"/>
      <c r="K213" s="11" t="s">
        <v>4152</v>
      </c>
      <c r="L213" s="38" t="n">
        <v>45813</v>
      </c>
      <c r="M213" s="11" t="n">
        <v>4</v>
      </c>
      <c r="N213" s="11"/>
      <c r="O213" s="11"/>
    </row>
    <row r="214" customFormat="false" ht="15" hidden="false" customHeight="false" outlineLevel="0" collapsed="false">
      <c r="A214" s="11" t="s">
        <v>1785</v>
      </c>
      <c r="B214" s="11" t="s">
        <v>288</v>
      </c>
      <c r="C214" s="11" t="s">
        <v>287</v>
      </c>
      <c r="D214" s="38" t="n">
        <v>45779</v>
      </c>
      <c r="E214" s="38" t="n">
        <v>45809</v>
      </c>
      <c r="F214" s="37" t="n">
        <v>4470</v>
      </c>
      <c r="G214" s="37" t="n">
        <v>894</v>
      </c>
      <c r="H214" s="37" t="n">
        <v>5364</v>
      </c>
      <c r="I214" s="11" t="s">
        <v>283</v>
      </c>
      <c r="J214" s="11"/>
      <c r="K214" s="11" t="s">
        <v>4152</v>
      </c>
      <c r="L214" s="38" t="n">
        <v>45810</v>
      </c>
      <c r="M214" s="11" t="n">
        <v>1</v>
      </c>
      <c r="N214" s="11"/>
      <c r="O214" s="11"/>
    </row>
    <row r="215" customFormat="false" ht="15" hidden="false" customHeight="false" outlineLevel="0" collapsed="false">
      <c r="A215" s="11" t="s">
        <v>1852</v>
      </c>
      <c r="B215" s="11" t="s">
        <v>281</v>
      </c>
      <c r="C215" s="11" t="s">
        <v>280</v>
      </c>
      <c r="D215" s="38" t="n">
        <v>45779</v>
      </c>
      <c r="E215" s="38" t="n">
        <v>45824</v>
      </c>
      <c r="F215" s="37" t="n">
        <v>6510</v>
      </c>
      <c r="G215" s="37" t="n">
        <v>1302</v>
      </c>
      <c r="H215" s="37" t="n">
        <v>7812</v>
      </c>
      <c r="I215" s="11" t="s">
        <v>283</v>
      </c>
      <c r="J215" s="11"/>
      <c r="K215" s="11" t="s">
        <v>4152</v>
      </c>
      <c r="L215" s="38" t="n">
        <v>45824</v>
      </c>
      <c r="M215" s="11" t="n">
        <v>0</v>
      </c>
      <c r="N215" s="11"/>
      <c r="O215" s="11"/>
    </row>
    <row r="216" customFormat="false" ht="15" hidden="false" customHeight="false" outlineLevel="0" collapsed="false">
      <c r="A216" s="11" t="s">
        <v>2029</v>
      </c>
      <c r="B216" s="11" t="s">
        <v>350</v>
      </c>
      <c r="C216" s="11" t="s">
        <v>349</v>
      </c>
      <c r="D216" s="38" t="n">
        <v>45779</v>
      </c>
      <c r="E216" s="38" t="n">
        <v>45839</v>
      </c>
      <c r="F216" s="37" t="n">
        <v>6720</v>
      </c>
      <c r="G216" s="37" t="n">
        <v>1344</v>
      </c>
      <c r="H216" s="37" t="n">
        <v>8064</v>
      </c>
      <c r="I216" s="11" t="s">
        <v>283</v>
      </c>
      <c r="J216" s="11"/>
      <c r="K216" s="11" t="s">
        <v>4152</v>
      </c>
      <c r="L216" s="38" t="n">
        <v>45861</v>
      </c>
      <c r="M216" s="11" t="n">
        <v>22</v>
      </c>
      <c r="N216" s="11"/>
      <c r="O216" s="11"/>
    </row>
    <row r="217" customFormat="false" ht="15" hidden="false" customHeight="false" outlineLevel="0" collapsed="false">
      <c r="A217" s="11" t="s">
        <v>1924</v>
      </c>
      <c r="B217" s="11" t="s">
        <v>332</v>
      </c>
      <c r="C217" s="11" t="s">
        <v>331</v>
      </c>
      <c r="D217" s="38" t="n">
        <v>45779</v>
      </c>
      <c r="E217" s="38" t="n">
        <v>45824</v>
      </c>
      <c r="F217" s="37" t="n">
        <v>4490</v>
      </c>
      <c r="G217" s="37" t="n">
        <v>898</v>
      </c>
      <c r="H217" s="37" t="n">
        <v>5388</v>
      </c>
      <c r="I217" s="11" t="s">
        <v>283</v>
      </c>
      <c r="J217" s="11"/>
      <c r="K217" s="11" t="s">
        <v>4152</v>
      </c>
      <c r="L217" s="38" t="n">
        <v>45840</v>
      </c>
      <c r="M217" s="11" t="n">
        <v>16</v>
      </c>
      <c r="N217" s="11"/>
      <c r="O217" s="11"/>
    </row>
    <row r="218" customFormat="false" ht="15" hidden="false" customHeight="false" outlineLevel="0" collapsed="false">
      <c r="A218" s="11" t="s">
        <v>1954</v>
      </c>
      <c r="B218" s="11" t="s">
        <v>336</v>
      </c>
      <c r="C218" s="11" t="s">
        <v>335</v>
      </c>
      <c r="D218" s="38" t="n">
        <v>45782</v>
      </c>
      <c r="E218" s="38" t="n">
        <v>45827</v>
      </c>
      <c r="F218" s="37" t="n">
        <v>5890</v>
      </c>
      <c r="G218" s="37" t="n">
        <v>1178</v>
      </c>
      <c r="H218" s="37" t="n">
        <v>7068</v>
      </c>
      <c r="I218" s="11" t="s">
        <v>283</v>
      </c>
      <c r="J218" s="11"/>
      <c r="K218" s="11" t="s">
        <v>4152</v>
      </c>
      <c r="L218" s="38" t="n">
        <v>45845</v>
      </c>
      <c r="M218" s="11" t="n">
        <v>18</v>
      </c>
      <c r="N218" s="11"/>
      <c r="O218" s="11"/>
    </row>
    <row r="219" customFormat="false" ht="15" hidden="false" customHeight="false" outlineLevel="0" collapsed="false">
      <c r="A219" s="11" t="s">
        <v>1872</v>
      </c>
      <c r="B219" s="11" t="s">
        <v>281</v>
      </c>
      <c r="C219" s="11" t="s">
        <v>280</v>
      </c>
      <c r="D219" s="38" t="n">
        <v>45782</v>
      </c>
      <c r="E219" s="38" t="n">
        <v>45827</v>
      </c>
      <c r="F219" s="37" t="n">
        <v>5370</v>
      </c>
      <c r="G219" s="37" t="n">
        <v>1074</v>
      </c>
      <c r="H219" s="37" t="n">
        <v>6444</v>
      </c>
      <c r="I219" s="11" t="s">
        <v>283</v>
      </c>
      <c r="J219" s="11"/>
      <c r="K219" s="11" t="s">
        <v>4152</v>
      </c>
      <c r="L219" s="38" t="n">
        <v>45827</v>
      </c>
      <c r="M219" s="11" t="n">
        <v>0</v>
      </c>
      <c r="N219" s="11"/>
      <c r="O219" s="11"/>
    </row>
    <row r="220" customFormat="false" ht="15" hidden="false" customHeight="false" outlineLevel="0" collapsed="false">
      <c r="A220" s="11" t="s">
        <v>1802</v>
      </c>
      <c r="B220" s="11" t="s">
        <v>288</v>
      </c>
      <c r="C220" s="11" t="s">
        <v>287</v>
      </c>
      <c r="D220" s="38" t="n">
        <v>45783</v>
      </c>
      <c r="E220" s="38" t="n">
        <v>45813</v>
      </c>
      <c r="F220" s="37" t="n">
        <v>4930</v>
      </c>
      <c r="G220" s="37" t="n">
        <v>986</v>
      </c>
      <c r="H220" s="37" t="n">
        <v>5916</v>
      </c>
      <c r="I220" s="11" t="s">
        <v>283</v>
      </c>
      <c r="J220" s="11"/>
      <c r="K220" s="11" t="s">
        <v>4152</v>
      </c>
      <c r="L220" s="38" t="n">
        <v>45811</v>
      </c>
      <c r="M220" s="11" t="n">
        <v>-2</v>
      </c>
      <c r="N220" s="11"/>
      <c r="O220" s="11"/>
    </row>
    <row r="221" customFormat="false" ht="15" hidden="false" customHeight="false" outlineLevel="0" collapsed="false">
      <c r="A221" s="11" t="s">
        <v>1922</v>
      </c>
      <c r="B221" s="11" t="s">
        <v>350</v>
      </c>
      <c r="C221" s="11" t="s">
        <v>349</v>
      </c>
      <c r="D221" s="38" t="n">
        <v>45784</v>
      </c>
      <c r="E221" s="38" t="n">
        <v>45844</v>
      </c>
      <c r="F221" s="37" t="n">
        <v>13510</v>
      </c>
      <c r="G221" s="37" t="n">
        <v>2702</v>
      </c>
      <c r="H221" s="37" t="n">
        <v>16212</v>
      </c>
      <c r="I221" s="11" t="s">
        <v>283</v>
      </c>
      <c r="J221" s="11"/>
      <c r="K221" s="11" t="s">
        <v>4152</v>
      </c>
      <c r="L221" s="38" t="n">
        <v>45840</v>
      </c>
      <c r="M221" s="11" t="n">
        <v>-4</v>
      </c>
      <c r="N221" s="11"/>
      <c r="O221" s="11"/>
    </row>
    <row r="222" customFormat="false" ht="15" hidden="false" customHeight="false" outlineLevel="0" collapsed="false">
      <c r="A222" s="11" t="s">
        <v>2096</v>
      </c>
      <c r="B222" s="11" t="s">
        <v>332</v>
      </c>
      <c r="C222" s="11" t="s">
        <v>331</v>
      </c>
      <c r="D222" s="38" t="n">
        <v>45784</v>
      </c>
      <c r="E222" s="38" t="n">
        <v>45829</v>
      </c>
      <c r="F222" s="37" t="n">
        <v>8830</v>
      </c>
      <c r="G222" s="37" t="n">
        <v>1766</v>
      </c>
      <c r="H222" s="37" t="n">
        <v>10596</v>
      </c>
      <c r="I222" s="11" t="s">
        <v>283</v>
      </c>
      <c r="J222" s="11"/>
      <c r="K222" s="11" t="s">
        <v>4152</v>
      </c>
      <c r="L222" s="38" t="n">
        <v>45875</v>
      </c>
      <c r="M222" s="11" t="n">
        <v>46</v>
      </c>
      <c r="N222" s="11"/>
      <c r="O222" s="11"/>
    </row>
    <row r="223" customFormat="false" ht="15" hidden="false" customHeight="false" outlineLevel="0" collapsed="false">
      <c r="A223" s="11" t="s">
        <v>1884</v>
      </c>
      <c r="B223" s="11" t="s">
        <v>400</v>
      </c>
      <c r="C223" s="11" t="s">
        <v>399</v>
      </c>
      <c r="D223" s="38" t="n">
        <v>45786</v>
      </c>
      <c r="E223" s="38" t="n">
        <v>45816</v>
      </c>
      <c r="F223" s="37" t="n">
        <v>13190</v>
      </c>
      <c r="G223" s="37" t="n">
        <v>2638</v>
      </c>
      <c r="H223" s="37" t="n">
        <v>15828</v>
      </c>
      <c r="I223" s="11" t="s">
        <v>283</v>
      </c>
      <c r="J223" s="11"/>
      <c r="K223" s="11" t="s">
        <v>4152</v>
      </c>
      <c r="L223" s="38" t="n">
        <v>45831</v>
      </c>
      <c r="M223" s="11" t="n">
        <v>15</v>
      </c>
      <c r="N223" s="11"/>
      <c r="O223" s="11"/>
    </row>
    <row r="224" customFormat="false" ht="15" hidden="false" customHeight="false" outlineLevel="0" collapsed="false">
      <c r="A224" s="11" t="s">
        <v>2258</v>
      </c>
      <c r="B224" s="11" t="s">
        <v>350</v>
      </c>
      <c r="C224" s="11" t="s">
        <v>349</v>
      </c>
      <c r="D224" s="38" t="n">
        <v>45786</v>
      </c>
      <c r="E224" s="38" t="n">
        <v>45846</v>
      </c>
      <c r="F224" s="37" t="n">
        <v>10270</v>
      </c>
      <c r="G224" s="37" t="n">
        <v>2054</v>
      </c>
      <c r="H224" s="37" t="n">
        <v>12324</v>
      </c>
      <c r="I224" s="11" t="s">
        <v>283</v>
      </c>
      <c r="J224" s="11"/>
      <c r="K224" s="11" t="s">
        <v>4152</v>
      </c>
      <c r="L224" s="38" t="n">
        <v>45908</v>
      </c>
      <c r="M224" s="11" t="n">
        <v>62</v>
      </c>
      <c r="N224" s="11"/>
      <c r="O224" s="11"/>
    </row>
    <row r="225" customFormat="false" ht="15" hidden="false" customHeight="false" outlineLevel="0" collapsed="false">
      <c r="A225" s="11" t="s">
        <v>1892</v>
      </c>
      <c r="B225" s="11" t="s">
        <v>281</v>
      </c>
      <c r="C225" s="11" t="s">
        <v>280</v>
      </c>
      <c r="D225" s="38" t="n">
        <v>45786</v>
      </c>
      <c r="E225" s="38" t="n">
        <v>45831</v>
      </c>
      <c r="F225" s="37" t="n">
        <v>6480</v>
      </c>
      <c r="G225" s="37" t="n">
        <v>1296</v>
      </c>
      <c r="H225" s="37" t="n">
        <v>7776</v>
      </c>
      <c r="I225" s="11" t="s">
        <v>283</v>
      </c>
      <c r="J225" s="11"/>
      <c r="K225" s="11" t="s">
        <v>4152</v>
      </c>
      <c r="L225" s="38" t="n">
        <v>45831</v>
      </c>
      <c r="M225" s="11" t="n">
        <v>0</v>
      </c>
      <c r="N225" s="11"/>
      <c r="O225" s="11"/>
    </row>
    <row r="226" customFormat="false" ht="15" hidden="false" customHeight="false" outlineLevel="0" collapsed="false">
      <c r="A226" s="11" t="s">
        <v>1890</v>
      </c>
      <c r="B226" s="11" t="s">
        <v>281</v>
      </c>
      <c r="C226" s="11" t="s">
        <v>280</v>
      </c>
      <c r="D226" s="38" t="n">
        <v>45786</v>
      </c>
      <c r="E226" s="38" t="n">
        <v>45831</v>
      </c>
      <c r="F226" s="37" t="n">
        <v>7380</v>
      </c>
      <c r="G226" s="37" t="n">
        <v>1476</v>
      </c>
      <c r="H226" s="37" t="n">
        <v>8856</v>
      </c>
      <c r="I226" s="11" t="s">
        <v>283</v>
      </c>
      <c r="J226" s="11"/>
      <c r="K226" s="11" t="s">
        <v>4152</v>
      </c>
      <c r="L226" s="38" t="n">
        <v>45831</v>
      </c>
      <c r="M226" s="11" t="n">
        <v>0</v>
      </c>
      <c r="N226" s="11"/>
      <c r="O226" s="11"/>
    </row>
    <row r="227" customFormat="false" ht="15" hidden="false" customHeight="false" outlineLevel="0" collapsed="false">
      <c r="A227" s="11" t="s">
        <v>2087</v>
      </c>
      <c r="B227" s="11" t="s">
        <v>393</v>
      </c>
      <c r="C227" s="11" t="s">
        <v>392</v>
      </c>
      <c r="D227" s="38" t="n">
        <v>45786</v>
      </c>
      <c r="E227" s="38" t="n">
        <v>45836</v>
      </c>
      <c r="F227" s="37" t="n">
        <v>11740</v>
      </c>
      <c r="G227" s="37" t="n">
        <v>2348</v>
      </c>
      <c r="H227" s="37" t="n">
        <v>14088</v>
      </c>
      <c r="I227" s="11" t="s">
        <v>283</v>
      </c>
      <c r="J227" s="11"/>
      <c r="K227" s="11" t="s">
        <v>4152</v>
      </c>
      <c r="L227" s="38" t="n">
        <v>45873</v>
      </c>
      <c r="M227" s="11" t="n">
        <v>37</v>
      </c>
      <c r="N227" s="11"/>
      <c r="O227" s="11"/>
    </row>
    <row r="228" customFormat="false" ht="15" hidden="false" customHeight="false" outlineLevel="0" collapsed="false">
      <c r="A228" s="11" t="s">
        <v>1829</v>
      </c>
      <c r="B228" s="11" t="s">
        <v>288</v>
      </c>
      <c r="C228" s="11" t="s">
        <v>287</v>
      </c>
      <c r="D228" s="38" t="n">
        <v>45786</v>
      </c>
      <c r="E228" s="38" t="n">
        <v>45816</v>
      </c>
      <c r="F228" s="37" t="n">
        <v>2250</v>
      </c>
      <c r="G228" s="37" t="n">
        <v>450</v>
      </c>
      <c r="H228" s="37" t="n">
        <v>2700</v>
      </c>
      <c r="I228" s="11" t="s">
        <v>283</v>
      </c>
      <c r="J228" s="11"/>
      <c r="K228" s="11" t="s">
        <v>4152</v>
      </c>
      <c r="L228" s="38" t="n">
        <v>45818</v>
      </c>
      <c r="M228" s="11" t="n">
        <v>2</v>
      </c>
      <c r="N228" s="11"/>
      <c r="O228" s="11"/>
    </row>
    <row r="229" customFormat="false" ht="15" hidden="false" customHeight="false" outlineLevel="0" collapsed="false">
      <c r="A229" s="11" t="s">
        <v>2123</v>
      </c>
      <c r="B229" s="11" t="s">
        <v>328</v>
      </c>
      <c r="C229" s="11" t="s">
        <v>327</v>
      </c>
      <c r="D229" s="38" t="n">
        <v>45786</v>
      </c>
      <c r="E229" s="38" t="n">
        <v>45846</v>
      </c>
      <c r="F229" s="37" t="n">
        <v>7760</v>
      </c>
      <c r="G229" s="37" t="n">
        <v>1552</v>
      </c>
      <c r="H229" s="37" t="n">
        <v>9312</v>
      </c>
      <c r="I229" s="11" t="s">
        <v>283</v>
      </c>
      <c r="J229" s="11"/>
      <c r="K229" s="11" t="s">
        <v>4152</v>
      </c>
      <c r="L229" s="38" t="n">
        <v>45881</v>
      </c>
      <c r="M229" s="11" t="n">
        <v>35</v>
      </c>
      <c r="N229" s="11"/>
      <c r="O229" s="11"/>
    </row>
    <row r="230" customFormat="false" ht="15" hidden="false" customHeight="false" outlineLevel="0" collapsed="false">
      <c r="A230" s="11" t="s">
        <v>2182</v>
      </c>
      <c r="B230" s="11" t="s">
        <v>299</v>
      </c>
      <c r="C230" s="11" t="s">
        <v>298</v>
      </c>
      <c r="D230" s="38" t="n">
        <v>45789</v>
      </c>
      <c r="E230" s="38" t="n">
        <v>45849</v>
      </c>
      <c r="F230" s="37" t="n">
        <v>8880</v>
      </c>
      <c r="G230" s="37" t="n">
        <v>0</v>
      </c>
      <c r="H230" s="37" t="n">
        <v>8880</v>
      </c>
      <c r="I230" s="11" t="s">
        <v>283</v>
      </c>
      <c r="J230" s="11"/>
      <c r="K230" s="11" t="s">
        <v>4152</v>
      </c>
      <c r="L230" s="38" t="n">
        <v>45894</v>
      </c>
      <c r="M230" s="11" t="n">
        <v>45</v>
      </c>
      <c r="N230" s="11"/>
      <c r="O230" s="11"/>
    </row>
    <row r="231" customFormat="false" ht="15" hidden="false" customHeight="false" outlineLevel="0" collapsed="false">
      <c r="A231" s="11" t="s">
        <v>1913</v>
      </c>
      <c r="B231" s="11" t="s">
        <v>336</v>
      </c>
      <c r="C231" s="11" t="s">
        <v>335</v>
      </c>
      <c r="D231" s="38" t="n">
        <v>45789</v>
      </c>
      <c r="E231" s="38" t="n">
        <v>45834</v>
      </c>
      <c r="F231" s="37" t="n">
        <v>4480</v>
      </c>
      <c r="G231" s="37" t="n">
        <v>896</v>
      </c>
      <c r="H231" s="37" t="n">
        <v>5376</v>
      </c>
      <c r="I231" s="11" t="s">
        <v>283</v>
      </c>
      <c r="J231" s="11"/>
      <c r="K231" s="11" t="s">
        <v>4152</v>
      </c>
      <c r="L231" s="38" t="n">
        <v>45838</v>
      </c>
      <c r="M231" s="11" t="n">
        <v>4</v>
      </c>
      <c r="N231" s="11"/>
      <c r="O231" s="11"/>
    </row>
    <row r="232" customFormat="false" ht="15" hidden="false" customHeight="false" outlineLevel="0" collapsed="false">
      <c r="A232" s="11" t="s">
        <v>2144</v>
      </c>
      <c r="B232" s="11" t="s">
        <v>598</v>
      </c>
      <c r="C232" s="11" t="s">
        <v>597</v>
      </c>
      <c r="D232" s="38" t="n">
        <v>45789</v>
      </c>
      <c r="E232" s="38" t="n">
        <v>45849</v>
      </c>
      <c r="F232" s="37" t="n">
        <v>117000</v>
      </c>
      <c r="G232" s="37" t="n">
        <v>23400</v>
      </c>
      <c r="H232" s="37" t="n">
        <v>140400</v>
      </c>
      <c r="I232" s="11" t="s">
        <v>4212</v>
      </c>
      <c r="J232" s="11" t="s">
        <v>4213</v>
      </c>
      <c r="K232" s="11" t="s">
        <v>4152</v>
      </c>
      <c r="L232" s="38" t="n">
        <v>45887</v>
      </c>
      <c r="M232" s="11" t="n">
        <v>38</v>
      </c>
      <c r="N232" s="11"/>
      <c r="O232" s="11"/>
    </row>
    <row r="233" customFormat="false" ht="15" hidden="false" customHeight="false" outlineLevel="0" collapsed="false">
      <c r="A233" s="11" t="s">
        <v>2052</v>
      </c>
      <c r="B233" s="11" t="s">
        <v>350</v>
      </c>
      <c r="C233" s="11" t="s">
        <v>349</v>
      </c>
      <c r="D233" s="38" t="n">
        <v>45790</v>
      </c>
      <c r="E233" s="38" t="n">
        <v>45850</v>
      </c>
      <c r="F233" s="37" t="n">
        <v>13150</v>
      </c>
      <c r="G233" s="37" t="n">
        <v>2630</v>
      </c>
      <c r="H233" s="37" t="n">
        <v>15780</v>
      </c>
      <c r="I233" s="11" t="s">
        <v>283</v>
      </c>
      <c r="J233" s="11"/>
      <c r="K233" s="11" t="s">
        <v>4152</v>
      </c>
      <c r="L233" s="38" t="n">
        <v>45867</v>
      </c>
      <c r="M233" s="11" t="n">
        <v>17</v>
      </c>
      <c r="N233" s="11"/>
      <c r="O233" s="11"/>
    </row>
    <row r="234" customFormat="false" ht="15" hidden="false" customHeight="false" outlineLevel="0" collapsed="false">
      <c r="A234" s="11" t="s">
        <v>1961</v>
      </c>
      <c r="B234" s="11" t="s">
        <v>336</v>
      </c>
      <c r="C234" s="11" t="s">
        <v>335</v>
      </c>
      <c r="D234" s="38" t="n">
        <v>45791</v>
      </c>
      <c r="E234" s="38" t="n">
        <v>45836</v>
      </c>
      <c r="F234" s="37" t="n">
        <v>8500</v>
      </c>
      <c r="G234" s="37" t="n">
        <v>1700</v>
      </c>
      <c r="H234" s="37" t="n">
        <v>10200</v>
      </c>
      <c r="I234" s="11" t="s">
        <v>283</v>
      </c>
      <c r="J234" s="11"/>
      <c r="K234" s="11" t="s">
        <v>4152</v>
      </c>
      <c r="L234" s="38" t="n">
        <v>45846</v>
      </c>
      <c r="M234" s="11" t="n">
        <v>10</v>
      </c>
      <c r="N234" s="11"/>
      <c r="O234" s="11"/>
    </row>
    <row r="235" customFormat="false" ht="15" hidden="false" customHeight="false" outlineLevel="0" collapsed="false">
      <c r="A235" s="11" t="s">
        <v>2017</v>
      </c>
      <c r="B235" s="11" t="s">
        <v>350</v>
      </c>
      <c r="C235" s="11" t="s">
        <v>349</v>
      </c>
      <c r="D235" s="38" t="n">
        <v>45791</v>
      </c>
      <c r="E235" s="38" t="n">
        <v>45851</v>
      </c>
      <c r="F235" s="37" t="n">
        <v>15150</v>
      </c>
      <c r="G235" s="37" t="n">
        <v>3030</v>
      </c>
      <c r="H235" s="37" t="n">
        <v>18180</v>
      </c>
      <c r="I235" s="11" t="s">
        <v>283</v>
      </c>
      <c r="J235" s="11"/>
      <c r="K235" s="11" t="s">
        <v>4152</v>
      </c>
      <c r="L235" s="38" t="n">
        <v>45859</v>
      </c>
      <c r="M235" s="11" t="n">
        <v>8</v>
      </c>
      <c r="N235" s="11"/>
      <c r="O235" s="11"/>
    </row>
    <row r="236" customFormat="false" ht="15" hidden="false" customHeight="false" outlineLevel="0" collapsed="false">
      <c r="A236" s="11" t="s">
        <v>1959</v>
      </c>
      <c r="B236" s="11" t="s">
        <v>336</v>
      </c>
      <c r="C236" s="11" t="s">
        <v>335</v>
      </c>
      <c r="D236" s="38" t="n">
        <v>45792</v>
      </c>
      <c r="E236" s="38" t="n">
        <v>45837</v>
      </c>
      <c r="F236" s="37" t="n">
        <v>6200</v>
      </c>
      <c r="G236" s="37" t="n">
        <v>1240</v>
      </c>
      <c r="H236" s="37" t="n">
        <v>7440</v>
      </c>
      <c r="I236" s="11" t="s">
        <v>283</v>
      </c>
      <c r="J236" s="11"/>
      <c r="K236" s="11" t="s">
        <v>4152</v>
      </c>
      <c r="L236" s="38" t="n">
        <v>45846</v>
      </c>
      <c r="M236" s="11" t="n">
        <v>9</v>
      </c>
      <c r="N236" s="11"/>
      <c r="O236" s="11"/>
    </row>
    <row r="237" customFormat="false" ht="15" hidden="false" customHeight="false" outlineLevel="0" collapsed="false">
      <c r="A237" s="11" t="s">
        <v>1989</v>
      </c>
      <c r="B237" s="11" t="s">
        <v>336</v>
      </c>
      <c r="C237" s="11" t="s">
        <v>335</v>
      </c>
      <c r="D237" s="38" t="n">
        <v>45792</v>
      </c>
      <c r="E237" s="38" t="n">
        <v>45837</v>
      </c>
      <c r="F237" s="37" t="n">
        <v>9000</v>
      </c>
      <c r="G237" s="37" t="n">
        <v>1800</v>
      </c>
      <c r="H237" s="37" t="n">
        <v>10800</v>
      </c>
      <c r="I237" s="11" t="s">
        <v>283</v>
      </c>
      <c r="J237" s="11"/>
      <c r="K237" s="11" t="s">
        <v>4152</v>
      </c>
      <c r="L237" s="38" t="n">
        <v>45853</v>
      </c>
      <c r="M237" s="11" t="n">
        <v>16</v>
      </c>
      <c r="N237" s="11"/>
      <c r="O237" s="11"/>
    </row>
    <row r="238" customFormat="false" ht="15" hidden="false" customHeight="false" outlineLevel="0" collapsed="false">
      <c r="A238" s="11" t="s">
        <v>1933</v>
      </c>
      <c r="B238" s="11" t="s">
        <v>336</v>
      </c>
      <c r="C238" s="11" t="s">
        <v>335</v>
      </c>
      <c r="D238" s="38" t="n">
        <v>45793</v>
      </c>
      <c r="E238" s="38" t="n">
        <v>45838</v>
      </c>
      <c r="F238" s="37" t="n">
        <v>5990</v>
      </c>
      <c r="G238" s="37" t="n">
        <v>1198</v>
      </c>
      <c r="H238" s="37" t="n">
        <v>7188</v>
      </c>
      <c r="I238" s="11" t="s">
        <v>283</v>
      </c>
      <c r="J238" s="11"/>
      <c r="K238" s="11" t="s">
        <v>4152</v>
      </c>
      <c r="L238" s="38" t="n">
        <v>45841</v>
      </c>
      <c r="M238" s="11" t="n">
        <v>3</v>
      </c>
      <c r="N238" s="11"/>
      <c r="O238" s="11"/>
    </row>
    <row r="239" customFormat="false" ht="15" hidden="false" customHeight="false" outlineLevel="0" collapsed="false">
      <c r="A239" s="11" t="s">
        <v>1856</v>
      </c>
      <c r="B239" s="11" t="s">
        <v>324</v>
      </c>
      <c r="C239" s="11" t="s">
        <v>323</v>
      </c>
      <c r="D239" s="38" t="n">
        <v>45793</v>
      </c>
      <c r="E239" s="38" t="n">
        <v>45823</v>
      </c>
      <c r="F239" s="37" t="n">
        <v>13820</v>
      </c>
      <c r="G239" s="37" t="n">
        <v>2764</v>
      </c>
      <c r="H239" s="37" t="n">
        <v>16584</v>
      </c>
      <c r="I239" s="11" t="s">
        <v>283</v>
      </c>
      <c r="J239" s="11"/>
      <c r="K239" s="11" t="s">
        <v>4152</v>
      </c>
      <c r="L239" s="38" t="n">
        <v>45824</v>
      </c>
      <c r="M239" s="11" t="n">
        <v>1</v>
      </c>
      <c r="N239" s="11"/>
      <c r="O239" s="11"/>
    </row>
    <row r="240" customFormat="false" ht="15" hidden="false" customHeight="false" outlineLevel="0" collapsed="false">
      <c r="A240" s="11" t="s">
        <v>1907</v>
      </c>
      <c r="B240" s="11" t="s">
        <v>332</v>
      </c>
      <c r="C240" s="11" t="s">
        <v>331</v>
      </c>
      <c r="D240" s="38" t="n">
        <v>45793</v>
      </c>
      <c r="E240" s="38" t="n">
        <v>45838</v>
      </c>
      <c r="F240" s="37" t="n">
        <v>14550</v>
      </c>
      <c r="G240" s="37" t="n">
        <v>2910</v>
      </c>
      <c r="H240" s="37" t="n">
        <v>17460</v>
      </c>
      <c r="I240" s="11" t="s">
        <v>283</v>
      </c>
      <c r="J240" s="11"/>
      <c r="K240" s="11" t="s">
        <v>4152</v>
      </c>
      <c r="L240" s="38" t="n">
        <v>45835</v>
      </c>
      <c r="M240" s="11" t="n">
        <v>-3</v>
      </c>
      <c r="N240" s="11"/>
      <c r="O240" s="11"/>
    </row>
    <row r="241" customFormat="false" ht="15" hidden="false" customHeight="false" outlineLevel="0" collapsed="false">
      <c r="A241" s="11" t="s">
        <v>1915</v>
      </c>
      <c r="B241" s="11" t="s">
        <v>400</v>
      </c>
      <c r="C241" s="11" t="s">
        <v>399</v>
      </c>
      <c r="D241" s="38" t="n">
        <v>45796</v>
      </c>
      <c r="E241" s="38" t="n">
        <v>45826</v>
      </c>
      <c r="F241" s="37" t="n">
        <v>16310</v>
      </c>
      <c r="G241" s="37" t="n">
        <v>3262</v>
      </c>
      <c r="H241" s="37" t="n">
        <v>19572</v>
      </c>
      <c r="I241" s="11" t="s">
        <v>283</v>
      </c>
      <c r="J241" s="11"/>
      <c r="K241" s="11" t="s">
        <v>4152</v>
      </c>
      <c r="L241" s="38" t="n">
        <v>45838</v>
      </c>
      <c r="M241" s="11" t="n">
        <v>12</v>
      </c>
      <c r="N241" s="11"/>
      <c r="O241" s="11"/>
    </row>
    <row r="242" customFormat="false" ht="15" hidden="false" customHeight="false" outlineLevel="0" collapsed="false">
      <c r="A242" s="11" t="s">
        <v>2007</v>
      </c>
      <c r="B242" s="11" t="s">
        <v>332</v>
      </c>
      <c r="C242" s="11" t="s">
        <v>331</v>
      </c>
      <c r="D242" s="38" t="n">
        <v>45796</v>
      </c>
      <c r="E242" s="38" t="n">
        <v>45841</v>
      </c>
      <c r="F242" s="37" t="n">
        <v>7760</v>
      </c>
      <c r="G242" s="37" t="n">
        <v>1552</v>
      </c>
      <c r="H242" s="37" t="n">
        <v>9312</v>
      </c>
      <c r="I242" s="11" t="s">
        <v>283</v>
      </c>
      <c r="J242" s="11"/>
      <c r="K242" s="11" t="s">
        <v>4152</v>
      </c>
      <c r="L242" s="38" t="n">
        <v>45856</v>
      </c>
      <c r="M242" s="11" t="n">
        <v>15</v>
      </c>
      <c r="N242" s="11"/>
      <c r="O242" s="11"/>
    </row>
    <row r="243" customFormat="false" ht="15" hidden="false" customHeight="false" outlineLevel="0" collapsed="false">
      <c r="A243" s="11" t="s">
        <v>1939</v>
      </c>
      <c r="B243" s="11" t="s">
        <v>281</v>
      </c>
      <c r="C243" s="11" t="s">
        <v>280</v>
      </c>
      <c r="D243" s="38" t="n">
        <v>45797</v>
      </c>
      <c r="E243" s="38" t="n">
        <v>45842</v>
      </c>
      <c r="F243" s="37" t="n">
        <v>3430</v>
      </c>
      <c r="G243" s="37" t="n">
        <v>686</v>
      </c>
      <c r="H243" s="37" t="n">
        <v>4116</v>
      </c>
      <c r="I243" s="11" t="s">
        <v>283</v>
      </c>
      <c r="J243" s="11"/>
      <c r="K243" s="11" t="s">
        <v>4152</v>
      </c>
      <c r="L243" s="38" t="n">
        <v>45842</v>
      </c>
      <c r="M243" s="11" t="n">
        <v>0</v>
      </c>
      <c r="N243" s="11"/>
      <c r="O243" s="11"/>
    </row>
    <row r="244" customFormat="false" ht="15" hidden="false" customHeight="false" outlineLevel="0" collapsed="false">
      <c r="A244" s="11" t="s">
        <v>1894</v>
      </c>
      <c r="B244" s="11" t="s">
        <v>288</v>
      </c>
      <c r="C244" s="11" t="s">
        <v>287</v>
      </c>
      <c r="D244" s="38" t="n">
        <v>45797</v>
      </c>
      <c r="E244" s="38" t="n">
        <v>45827</v>
      </c>
      <c r="F244" s="37" t="n">
        <v>4260</v>
      </c>
      <c r="G244" s="37" t="n">
        <v>852</v>
      </c>
      <c r="H244" s="37" t="n">
        <v>5112</v>
      </c>
      <c r="I244" s="11" t="s">
        <v>283</v>
      </c>
      <c r="J244" s="11"/>
      <c r="K244" s="11" t="s">
        <v>4152</v>
      </c>
      <c r="L244" s="38" t="n">
        <v>45832</v>
      </c>
      <c r="M244" s="11" t="n">
        <v>5</v>
      </c>
      <c r="N244" s="11"/>
      <c r="O244" s="11"/>
    </row>
    <row r="245" customFormat="false" ht="15" hidden="false" customHeight="false" outlineLevel="0" collapsed="false">
      <c r="A245" s="11" t="s">
        <v>2121</v>
      </c>
      <c r="B245" s="11" t="s">
        <v>328</v>
      </c>
      <c r="C245" s="11" t="s">
        <v>327</v>
      </c>
      <c r="D245" s="38" t="n">
        <v>45797</v>
      </c>
      <c r="E245" s="38" t="n">
        <v>45857</v>
      </c>
      <c r="F245" s="37" t="n">
        <v>9050</v>
      </c>
      <c r="G245" s="37" t="n">
        <v>1810</v>
      </c>
      <c r="H245" s="37" t="n">
        <v>10860</v>
      </c>
      <c r="I245" s="11" t="s">
        <v>283</v>
      </c>
      <c r="J245" s="11"/>
      <c r="K245" s="11" t="s">
        <v>4152</v>
      </c>
      <c r="L245" s="38" t="n">
        <v>45881</v>
      </c>
      <c r="M245" s="11" t="n">
        <v>24</v>
      </c>
      <c r="N245" s="11"/>
      <c r="O245" s="11"/>
    </row>
    <row r="246" customFormat="false" ht="15" hidden="false" customHeight="false" outlineLevel="0" collapsed="false">
      <c r="A246" s="11" t="s">
        <v>1882</v>
      </c>
      <c r="B246" s="11" t="s">
        <v>288</v>
      </c>
      <c r="C246" s="11" t="s">
        <v>287</v>
      </c>
      <c r="D246" s="38" t="n">
        <v>45798</v>
      </c>
      <c r="E246" s="38" t="n">
        <v>45828</v>
      </c>
      <c r="F246" s="37" t="n">
        <v>2140</v>
      </c>
      <c r="G246" s="37" t="n">
        <v>428</v>
      </c>
      <c r="H246" s="37" t="n">
        <v>2568</v>
      </c>
      <c r="I246" s="11" t="s">
        <v>283</v>
      </c>
      <c r="J246" s="11"/>
      <c r="K246" s="11" t="s">
        <v>4152</v>
      </c>
      <c r="L246" s="38" t="n">
        <v>45831</v>
      </c>
      <c r="M246" s="11" t="n">
        <v>3</v>
      </c>
      <c r="N246" s="11"/>
      <c r="O246" s="11"/>
    </row>
    <row r="247" customFormat="false" ht="15" hidden="false" customHeight="false" outlineLevel="0" collapsed="false">
      <c r="A247" s="11" t="s">
        <v>2078</v>
      </c>
      <c r="B247" s="11" t="s">
        <v>350</v>
      </c>
      <c r="C247" s="11" t="s">
        <v>349</v>
      </c>
      <c r="D247" s="38" t="n">
        <v>45798</v>
      </c>
      <c r="E247" s="38" t="n">
        <v>45858</v>
      </c>
      <c r="F247" s="37" t="n">
        <v>6100</v>
      </c>
      <c r="G247" s="37" t="n">
        <v>1220</v>
      </c>
      <c r="H247" s="37" t="n">
        <v>7320</v>
      </c>
      <c r="I247" s="11" t="s">
        <v>283</v>
      </c>
      <c r="J247" s="11"/>
      <c r="K247" s="11" t="s">
        <v>4152</v>
      </c>
      <c r="L247" s="38" t="n">
        <v>45873</v>
      </c>
      <c r="M247" s="11" t="n">
        <v>15</v>
      </c>
      <c r="N247" s="11"/>
      <c r="O247" s="11"/>
    </row>
    <row r="248" customFormat="false" ht="15" hidden="false" customHeight="false" outlineLevel="0" collapsed="false">
      <c r="A248" s="11" t="s">
        <v>1949</v>
      </c>
      <c r="B248" s="11" t="s">
        <v>324</v>
      </c>
      <c r="C248" s="11" t="s">
        <v>323</v>
      </c>
      <c r="D248" s="38" t="n">
        <v>45798</v>
      </c>
      <c r="E248" s="38" t="n">
        <v>45828</v>
      </c>
      <c r="F248" s="37" t="n">
        <v>3950</v>
      </c>
      <c r="G248" s="37" t="n">
        <v>790</v>
      </c>
      <c r="H248" s="37" t="n">
        <v>4740</v>
      </c>
      <c r="I248" s="11" t="s">
        <v>283</v>
      </c>
      <c r="J248" s="11"/>
      <c r="K248" s="11" t="s">
        <v>4152</v>
      </c>
      <c r="L248" s="38" t="n">
        <v>45845</v>
      </c>
      <c r="M248" s="11" t="n">
        <v>17</v>
      </c>
      <c r="N248" s="11"/>
      <c r="O248" s="11"/>
    </row>
    <row r="249" customFormat="false" ht="15" hidden="false" customHeight="false" outlineLevel="0" collapsed="false">
      <c r="A249" s="11" t="s">
        <v>1947</v>
      </c>
      <c r="B249" s="11" t="s">
        <v>281</v>
      </c>
      <c r="C249" s="11" t="s">
        <v>280</v>
      </c>
      <c r="D249" s="38" t="n">
        <v>45798</v>
      </c>
      <c r="E249" s="38" t="n">
        <v>45843</v>
      </c>
      <c r="F249" s="37" t="n">
        <v>8040</v>
      </c>
      <c r="G249" s="37" t="n">
        <v>1608</v>
      </c>
      <c r="H249" s="37" t="n">
        <v>9648</v>
      </c>
      <c r="I249" s="11" t="s">
        <v>283</v>
      </c>
      <c r="J249" s="11"/>
      <c r="K249" s="11" t="s">
        <v>4152</v>
      </c>
      <c r="L249" s="38" t="n">
        <v>45845</v>
      </c>
      <c r="M249" s="11" t="n">
        <v>2</v>
      </c>
      <c r="N249" s="11"/>
      <c r="O249" s="11"/>
    </row>
    <row r="250" customFormat="false" ht="15" hidden="false" customHeight="false" outlineLevel="0" collapsed="false">
      <c r="A250" s="11" t="s">
        <v>1998</v>
      </c>
      <c r="B250" s="11" t="s">
        <v>336</v>
      </c>
      <c r="C250" s="11" t="s">
        <v>335</v>
      </c>
      <c r="D250" s="38" t="n">
        <v>45799</v>
      </c>
      <c r="E250" s="38" t="n">
        <v>45844</v>
      </c>
      <c r="F250" s="37" t="n">
        <v>8710</v>
      </c>
      <c r="G250" s="37" t="n">
        <v>1742</v>
      </c>
      <c r="H250" s="37" t="n">
        <v>10452</v>
      </c>
      <c r="I250" s="11" t="s">
        <v>283</v>
      </c>
      <c r="J250" s="11"/>
      <c r="K250" s="11" t="s">
        <v>4152</v>
      </c>
      <c r="L250" s="38" t="n">
        <v>45853</v>
      </c>
      <c r="M250" s="11" t="n">
        <v>9</v>
      </c>
      <c r="N250" s="11"/>
      <c r="O250" s="11"/>
    </row>
    <row r="251" customFormat="false" ht="15" hidden="false" customHeight="false" outlineLevel="0" collapsed="false">
      <c r="A251" s="11" t="s">
        <v>1943</v>
      </c>
      <c r="B251" s="11" t="s">
        <v>281</v>
      </c>
      <c r="C251" s="11" t="s">
        <v>280</v>
      </c>
      <c r="D251" s="38" t="n">
        <v>45800</v>
      </c>
      <c r="E251" s="38" t="n">
        <v>45845</v>
      </c>
      <c r="F251" s="37" t="n">
        <v>8240</v>
      </c>
      <c r="G251" s="37" t="n">
        <v>1648</v>
      </c>
      <c r="H251" s="37" t="n">
        <v>9888</v>
      </c>
      <c r="I251" s="11" t="s">
        <v>283</v>
      </c>
      <c r="J251" s="11"/>
      <c r="K251" s="11" t="s">
        <v>4152</v>
      </c>
      <c r="L251" s="38" t="n">
        <v>45845</v>
      </c>
      <c r="M251" s="11" t="n">
        <v>0</v>
      </c>
      <c r="N251" s="11"/>
      <c r="O251" s="11"/>
    </row>
    <row r="252" customFormat="false" ht="15" hidden="false" customHeight="false" outlineLevel="0" collapsed="false">
      <c r="A252" s="11" t="s">
        <v>1941</v>
      </c>
      <c r="B252" s="11" t="s">
        <v>281</v>
      </c>
      <c r="C252" s="11" t="s">
        <v>280</v>
      </c>
      <c r="D252" s="38" t="n">
        <v>45800</v>
      </c>
      <c r="E252" s="38" t="n">
        <v>45845</v>
      </c>
      <c r="F252" s="37" t="n">
        <v>4550</v>
      </c>
      <c r="G252" s="37" t="n">
        <v>910</v>
      </c>
      <c r="H252" s="37" t="n">
        <v>5460</v>
      </c>
      <c r="I252" s="11" t="s">
        <v>283</v>
      </c>
      <c r="J252" s="11"/>
      <c r="K252" s="11" t="s">
        <v>4152</v>
      </c>
      <c r="L252" s="38" t="n">
        <v>45845</v>
      </c>
      <c r="M252" s="11" t="n">
        <v>0</v>
      </c>
      <c r="N252" s="11"/>
      <c r="O252" s="11"/>
    </row>
    <row r="253" customFormat="false" ht="15" hidden="false" customHeight="false" outlineLevel="0" collapsed="false">
      <c r="A253" s="11" t="s">
        <v>2094</v>
      </c>
      <c r="B253" s="11" t="s">
        <v>328</v>
      </c>
      <c r="C253" s="11" t="s">
        <v>327</v>
      </c>
      <c r="D253" s="38" t="n">
        <v>45800</v>
      </c>
      <c r="E253" s="38" t="n">
        <v>45860</v>
      </c>
      <c r="F253" s="37" t="n">
        <v>22910</v>
      </c>
      <c r="G253" s="37" t="n">
        <v>4582</v>
      </c>
      <c r="H253" s="37" t="n">
        <v>27492</v>
      </c>
      <c r="I253" s="11" t="s">
        <v>283</v>
      </c>
      <c r="J253" s="11"/>
      <c r="K253" s="11" t="s">
        <v>4152</v>
      </c>
      <c r="L253" s="38" t="n">
        <v>45875</v>
      </c>
      <c r="M253" s="11" t="n">
        <v>15</v>
      </c>
      <c r="N253" s="11"/>
      <c r="O253" s="11"/>
    </row>
    <row r="254" customFormat="false" ht="15" hidden="false" customHeight="false" outlineLevel="0" collapsed="false">
      <c r="A254" s="11" t="s">
        <v>2040</v>
      </c>
      <c r="B254" s="11" t="s">
        <v>299</v>
      </c>
      <c r="C254" s="11" t="s">
        <v>298</v>
      </c>
      <c r="D254" s="38" t="n">
        <v>45803</v>
      </c>
      <c r="E254" s="38" t="n">
        <v>45863</v>
      </c>
      <c r="F254" s="37" t="n">
        <v>4490</v>
      </c>
      <c r="G254" s="37" t="n">
        <v>0</v>
      </c>
      <c r="H254" s="37" t="n">
        <v>4490</v>
      </c>
      <c r="I254" s="11" t="s">
        <v>283</v>
      </c>
      <c r="J254" s="11"/>
      <c r="K254" s="11" t="s">
        <v>4152</v>
      </c>
      <c r="L254" s="38" t="n">
        <v>45866</v>
      </c>
      <c r="M254" s="11" t="n">
        <v>3</v>
      </c>
      <c r="N254" s="11"/>
      <c r="O254" s="11"/>
    </row>
    <row r="255" customFormat="false" ht="15" hidden="false" customHeight="false" outlineLevel="0" collapsed="false">
      <c r="A255" s="11" t="s">
        <v>2076</v>
      </c>
      <c r="B255" s="11" t="s">
        <v>299</v>
      </c>
      <c r="C255" s="11" t="s">
        <v>298</v>
      </c>
      <c r="D255" s="38" t="n">
        <v>45803</v>
      </c>
      <c r="E255" s="38" t="n">
        <v>45863</v>
      </c>
      <c r="F255" s="37" t="n">
        <v>10260</v>
      </c>
      <c r="G255" s="37" t="n">
        <v>0</v>
      </c>
      <c r="H255" s="37" t="n">
        <v>10260</v>
      </c>
      <c r="I255" s="11" t="s">
        <v>283</v>
      </c>
      <c r="J255" s="11"/>
      <c r="K255" s="11" t="s">
        <v>4152</v>
      </c>
      <c r="L255" s="38" t="n">
        <v>45873</v>
      </c>
      <c r="M255" s="11" t="n">
        <v>10</v>
      </c>
      <c r="N255" s="11"/>
      <c r="O255" s="11"/>
    </row>
    <row r="256" customFormat="false" ht="15" hidden="false" customHeight="false" outlineLevel="0" collapsed="false">
      <c r="A256" s="11" t="s">
        <v>1937</v>
      </c>
      <c r="B256" s="11" t="s">
        <v>288</v>
      </c>
      <c r="C256" s="11" t="s">
        <v>287</v>
      </c>
      <c r="D256" s="38" t="n">
        <v>45804</v>
      </c>
      <c r="E256" s="38" t="n">
        <v>45834</v>
      </c>
      <c r="F256" s="37" t="n">
        <v>5550</v>
      </c>
      <c r="G256" s="37" t="n">
        <v>1110</v>
      </c>
      <c r="H256" s="37" t="n">
        <v>6660</v>
      </c>
      <c r="I256" s="11" t="s">
        <v>283</v>
      </c>
      <c r="J256" s="11"/>
      <c r="K256" s="11" t="s">
        <v>4152</v>
      </c>
      <c r="L256" s="38" t="n">
        <v>45842</v>
      </c>
      <c r="M256" s="11" t="n">
        <v>8</v>
      </c>
      <c r="N256" s="11"/>
      <c r="O256" s="11"/>
    </row>
    <row r="257" customFormat="false" ht="15" hidden="false" customHeight="false" outlineLevel="0" collapsed="false">
      <c r="A257" s="11" t="s">
        <v>2260</v>
      </c>
      <c r="B257" s="11" t="s">
        <v>328</v>
      </c>
      <c r="C257" s="11" t="s">
        <v>327</v>
      </c>
      <c r="D257" s="38" t="n">
        <v>45804</v>
      </c>
      <c r="E257" s="38" t="n">
        <v>45864</v>
      </c>
      <c r="F257" s="37" t="n">
        <v>49530</v>
      </c>
      <c r="G257" s="37" t="n">
        <v>9906</v>
      </c>
      <c r="H257" s="37" t="n">
        <v>59436</v>
      </c>
      <c r="I257" s="11" t="s">
        <v>283</v>
      </c>
      <c r="J257" s="11"/>
      <c r="K257" s="11" t="s">
        <v>4152</v>
      </c>
      <c r="L257" s="38" t="n">
        <v>45908</v>
      </c>
      <c r="M257" s="11" t="n">
        <v>44</v>
      </c>
      <c r="N257" s="11"/>
      <c r="O257" s="11"/>
    </row>
    <row r="258" customFormat="false" ht="15" hidden="false" customHeight="false" outlineLevel="0" collapsed="false">
      <c r="A258" s="11" t="s">
        <v>2011</v>
      </c>
      <c r="B258" s="11" t="s">
        <v>393</v>
      </c>
      <c r="C258" s="11" t="s">
        <v>392</v>
      </c>
      <c r="D258" s="38" t="n">
        <v>45804</v>
      </c>
      <c r="E258" s="38" t="n">
        <v>45854</v>
      </c>
      <c r="F258" s="37" t="n">
        <v>11860</v>
      </c>
      <c r="G258" s="37" t="n">
        <v>2372</v>
      </c>
      <c r="H258" s="37" t="n">
        <v>14232</v>
      </c>
      <c r="I258" s="11" t="s">
        <v>283</v>
      </c>
      <c r="J258" s="11"/>
      <c r="K258" s="11" t="s">
        <v>4152</v>
      </c>
      <c r="L258" s="38" t="n">
        <v>45859</v>
      </c>
      <c r="M258" s="11" t="n">
        <v>5</v>
      </c>
      <c r="N258" s="11"/>
      <c r="O258" s="11"/>
    </row>
    <row r="259" customFormat="false" ht="15" hidden="false" customHeight="false" outlineLevel="0" collapsed="false">
      <c r="A259" s="11" t="s">
        <v>2050</v>
      </c>
      <c r="B259" s="11" t="s">
        <v>299</v>
      </c>
      <c r="C259" s="11" t="s">
        <v>298</v>
      </c>
      <c r="D259" s="38" t="n">
        <v>45804</v>
      </c>
      <c r="E259" s="38" t="n">
        <v>45864</v>
      </c>
      <c r="F259" s="37" t="n">
        <v>11770</v>
      </c>
      <c r="G259" s="37" t="n">
        <v>0</v>
      </c>
      <c r="H259" s="37" t="n">
        <v>11770</v>
      </c>
      <c r="I259" s="11" t="s">
        <v>283</v>
      </c>
      <c r="J259" s="11"/>
      <c r="K259" s="11" t="s">
        <v>4152</v>
      </c>
      <c r="L259" s="38" t="n">
        <v>45866</v>
      </c>
      <c r="M259" s="11" t="n">
        <v>2</v>
      </c>
      <c r="N259" s="11"/>
      <c r="O259" s="11"/>
    </row>
    <row r="260" customFormat="false" ht="15" hidden="false" customHeight="false" outlineLevel="0" collapsed="false">
      <c r="A260" s="11" t="s">
        <v>2072</v>
      </c>
      <c r="B260" s="11" t="s">
        <v>332</v>
      </c>
      <c r="C260" s="11" t="s">
        <v>331</v>
      </c>
      <c r="D260" s="38" t="n">
        <v>45805</v>
      </c>
      <c r="E260" s="38" t="n">
        <v>45850</v>
      </c>
      <c r="F260" s="37" t="n">
        <v>11570</v>
      </c>
      <c r="G260" s="37" t="n">
        <v>2314</v>
      </c>
      <c r="H260" s="37" t="n">
        <v>13884</v>
      </c>
      <c r="I260" s="11" t="s">
        <v>283</v>
      </c>
      <c r="J260" s="11"/>
      <c r="K260" s="11" t="s">
        <v>4152</v>
      </c>
      <c r="L260" s="38" t="n">
        <v>45873</v>
      </c>
      <c r="M260" s="11" t="n">
        <v>23</v>
      </c>
      <c r="N260" s="11"/>
      <c r="O260" s="11"/>
    </row>
    <row r="261" customFormat="false" ht="15" hidden="false" customHeight="false" outlineLevel="0" collapsed="false">
      <c r="A261" s="11" t="s">
        <v>1981</v>
      </c>
      <c r="B261" s="11" t="s">
        <v>281</v>
      </c>
      <c r="C261" s="11" t="s">
        <v>280</v>
      </c>
      <c r="D261" s="38" t="n">
        <v>45805</v>
      </c>
      <c r="E261" s="38" t="n">
        <v>45850</v>
      </c>
      <c r="F261" s="37" t="n">
        <v>7020</v>
      </c>
      <c r="G261" s="37" t="n">
        <v>1404</v>
      </c>
      <c r="H261" s="37" t="n">
        <v>8424</v>
      </c>
      <c r="I261" s="11" t="s">
        <v>283</v>
      </c>
      <c r="J261" s="11"/>
      <c r="K261" s="11" t="s">
        <v>4152</v>
      </c>
      <c r="L261" s="38" t="n">
        <v>45853</v>
      </c>
      <c r="M261" s="11" t="n">
        <v>3</v>
      </c>
      <c r="N261" s="11"/>
      <c r="O261" s="11"/>
    </row>
    <row r="262" customFormat="false" ht="15" hidden="false" customHeight="false" outlineLevel="0" collapsed="false">
      <c r="A262" s="11" t="s">
        <v>1985</v>
      </c>
      <c r="B262" s="11" t="s">
        <v>281</v>
      </c>
      <c r="C262" s="11" t="s">
        <v>280</v>
      </c>
      <c r="D262" s="38" t="n">
        <v>45807</v>
      </c>
      <c r="E262" s="38" t="n">
        <v>45852</v>
      </c>
      <c r="F262" s="37" t="n">
        <v>4280</v>
      </c>
      <c r="G262" s="37" t="n">
        <v>856</v>
      </c>
      <c r="H262" s="37" t="n">
        <v>5136</v>
      </c>
      <c r="I262" s="11" t="s">
        <v>283</v>
      </c>
      <c r="J262" s="11"/>
      <c r="K262" s="11" t="s">
        <v>4152</v>
      </c>
      <c r="L262" s="38" t="n">
        <v>45853</v>
      </c>
      <c r="M262" s="11" t="n">
        <v>1</v>
      </c>
      <c r="N262" s="11"/>
      <c r="O262" s="11"/>
    </row>
    <row r="263" customFormat="false" ht="15" hidden="false" customHeight="false" outlineLevel="0" collapsed="false">
      <c r="A263" s="11" t="s">
        <v>2166</v>
      </c>
      <c r="B263" s="11" t="s">
        <v>328</v>
      </c>
      <c r="C263" s="11" t="s">
        <v>327</v>
      </c>
      <c r="D263" s="38" t="n">
        <v>45807</v>
      </c>
      <c r="E263" s="38" t="n">
        <v>45867</v>
      </c>
      <c r="F263" s="37" t="n">
        <v>11040</v>
      </c>
      <c r="G263" s="37" t="n">
        <v>2208</v>
      </c>
      <c r="H263" s="37" t="n">
        <v>13248</v>
      </c>
      <c r="I263" s="11" t="s">
        <v>283</v>
      </c>
      <c r="J263" s="11"/>
      <c r="K263" s="11" t="s">
        <v>4152</v>
      </c>
      <c r="L263" s="38" t="n">
        <v>45890</v>
      </c>
      <c r="M263" s="11" t="n">
        <v>23</v>
      </c>
      <c r="N263" s="11"/>
      <c r="O263" s="11"/>
    </row>
    <row r="264" customFormat="false" ht="15" hidden="false" customHeight="false" outlineLevel="0" collapsed="false">
      <c r="A264" s="11" t="s">
        <v>1987</v>
      </c>
      <c r="B264" s="11" t="s">
        <v>336</v>
      </c>
      <c r="C264" s="11" t="s">
        <v>335</v>
      </c>
      <c r="D264" s="38" t="n">
        <v>45807</v>
      </c>
      <c r="E264" s="38" t="n">
        <v>45852</v>
      </c>
      <c r="F264" s="37" t="n">
        <v>4330</v>
      </c>
      <c r="G264" s="37" t="n">
        <v>866</v>
      </c>
      <c r="H264" s="37" t="n">
        <v>5196</v>
      </c>
      <c r="I264" s="11" t="s">
        <v>283</v>
      </c>
      <c r="J264" s="11"/>
      <c r="K264" s="11" t="s">
        <v>4152</v>
      </c>
      <c r="L264" s="38" t="n">
        <v>45853</v>
      </c>
      <c r="M264" s="11" t="n">
        <v>1</v>
      </c>
      <c r="N264" s="11"/>
      <c r="O264" s="11"/>
    </row>
    <row r="265" customFormat="false" ht="15" hidden="false" customHeight="false" outlineLevel="0" collapsed="false">
      <c r="A265" s="11" t="s">
        <v>2000</v>
      </c>
      <c r="B265" s="11" t="s">
        <v>281</v>
      </c>
      <c r="C265" s="11" t="s">
        <v>280</v>
      </c>
      <c r="D265" s="38" t="n">
        <v>45807</v>
      </c>
      <c r="E265" s="38" t="n">
        <v>45852</v>
      </c>
      <c r="F265" s="37" t="n">
        <v>6650</v>
      </c>
      <c r="G265" s="37" t="n">
        <v>1330</v>
      </c>
      <c r="H265" s="37" t="n">
        <v>7980</v>
      </c>
      <c r="I265" s="11" t="s">
        <v>283</v>
      </c>
      <c r="J265" s="11"/>
      <c r="K265" s="11" t="s">
        <v>4152</v>
      </c>
      <c r="L265" s="38" t="n">
        <v>45853</v>
      </c>
      <c r="M265" s="11" t="n">
        <v>1</v>
      </c>
      <c r="N265" s="11"/>
      <c r="O265" s="11"/>
    </row>
    <row r="266" customFormat="false" ht="15" hidden="false" customHeight="false" outlineLevel="0" collapsed="false">
      <c r="A266" s="11" t="s">
        <v>2044</v>
      </c>
      <c r="B266" s="11" t="s">
        <v>324</v>
      </c>
      <c r="C266" s="11" t="s">
        <v>323</v>
      </c>
      <c r="D266" s="38" t="n">
        <v>45810</v>
      </c>
      <c r="E266" s="38" t="n">
        <v>45840</v>
      </c>
      <c r="F266" s="37" t="n">
        <v>3900</v>
      </c>
      <c r="G266" s="37" t="n">
        <v>780</v>
      </c>
      <c r="H266" s="37" t="n">
        <v>4680</v>
      </c>
      <c r="I266" s="11" t="s">
        <v>283</v>
      </c>
      <c r="J266" s="11"/>
      <c r="K266" s="11" t="s">
        <v>4152</v>
      </c>
      <c r="L266" s="38" t="n">
        <v>45866</v>
      </c>
      <c r="M266" s="11" t="n">
        <v>26</v>
      </c>
      <c r="N266" s="11"/>
      <c r="O266" s="11"/>
    </row>
    <row r="267" customFormat="false" ht="15" hidden="false" customHeight="false" outlineLevel="0" collapsed="false">
      <c r="A267" s="11" t="s">
        <v>2027</v>
      </c>
      <c r="B267" s="11" t="s">
        <v>336</v>
      </c>
      <c r="C267" s="11" t="s">
        <v>335</v>
      </c>
      <c r="D267" s="38" t="n">
        <v>45811</v>
      </c>
      <c r="E267" s="38" t="n">
        <v>45856</v>
      </c>
      <c r="F267" s="37" t="n">
        <v>7770</v>
      </c>
      <c r="G267" s="37" t="n">
        <v>1554</v>
      </c>
      <c r="H267" s="37" t="n">
        <v>9324</v>
      </c>
      <c r="I267" s="11" t="s">
        <v>283</v>
      </c>
      <c r="J267" s="11"/>
      <c r="K267" s="11" t="s">
        <v>4152</v>
      </c>
      <c r="L267" s="38" t="n">
        <v>45861</v>
      </c>
      <c r="M267" s="11" t="n">
        <v>5</v>
      </c>
      <c r="N267" s="11"/>
      <c r="O267" s="11"/>
    </row>
    <row r="268" customFormat="false" ht="15" hidden="false" customHeight="false" outlineLevel="0" collapsed="false">
      <c r="A268" s="11" t="s">
        <v>2042</v>
      </c>
      <c r="B268" s="11" t="s">
        <v>336</v>
      </c>
      <c r="C268" s="11" t="s">
        <v>335</v>
      </c>
      <c r="D268" s="38" t="n">
        <v>45811</v>
      </c>
      <c r="E268" s="38" t="n">
        <v>45856</v>
      </c>
      <c r="F268" s="37" t="n">
        <v>6800</v>
      </c>
      <c r="G268" s="37" t="n">
        <v>1360</v>
      </c>
      <c r="H268" s="37" t="n">
        <v>8160</v>
      </c>
      <c r="I268" s="11" t="s">
        <v>283</v>
      </c>
      <c r="J268" s="11"/>
      <c r="K268" s="11" t="s">
        <v>4152</v>
      </c>
      <c r="L268" s="38" t="n">
        <v>45866</v>
      </c>
      <c r="M268" s="11" t="n">
        <v>10</v>
      </c>
      <c r="N268" s="11"/>
      <c r="O268" s="11"/>
    </row>
    <row r="269" customFormat="false" ht="15" hidden="false" customHeight="false" outlineLevel="0" collapsed="false">
      <c r="A269" s="11" t="s">
        <v>2019</v>
      </c>
      <c r="B269" s="11" t="s">
        <v>336</v>
      </c>
      <c r="C269" s="11" t="s">
        <v>335</v>
      </c>
      <c r="D269" s="38" t="n">
        <v>45811</v>
      </c>
      <c r="E269" s="38" t="n">
        <v>45856</v>
      </c>
      <c r="F269" s="37" t="n">
        <v>4620</v>
      </c>
      <c r="G269" s="37" t="n">
        <v>924</v>
      </c>
      <c r="H269" s="37" t="n">
        <v>5544</v>
      </c>
      <c r="I269" s="11" t="s">
        <v>283</v>
      </c>
      <c r="J269" s="11"/>
      <c r="K269" s="11" t="s">
        <v>4152</v>
      </c>
      <c r="L269" s="38" t="n">
        <v>45859</v>
      </c>
      <c r="M269" s="11" t="n">
        <v>3</v>
      </c>
      <c r="N269" s="11"/>
      <c r="O269" s="11"/>
    </row>
    <row r="270" customFormat="false" ht="15" hidden="false" customHeight="false" outlineLevel="0" collapsed="false">
      <c r="A270" s="11" t="s">
        <v>2025</v>
      </c>
      <c r="B270" s="11" t="s">
        <v>324</v>
      </c>
      <c r="C270" s="11" t="s">
        <v>323</v>
      </c>
      <c r="D270" s="38" t="n">
        <v>45812</v>
      </c>
      <c r="E270" s="38" t="n">
        <v>45842</v>
      </c>
      <c r="F270" s="37" t="n">
        <v>4440</v>
      </c>
      <c r="G270" s="37" t="n">
        <v>888</v>
      </c>
      <c r="H270" s="37" t="n">
        <v>5328</v>
      </c>
      <c r="I270" s="11" t="s">
        <v>283</v>
      </c>
      <c r="J270" s="11"/>
      <c r="K270" s="11" t="s">
        <v>4152</v>
      </c>
      <c r="L270" s="38" t="n">
        <v>45859</v>
      </c>
      <c r="M270" s="11" t="n">
        <v>17</v>
      </c>
      <c r="N270" s="11"/>
      <c r="O270" s="11"/>
    </row>
    <row r="271" customFormat="false" ht="15" hidden="false" customHeight="false" outlineLevel="0" collapsed="false">
      <c r="A271" s="11" t="s">
        <v>2023</v>
      </c>
      <c r="B271" s="11" t="s">
        <v>336</v>
      </c>
      <c r="C271" s="11" t="s">
        <v>335</v>
      </c>
      <c r="D271" s="38" t="n">
        <v>45813</v>
      </c>
      <c r="E271" s="38" t="n">
        <v>45858</v>
      </c>
      <c r="F271" s="37" t="n">
        <v>6700</v>
      </c>
      <c r="G271" s="37" t="n">
        <v>1340</v>
      </c>
      <c r="H271" s="37" t="n">
        <v>8040</v>
      </c>
      <c r="I271" s="11" t="s">
        <v>283</v>
      </c>
      <c r="J271" s="11"/>
      <c r="K271" s="11" t="s">
        <v>4152</v>
      </c>
      <c r="L271" s="38" t="n">
        <v>45859</v>
      </c>
      <c r="M271" s="11" t="n">
        <v>1</v>
      </c>
      <c r="N271" s="11"/>
      <c r="O271" s="11"/>
    </row>
    <row r="272" customFormat="false" ht="15" hidden="false" customHeight="false" outlineLevel="0" collapsed="false">
      <c r="A272" s="11" t="s">
        <v>2111</v>
      </c>
      <c r="B272" s="11" t="s">
        <v>328</v>
      </c>
      <c r="C272" s="11" t="s">
        <v>327</v>
      </c>
      <c r="D272" s="38" t="n">
        <v>45813</v>
      </c>
      <c r="E272" s="38" t="n">
        <v>45873</v>
      </c>
      <c r="F272" s="37" t="n">
        <v>27900</v>
      </c>
      <c r="G272" s="37" t="n">
        <v>5580</v>
      </c>
      <c r="H272" s="37" t="n">
        <v>33480</v>
      </c>
      <c r="I272" s="11" t="s">
        <v>283</v>
      </c>
      <c r="J272" s="11"/>
      <c r="K272" s="11" t="s">
        <v>4152</v>
      </c>
      <c r="L272" s="38" t="n">
        <v>45880</v>
      </c>
      <c r="M272" s="11" t="n">
        <v>7</v>
      </c>
      <c r="N272" s="11"/>
      <c r="O272" s="11"/>
    </row>
    <row r="273" customFormat="false" ht="15" hidden="false" customHeight="false" outlineLevel="0" collapsed="false">
      <c r="A273" s="11" t="s">
        <v>2149</v>
      </c>
      <c r="B273" s="11" t="s">
        <v>299</v>
      </c>
      <c r="C273" s="11" t="s">
        <v>298</v>
      </c>
      <c r="D273" s="38" t="n">
        <v>45814</v>
      </c>
      <c r="E273" s="38" t="n">
        <v>45874</v>
      </c>
      <c r="F273" s="37" t="n">
        <v>8610</v>
      </c>
      <c r="G273" s="37" t="n">
        <v>0</v>
      </c>
      <c r="H273" s="37" t="n">
        <v>8610</v>
      </c>
      <c r="I273" s="11" t="s">
        <v>283</v>
      </c>
      <c r="J273" s="11"/>
      <c r="K273" s="11" t="s">
        <v>4152</v>
      </c>
      <c r="L273" s="38" t="n">
        <v>45887</v>
      </c>
      <c r="M273" s="11" t="n">
        <v>13</v>
      </c>
      <c r="N273" s="11"/>
      <c r="O273" s="11"/>
    </row>
    <row r="274" customFormat="false" ht="15" hidden="false" customHeight="false" outlineLevel="0" collapsed="false">
      <c r="A274" s="11" t="s">
        <v>1945</v>
      </c>
      <c r="B274" s="11" t="s">
        <v>288</v>
      </c>
      <c r="C274" s="11" t="s">
        <v>287</v>
      </c>
      <c r="D274" s="38" t="n">
        <v>45814</v>
      </c>
      <c r="E274" s="38" t="n">
        <v>45844</v>
      </c>
      <c r="F274" s="37" t="n">
        <v>3890</v>
      </c>
      <c r="G274" s="37" t="n">
        <v>778</v>
      </c>
      <c r="H274" s="37" t="n">
        <v>4668</v>
      </c>
      <c r="I274" s="11" t="s">
        <v>283</v>
      </c>
      <c r="J274" s="11"/>
      <c r="K274" s="11" t="s">
        <v>4152</v>
      </c>
      <c r="L274" s="38" t="n">
        <v>45845</v>
      </c>
      <c r="M274" s="11" t="n">
        <v>1</v>
      </c>
      <c r="N274" s="11"/>
      <c r="O274" s="11"/>
    </row>
    <row r="275" customFormat="false" ht="15" hidden="false" customHeight="false" outlineLevel="0" collapsed="false">
      <c r="A275" s="11" t="s">
        <v>1996</v>
      </c>
      <c r="B275" s="11" t="s">
        <v>400</v>
      </c>
      <c r="C275" s="11" t="s">
        <v>399</v>
      </c>
      <c r="D275" s="38" t="n">
        <v>45814</v>
      </c>
      <c r="E275" s="38" t="n">
        <v>45844</v>
      </c>
      <c r="F275" s="37" t="n">
        <v>10410</v>
      </c>
      <c r="G275" s="37" t="n">
        <v>2082</v>
      </c>
      <c r="H275" s="37" t="n">
        <v>12492</v>
      </c>
      <c r="I275" s="11" t="s">
        <v>283</v>
      </c>
      <c r="J275" s="11"/>
      <c r="K275" s="11" t="s">
        <v>4152</v>
      </c>
      <c r="L275" s="38" t="n">
        <v>45853</v>
      </c>
      <c r="M275" s="11" t="n">
        <v>9</v>
      </c>
      <c r="N275" s="11"/>
      <c r="O275" s="11"/>
    </row>
    <row r="276" customFormat="false" ht="15" hidden="false" customHeight="false" outlineLevel="0" collapsed="false">
      <c r="A276" s="11" t="s">
        <v>2009</v>
      </c>
      <c r="B276" s="11" t="s">
        <v>400</v>
      </c>
      <c r="C276" s="11" t="s">
        <v>399</v>
      </c>
      <c r="D276" s="38" t="n">
        <v>45814</v>
      </c>
      <c r="E276" s="38" t="n">
        <v>45844</v>
      </c>
      <c r="F276" s="37" t="n">
        <v>12740</v>
      </c>
      <c r="G276" s="37" t="n">
        <v>2548</v>
      </c>
      <c r="H276" s="37" t="n">
        <v>15288</v>
      </c>
      <c r="I276" s="11" t="s">
        <v>283</v>
      </c>
      <c r="J276" s="11"/>
      <c r="K276" s="11" t="s">
        <v>4152</v>
      </c>
      <c r="L276" s="38" t="n">
        <v>45856</v>
      </c>
      <c r="M276" s="11" t="n">
        <v>12</v>
      </c>
      <c r="N276" s="11"/>
      <c r="O276" s="11"/>
    </row>
    <row r="277" customFormat="false" ht="15" hidden="false" customHeight="false" outlineLevel="0" collapsed="false">
      <c r="A277" s="11" t="s">
        <v>2176</v>
      </c>
      <c r="B277" s="11" t="s">
        <v>393</v>
      </c>
      <c r="C277" s="11" t="s">
        <v>392</v>
      </c>
      <c r="D277" s="38" t="n">
        <v>45814</v>
      </c>
      <c r="E277" s="38" t="n">
        <v>45864</v>
      </c>
      <c r="F277" s="37" t="n">
        <v>20210</v>
      </c>
      <c r="G277" s="37" t="n">
        <v>4042</v>
      </c>
      <c r="H277" s="37" t="n">
        <v>24252</v>
      </c>
      <c r="I277" s="11" t="s">
        <v>283</v>
      </c>
      <c r="J277" s="11"/>
      <c r="K277" s="11" t="s">
        <v>4152</v>
      </c>
      <c r="L277" s="38" t="n">
        <v>45891</v>
      </c>
      <c r="M277" s="11" t="n">
        <v>27</v>
      </c>
      <c r="N277" s="11"/>
      <c r="O277" s="11"/>
    </row>
    <row r="278" customFormat="false" ht="15" hidden="false" customHeight="false" outlineLevel="0" collapsed="false">
      <c r="A278" s="11" t="s">
        <v>2021</v>
      </c>
      <c r="B278" s="11" t="s">
        <v>281</v>
      </c>
      <c r="C278" s="11" t="s">
        <v>280</v>
      </c>
      <c r="D278" s="38" t="n">
        <v>45814</v>
      </c>
      <c r="E278" s="38" t="n">
        <v>45859</v>
      </c>
      <c r="F278" s="37" t="n">
        <v>3900</v>
      </c>
      <c r="G278" s="37" t="n">
        <v>780</v>
      </c>
      <c r="H278" s="37" t="n">
        <v>4680</v>
      </c>
      <c r="I278" s="11" t="s">
        <v>283</v>
      </c>
      <c r="J278" s="11"/>
      <c r="K278" s="11" t="s">
        <v>4152</v>
      </c>
      <c r="L278" s="38" t="n">
        <v>45859</v>
      </c>
      <c r="M278" s="11" t="n">
        <v>0</v>
      </c>
      <c r="N278" s="11"/>
      <c r="O278" s="11"/>
    </row>
    <row r="279" customFormat="false" ht="15" hidden="false" customHeight="false" outlineLevel="0" collapsed="false">
      <c r="A279" s="11" t="s">
        <v>2147</v>
      </c>
      <c r="B279" s="11" t="s">
        <v>350</v>
      </c>
      <c r="C279" s="11" t="s">
        <v>349</v>
      </c>
      <c r="D279" s="38" t="n">
        <v>45814</v>
      </c>
      <c r="E279" s="38" t="n">
        <v>45874</v>
      </c>
      <c r="F279" s="37" t="n">
        <v>16110</v>
      </c>
      <c r="G279" s="37" t="n">
        <v>3222</v>
      </c>
      <c r="H279" s="37" t="n">
        <v>19332</v>
      </c>
      <c r="I279" s="11" t="s">
        <v>283</v>
      </c>
      <c r="J279" s="11"/>
      <c r="K279" s="11" t="s">
        <v>4152</v>
      </c>
      <c r="L279" s="38" t="n">
        <v>45887</v>
      </c>
      <c r="M279" s="11" t="n">
        <v>13</v>
      </c>
      <c r="N279" s="11"/>
      <c r="O279" s="11"/>
    </row>
    <row r="280" customFormat="false" ht="15" hidden="false" customHeight="false" outlineLevel="0" collapsed="false">
      <c r="A280" s="11" t="s">
        <v>2220</v>
      </c>
      <c r="B280" s="11" t="s">
        <v>328</v>
      </c>
      <c r="C280" s="11" t="s">
        <v>327</v>
      </c>
      <c r="D280" s="38" t="n">
        <v>45814</v>
      </c>
      <c r="E280" s="38" t="n">
        <v>45874</v>
      </c>
      <c r="F280" s="37" t="n">
        <v>23390</v>
      </c>
      <c r="G280" s="37" t="n">
        <v>4678</v>
      </c>
      <c r="H280" s="37" t="n">
        <v>28068</v>
      </c>
      <c r="I280" s="11" t="s">
        <v>283</v>
      </c>
      <c r="J280" s="11"/>
      <c r="K280" s="11" t="s">
        <v>4152</v>
      </c>
      <c r="L280" s="38" t="n">
        <v>45901</v>
      </c>
      <c r="M280" s="11" t="n">
        <v>27</v>
      </c>
      <c r="N280" s="11"/>
      <c r="O280" s="11"/>
    </row>
    <row r="281" customFormat="false" ht="15" hidden="false" customHeight="false" outlineLevel="0" collapsed="false">
      <c r="A281" s="11" t="s">
        <v>2159</v>
      </c>
      <c r="B281" s="11" t="s">
        <v>299</v>
      </c>
      <c r="C281" s="11" t="s">
        <v>298</v>
      </c>
      <c r="D281" s="38" t="n">
        <v>45819</v>
      </c>
      <c r="E281" s="38" t="n">
        <v>45879</v>
      </c>
      <c r="F281" s="37" t="n">
        <v>9030</v>
      </c>
      <c r="G281" s="37" t="n">
        <v>0</v>
      </c>
      <c r="H281" s="37" t="n">
        <v>9030</v>
      </c>
      <c r="I281" s="11" t="s">
        <v>283</v>
      </c>
      <c r="J281" s="11"/>
      <c r="K281" s="11" t="s">
        <v>4152</v>
      </c>
      <c r="L281" s="38" t="n">
        <v>45888</v>
      </c>
      <c r="M281" s="11" t="n">
        <v>9</v>
      </c>
      <c r="N281" s="11"/>
      <c r="O281" s="11"/>
    </row>
    <row r="282" customFormat="false" ht="15" hidden="false" customHeight="false" outlineLevel="0" collapsed="false">
      <c r="A282" s="11" t="s">
        <v>2188</v>
      </c>
      <c r="B282" s="11" t="s">
        <v>332</v>
      </c>
      <c r="C282" s="11" t="s">
        <v>331</v>
      </c>
      <c r="D282" s="38" t="n">
        <v>45819</v>
      </c>
      <c r="E282" s="38" t="n">
        <v>45864</v>
      </c>
      <c r="F282" s="37" t="n">
        <v>12000</v>
      </c>
      <c r="G282" s="37" t="n">
        <v>2400</v>
      </c>
      <c r="H282" s="37" t="n">
        <v>14400</v>
      </c>
      <c r="I282" s="11" t="s">
        <v>283</v>
      </c>
      <c r="J282" s="11"/>
      <c r="K282" s="11" t="s">
        <v>4152</v>
      </c>
      <c r="L282" s="38" t="n">
        <v>45894</v>
      </c>
      <c r="M282" s="11" t="n">
        <v>30</v>
      </c>
      <c r="N282" s="11"/>
      <c r="O282" s="11"/>
    </row>
    <row r="283" customFormat="false" ht="15" hidden="false" customHeight="false" outlineLevel="0" collapsed="false">
      <c r="A283" s="11" t="s">
        <v>2119</v>
      </c>
      <c r="B283" s="11" t="s">
        <v>350</v>
      </c>
      <c r="C283" s="11" t="s">
        <v>349</v>
      </c>
      <c r="D283" s="38" t="n">
        <v>45819</v>
      </c>
      <c r="E283" s="38" t="n">
        <v>45879</v>
      </c>
      <c r="F283" s="37" t="n">
        <v>10310</v>
      </c>
      <c r="G283" s="37" t="n">
        <v>2062</v>
      </c>
      <c r="H283" s="37" t="n">
        <v>12372</v>
      </c>
      <c r="I283" s="11" t="s">
        <v>283</v>
      </c>
      <c r="J283" s="11"/>
      <c r="K283" s="11" t="s">
        <v>4152</v>
      </c>
      <c r="L283" s="38" t="n">
        <v>45880</v>
      </c>
      <c r="M283" s="11" t="n">
        <v>1</v>
      </c>
      <c r="N283" s="11"/>
      <c r="O283" s="11"/>
    </row>
    <row r="284" customFormat="false" ht="15" hidden="false" customHeight="false" outlineLevel="0" collapsed="false">
      <c r="A284" s="11" t="s">
        <v>2046</v>
      </c>
      <c r="B284" s="11" t="s">
        <v>281</v>
      </c>
      <c r="C284" s="11" t="s">
        <v>280</v>
      </c>
      <c r="D284" s="38" t="n">
        <v>45819</v>
      </c>
      <c r="E284" s="38" t="n">
        <v>45864</v>
      </c>
      <c r="F284" s="37" t="n">
        <v>3650</v>
      </c>
      <c r="G284" s="37" t="n">
        <v>730</v>
      </c>
      <c r="H284" s="37" t="n">
        <v>4380</v>
      </c>
      <c r="I284" s="11" t="s">
        <v>283</v>
      </c>
      <c r="J284" s="11"/>
      <c r="K284" s="11" t="s">
        <v>4152</v>
      </c>
      <c r="L284" s="38" t="n">
        <v>45866</v>
      </c>
      <c r="M284" s="11" t="n">
        <v>2</v>
      </c>
      <c r="N284" s="11"/>
      <c r="O284" s="11"/>
    </row>
    <row r="285" customFormat="false" ht="15" hidden="false" customHeight="false" outlineLevel="0" collapsed="false">
      <c r="A285" s="11" t="s">
        <v>2338</v>
      </c>
      <c r="B285" s="11" t="s">
        <v>328</v>
      </c>
      <c r="C285" s="11" t="s">
        <v>327</v>
      </c>
      <c r="D285" s="38" t="n">
        <v>45819</v>
      </c>
      <c r="E285" s="38" t="n">
        <v>45879</v>
      </c>
      <c r="F285" s="37" t="n">
        <v>26500</v>
      </c>
      <c r="G285" s="37" t="n">
        <v>5300</v>
      </c>
      <c r="H285" s="37" t="n">
        <v>31800</v>
      </c>
      <c r="I285" s="11" t="s">
        <v>283</v>
      </c>
      <c r="J285" s="11"/>
      <c r="K285" s="11" t="s">
        <v>4152</v>
      </c>
      <c r="L285" s="38" t="n">
        <v>45929</v>
      </c>
      <c r="M285" s="11" t="n">
        <v>50</v>
      </c>
      <c r="N285" s="11"/>
      <c r="O285" s="11"/>
    </row>
    <row r="286" customFormat="false" ht="15" hidden="false" customHeight="false" outlineLevel="0" collapsed="false">
      <c r="A286" s="11" t="s">
        <v>2054</v>
      </c>
      <c r="B286" s="11" t="s">
        <v>336</v>
      </c>
      <c r="C286" s="11" t="s">
        <v>335</v>
      </c>
      <c r="D286" s="38" t="n">
        <v>45820</v>
      </c>
      <c r="E286" s="38" t="n">
        <v>45865</v>
      </c>
      <c r="F286" s="37" t="n">
        <v>7180</v>
      </c>
      <c r="G286" s="37" t="n">
        <v>1436</v>
      </c>
      <c r="H286" s="37" t="n">
        <v>8616</v>
      </c>
      <c r="I286" s="11" t="s">
        <v>283</v>
      </c>
      <c r="J286" s="11"/>
      <c r="K286" s="11" t="s">
        <v>4152</v>
      </c>
      <c r="L286" s="38" t="n">
        <v>45868</v>
      </c>
      <c r="M286" s="11" t="n">
        <v>3</v>
      </c>
      <c r="N286" s="11"/>
      <c r="O286" s="11"/>
    </row>
    <row r="287" customFormat="false" ht="15" hidden="false" customHeight="false" outlineLevel="0" collapsed="false">
      <c r="A287" s="11" t="s">
        <v>2151</v>
      </c>
      <c r="B287" s="11" t="s">
        <v>393</v>
      </c>
      <c r="C287" s="11" t="s">
        <v>392</v>
      </c>
      <c r="D287" s="38" t="n">
        <v>45821</v>
      </c>
      <c r="E287" s="38" t="n">
        <v>45871</v>
      </c>
      <c r="F287" s="37" t="n">
        <v>4570</v>
      </c>
      <c r="G287" s="37" t="n">
        <v>914</v>
      </c>
      <c r="H287" s="37" t="n">
        <v>5484</v>
      </c>
      <c r="I287" s="11" t="s">
        <v>283</v>
      </c>
      <c r="J287" s="11"/>
      <c r="K287" s="11" t="s">
        <v>4152</v>
      </c>
      <c r="L287" s="38" t="n">
        <v>45887</v>
      </c>
      <c r="M287" s="11" t="n">
        <v>16</v>
      </c>
      <c r="N287" s="11"/>
      <c r="O287" s="11"/>
    </row>
    <row r="288" customFormat="false" ht="15" hidden="false" customHeight="false" outlineLevel="0" collapsed="false">
      <c r="A288" s="11" t="s">
        <v>2155</v>
      </c>
      <c r="B288" s="11" t="s">
        <v>299</v>
      </c>
      <c r="C288" s="11" t="s">
        <v>298</v>
      </c>
      <c r="D288" s="38" t="n">
        <v>45821</v>
      </c>
      <c r="E288" s="38" t="n">
        <v>45881</v>
      </c>
      <c r="F288" s="37" t="n">
        <v>11820</v>
      </c>
      <c r="G288" s="37" t="n">
        <v>0</v>
      </c>
      <c r="H288" s="37" t="n">
        <v>11820</v>
      </c>
      <c r="I288" s="11" t="s">
        <v>283</v>
      </c>
      <c r="J288" s="11"/>
      <c r="K288" s="11" t="s">
        <v>4152</v>
      </c>
      <c r="L288" s="38" t="n">
        <v>45887</v>
      </c>
      <c r="M288" s="11" t="n">
        <v>6</v>
      </c>
      <c r="N288" s="11"/>
      <c r="O288" s="11"/>
    </row>
    <row r="289" customFormat="false" ht="15" hidden="false" customHeight="false" outlineLevel="0" collapsed="false">
      <c r="A289" s="11" t="s">
        <v>2034</v>
      </c>
      <c r="B289" s="11" t="s">
        <v>400</v>
      </c>
      <c r="C289" s="11" t="s">
        <v>399</v>
      </c>
      <c r="D289" s="38" t="n">
        <v>45824</v>
      </c>
      <c r="E289" s="38" t="n">
        <v>45854</v>
      </c>
      <c r="F289" s="37" t="n">
        <v>7820</v>
      </c>
      <c r="G289" s="37" t="n">
        <v>1564</v>
      </c>
      <c r="H289" s="37" t="n">
        <v>9384</v>
      </c>
      <c r="I289" s="11" t="s">
        <v>283</v>
      </c>
      <c r="J289" s="11"/>
      <c r="K289" s="11" t="s">
        <v>4152</v>
      </c>
      <c r="L289" s="38" t="n">
        <v>45862</v>
      </c>
      <c r="M289" s="11" t="n">
        <v>8</v>
      </c>
      <c r="N289" s="11"/>
      <c r="O289" s="11"/>
    </row>
    <row r="290" customFormat="false" ht="15" hidden="false" customHeight="false" outlineLevel="0" collapsed="false">
      <c r="A290" s="11" t="s">
        <v>2115</v>
      </c>
      <c r="B290" s="11" t="s">
        <v>336</v>
      </c>
      <c r="C290" s="11" t="s">
        <v>335</v>
      </c>
      <c r="D290" s="38" t="n">
        <v>45824</v>
      </c>
      <c r="E290" s="38" t="n">
        <v>45869</v>
      </c>
      <c r="F290" s="37" t="n">
        <v>6740</v>
      </c>
      <c r="G290" s="37" t="n">
        <v>1348</v>
      </c>
      <c r="H290" s="37" t="n">
        <v>8088</v>
      </c>
      <c r="I290" s="11" t="s">
        <v>283</v>
      </c>
      <c r="J290" s="11"/>
      <c r="K290" s="11" t="s">
        <v>4152</v>
      </c>
      <c r="L290" s="38" t="n">
        <v>45880</v>
      </c>
      <c r="M290" s="11" t="n">
        <v>11</v>
      </c>
      <c r="N290" s="11"/>
      <c r="O290" s="11"/>
    </row>
    <row r="291" customFormat="false" ht="15" hidden="false" customHeight="false" outlineLevel="0" collapsed="false">
      <c r="A291" s="11" t="s">
        <v>2170</v>
      </c>
      <c r="B291" s="11" t="s">
        <v>332</v>
      </c>
      <c r="C291" s="11" t="s">
        <v>331</v>
      </c>
      <c r="D291" s="38" t="n">
        <v>45825</v>
      </c>
      <c r="E291" s="38" t="n">
        <v>45870</v>
      </c>
      <c r="F291" s="37" t="n">
        <v>5810</v>
      </c>
      <c r="G291" s="37" t="n">
        <v>1162</v>
      </c>
      <c r="H291" s="37" t="n">
        <v>6972</v>
      </c>
      <c r="I291" s="11" t="s">
        <v>283</v>
      </c>
      <c r="J291" s="11"/>
      <c r="K291" s="11" t="s">
        <v>4152</v>
      </c>
      <c r="L291" s="38" t="n">
        <v>45890</v>
      </c>
      <c r="M291" s="11" t="n">
        <v>20</v>
      </c>
      <c r="N291" s="11"/>
      <c r="O291" s="11"/>
    </row>
    <row r="292" customFormat="false" ht="15" hidden="false" customHeight="false" outlineLevel="0" collapsed="false">
      <c r="A292" s="11" t="s">
        <v>2068</v>
      </c>
      <c r="B292" s="11" t="s">
        <v>336</v>
      </c>
      <c r="C292" s="11" t="s">
        <v>335</v>
      </c>
      <c r="D292" s="38" t="n">
        <v>45826</v>
      </c>
      <c r="E292" s="38" t="n">
        <v>45871</v>
      </c>
      <c r="F292" s="37" t="n">
        <v>5620</v>
      </c>
      <c r="G292" s="37" t="n">
        <v>1124</v>
      </c>
      <c r="H292" s="37" t="n">
        <v>6744</v>
      </c>
      <c r="I292" s="11" t="s">
        <v>283</v>
      </c>
      <c r="J292" s="11"/>
      <c r="K292" s="11" t="s">
        <v>4152</v>
      </c>
      <c r="L292" s="38" t="n">
        <v>45870</v>
      </c>
      <c r="M292" s="11" t="n">
        <v>-1</v>
      </c>
      <c r="N292" s="11"/>
      <c r="O292" s="11"/>
    </row>
    <row r="293" customFormat="false" ht="15" hidden="false" customHeight="false" outlineLevel="0" collapsed="false">
      <c r="A293" s="11" t="s">
        <v>2178</v>
      </c>
      <c r="B293" s="11" t="s">
        <v>332</v>
      </c>
      <c r="C293" s="11" t="s">
        <v>331</v>
      </c>
      <c r="D293" s="38" t="n">
        <v>45826</v>
      </c>
      <c r="E293" s="38" t="n">
        <v>45871</v>
      </c>
      <c r="F293" s="37" t="n">
        <v>12330</v>
      </c>
      <c r="G293" s="37" t="n">
        <v>2466</v>
      </c>
      <c r="H293" s="37" t="n">
        <v>14796</v>
      </c>
      <c r="I293" s="11" t="s">
        <v>283</v>
      </c>
      <c r="J293" s="11"/>
      <c r="K293" s="11" t="s">
        <v>4152</v>
      </c>
      <c r="L293" s="38" t="n">
        <v>45894</v>
      </c>
      <c r="M293" s="11" t="n">
        <v>23</v>
      </c>
      <c r="N293" s="11"/>
      <c r="O293" s="11"/>
    </row>
    <row r="294" customFormat="false" ht="15" hidden="false" customHeight="false" outlineLevel="0" collapsed="false">
      <c r="A294" s="11" t="s">
        <v>2015</v>
      </c>
      <c r="B294" s="11" t="s">
        <v>288</v>
      </c>
      <c r="C294" s="11" t="s">
        <v>287</v>
      </c>
      <c r="D294" s="38" t="n">
        <v>45827</v>
      </c>
      <c r="E294" s="38" t="n">
        <v>45857</v>
      </c>
      <c r="F294" s="37" t="n">
        <v>2940</v>
      </c>
      <c r="G294" s="37" t="n">
        <v>588</v>
      </c>
      <c r="H294" s="37" t="n">
        <v>3528</v>
      </c>
      <c r="I294" s="11" t="s">
        <v>283</v>
      </c>
      <c r="J294" s="11"/>
      <c r="K294" s="11" t="s">
        <v>4152</v>
      </c>
      <c r="L294" s="38" t="n">
        <v>45859</v>
      </c>
      <c r="M294" s="11" t="n">
        <v>2</v>
      </c>
      <c r="N294" s="11"/>
      <c r="O294" s="11"/>
    </row>
    <row r="295" customFormat="false" ht="15" hidden="false" customHeight="false" outlineLevel="0" collapsed="false">
      <c r="A295" s="11" t="s">
        <v>2274</v>
      </c>
      <c r="B295" s="11" t="s">
        <v>328</v>
      </c>
      <c r="C295" s="11" t="s">
        <v>327</v>
      </c>
      <c r="D295" s="38" t="n">
        <v>45827</v>
      </c>
      <c r="E295" s="38" t="n">
        <v>45887</v>
      </c>
      <c r="F295" s="37" t="n">
        <v>12180</v>
      </c>
      <c r="G295" s="37" t="n">
        <v>2436</v>
      </c>
      <c r="H295" s="37" t="n">
        <v>14616</v>
      </c>
      <c r="I295" s="11" t="s">
        <v>283</v>
      </c>
      <c r="J295" s="11"/>
      <c r="K295" s="11" t="s">
        <v>4152</v>
      </c>
      <c r="L295" s="38" t="n">
        <v>45911</v>
      </c>
      <c r="M295" s="11" t="n">
        <v>24</v>
      </c>
      <c r="N295" s="11"/>
      <c r="O295" s="11"/>
    </row>
    <row r="296" customFormat="false" ht="15" hidden="false" customHeight="false" outlineLevel="0" collapsed="false">
      <c r="A296" s="11" t="s">
        <v>2203</v>
      </c>
      <c r="B296" s="11" t="s">
        <v>328</v>
      </c>
      <c r="C296" s="11" t="s">
        <v>327</v>
      </c>
      <c r="D296" s="38" t="n">
        <v>45827</v>
      </c>
      <c r="E296" s="38" t="n">
        <v>45887</v>
      </c>
      <c r="F296" s="37" t="n">
        <v>15340</v>
      </c>
      <c r="G296" s="37" t="n">
        <v>3068</v>
      </c>
      <c r="H296" s="37" t="n">
        <v>18408</v>
      </c>
      <c r="I296" s="11" t="s">
        <v>283</v>
      </c>
      <c r="J296" s="11"/>
      <c r="K296" s="11" t="s">
        <v>4152</v>
      </c>
      <c r="L296" s="38" t="n">
        <v>45896</v>
      </c>
      <c r="M296" s="11" t="n">
        <v>9</v>
      </c>
      <c r="N296" s="11"/>
      <c r="O296" s="11"/>
    </row>
    <row r="297" customFormat="false" ht="15" hidden="false" customHeight="false" outlineLevel="0" collapsed="false">
      <c r="A297" s="11" t="s">
        <v>1993</v>
      </c>
      <c r="B297" s="11" t="s">
        <v>288</v>
      </c>
      <c r="C297" s="11" t="s">
        <v>287</v>
      </c>
      <c r="D297" s="38" t="n">
        <v>45828</v>
      </c>
      <c r="E297" s="38" t="n">
        <v>45858</v>
      </c>
      <c r="F297" s="37" t="n">
        <v>3480</v>
      </c>
      <c r="G297" s="37" t="n">
        <v>696</v>
      </c>
      <c r="H297" s="37" t="n">
        <v>4176</v>
      </c>
      <c r="I297" s="11" t="s">
        <v>283</v>
      </c>
      <c r="J297" s="11"/>
      <c r="K297" s="11" t="s">
        <v>4152</v>
      </c>
      <c r="L297" s="38" t="n">
        <v>45853</v>
      </c>
      <c r="M297" s="11" t="n">
        <v>-5</v>
      </c>
      <c r="N297" s="11"/>
      <c r="O297" s="11"/>
    </row>
    <row r="298" customFormat="false" ht="15" hidden="false" customHeight="false" outlineLevel="0" collapsed="false">
      <c r="A298" s="11" t="s">
        <v>2194</v>
      </c>
      <c r="B298" s="11" t="s">
        <v>299</v>
      </c>
      <c r="C298" s="11" t="s">
        <v>298</v>
      </c>
      <c r="D298" s="38" t="n">
        <v>45828</v>
      </c>
      <c r="E298" s="38" t="n">
        <v>45888</v>
      </c>
      <c r="F298" s="37" t="n">
        <v>7710</v>
      </c>
      <c r="G298" s="37" t="n">
        <v>0</v>
      </c>
      <c r="H298" s="37" t="n">
        <v>7710</v>
      </c>
      <c r="I298" s="11" t="s">
        <v>283</v>
      </c>
      <c r="J298" s="11"/>
      <c r="K298" s="11" t="s">
        <v>4152</v>
      </c>
      <c r="L298" s="38" t="n">
        <v>45894</v>
      </c>
      <c r="M298" s="11" t="n">
        <v>6</v>
      </c>
      <c r="N298" s="11"/>
      <c r="O298" s="11"/>
    </row>
    <row r="299" customFormat="false" ht="15" hidden="false" customHeight="false" outlineLevel="0" collapsed="false">
      <c r="A299" s="11" t="s">
        <v>2013</v>
      </c>
      <c r="B299" s="11" t="s">
        <v>288</v>
      </c>
      <c r="C299" s="11" t="s">
        <v>287</v>
      </c>
      <c r="D299" s="38" t="n">
        <v>45828</v>
      </c>
      <c r="E299" s="38" t="n">
        <v>45858</v>
      </c>
      <c r="F299" s="37" t="n">
        <v>2990</v>
      </c>
      <c r="G299" s="37" t="n">
        <v>598</v>
      </c>
      <c r="H299" s="37" t="n">
        <v>3588</v>
      </c>
      <c r="I299" s="11" t="s">
        <v>283</v>
      </c>
      <c r="J299" s="11"/>
      <c r="K299" s="11" t="s">
        <v>4152</v>
      </c>
      <c r="L299" s="38" t="n">
        <v>45859</v>
      </c>
      <c r="M299" s="11" t="n">
        <v>1</v>
      </c>
      <c r="N299" s="11"/>
      <c r="O299" s="11"/>
    </row>
    <row r="300" customFormat="false" ht="15" hidden="false" customHeight="false" outlineLevel="0" collapsed="false">
      <c r="A300" s="11" t="s">
        <v>2074</v>
      </c>
      <c r="B300" s="11" t="s">
        <v>281</v>
      </c>
      <c r="C300" s="11" t="s">
        <v>280</v>
      </c>
      <c r="D300" s="38" t="n">
        <v>45828</v>
      </c>
      <c r="E300" s="38" t="n">
        <v>45873</v>
      </c>
      <c r="F300" s="37" t="n">
        <v>7150</v>
      </c>
      <c r="G300" s="37" t="n">
        <v>1430</v>
      </c>
      <c r="H300" s="37" t="n">
        <v>8580</v>
      </c>
      <c r="I300" s="11" t="s">
        <v>283</v>
      </c>
      <c r="J300" s="11"/>
      <c r="K300" s="11" t="s">
        <v>4152</v>
      </c>
      <c r="L300" s="38" t="n">
        <v>45873</v>
      </c>
      <c r="M300" s="11" t="n">
        <v>0</v>
      </c>
      <c r="N300" s="11"/>
      <c r="O300" s="11"/>
    </row>
    <row r="301" customFormat="false" ht="15" hidden="false" customHeight="false" outlineLevel="0" collapsed="false">
      <c r="A301" s="11" t="s">
        <v>2128</v>
      </c>
      <c r="B301" s="11" t="s">
        <v>336</v>
      </c>
      <c r="C301" s="11" t="s">
        <v>335</v>
      </c>
      <c r="D301" s="38" t="n">
        <v>45828</v>
      </c>
      <c r="E301" s="38" t="n">
        <v>45873</v>
      </c>
      <c r="F301" s="37" t="n">
        <v>6440</v>
      </c>
      <c r="G301" s="37" t="n">
        <v>1288</v>
      </c>
      <c r="H301" s="37" t="n">
        <v>7728</v>
      </c>
      <c r="I301" s="11" t="s">
        <v>283</v>
      </c>
      <c r="J301" s="11"/>
      <c r="K301" s="11" t="s">
        <v>4152</v>
      </c>
      <c r="L301" s="38" t="n">
        <v>45882</v>
      </c>
      <c r="M301" s="11" t="n">
        <v>9</v>
      </c>
      <c r="N301" s="11"/>
      <c r="O301" s="11"/>
    </row>
    <row r="302" customFormat="false" ht="15" hidden="false" customHeight="false" outlineLevel="0" collapsed="false">
      <c r="A302" s="11" t="s">
        <v>2080</v>
      </c>
      <c r="B302" s="11" t="s">
        <v>281</v>
      </c>
      <c r="C302" s="11" t="s">
        <v>280</v>
      </c>
      <c r="D302" s="38" t="n">
        <v>45828</v>
      </c>
      <c r="E302" s="38" t="n">
        <v>45873</v>
      </c>
      <c r="F302" s="37" t="n">
        <v>10640</v>
      </c>
      <c r="G302" s="37" t="n">
        <v>2128</v>
      </c>
      <c r="H302" s="37" t="n">
        <v>12768</v>
      </c>
      <c r="I302" s="11" t="s">
        <v>283</v>
      </c>
      <c r="J302" s="11"/>
      <c r="K302" s="11" t="s">
        <v>4152</v>
      </c>
      <c r="L302" s="38" t="n">
        <v>45873</v>
      </c>
      <c r="M302" s="11" t="n">
        <v>0</v>
      </c>
      <c r="N302" s="11"/>
      <c r="O302" s="11"/>
    </row>
    <row r="303" customFormat="false" ht="15" hidden="false" customHeight="false" outlineLevel="0" collapsed="false">
      <c r="A303" s="11" t="s">
        <v>2070</v>
      </c>
      <c r="B303" s="11" t="s">
        <v>281</v>
      </c>
      <c r="C303" s="11" t="s">
        <v>280</v>
      </c>
      <c r="D303" s="38" t="n">
        <v>45828</v>
      </c>
      <c r="E303" s="38" t="n">
        <v>45873</v>
      </c>
      <c r="F303" s="37" t="n">
        <v>4750</v>
      </c>
      <c r="G303" s="37" t="n">
        <v>950</v>
      </c>
      <c r="H303" s="37" t="n">
        <v>5700</v>
      </c>
      <c r="I303" s="11" t="s">
        <v>283</v>
      </c>
      <c r="J303" s="11"/>
      <c r="K303" s="11" t="s">
        <v>4152</v>
      </c>
      <c r="L303" s="38" t="n">
        <v>45873</v>
      </c>
      <c r="M303" s="11" t="n">
        <v>0</v>
      </c>
      <c r="N303" s="11"/>
      <c r="O303" s="11"/>
    </row>
    <row r="304" customFormat="false" ht="15" hidden="false" customHeight="false" outlineLevel="0" collapsed="false">
      <c r="A304" s="11" t="s">
        <v>2262</v>
      </c>
      <c r="B304" s="11" t="s">
        <v>350</v>
      </c>
      <c r="C304" s="11" t="s">
        <v>349</v>
      </c>
      <c r="D304" s="38" t="n">
        <v>45828</v>
      </c>
      <c r="E304" s="38" t="n">
        <v>45888</v>
      </c>
      <c r="F304" s="37" t="n">
        <v>10820</v>
      </c>
      <c r="G304" s="37" t="n">
        <v>2164</v>
      </c>
      <c r="H304" s="37" t="n">
        <v>12984</v>
      </c>
      <c r="I304" s="11" t="s">
        <v>283</v>
      </c>
      <c r="J304" s="11"/>
      <c r="K304" s="11" t="s">
        <v>4152</v>
      </c>
      <c r="L304" s="38" t="n">
        <v>45908</v>
      </c>
      <c r="M304" s="11" t="n">
        <v>20</v>
      </c>
      <c r="N304" s="11"/>
      <c r="O304" s="11"/>
    </row>
    <row r="305" customFormat="false" ht="15" hidden="false" customHeight="false" outlineLevel="0" collapsed="false">
      <c r="A305" s="11" t="s">
        <v>2228</v>
      </c>
      <c r="B305" s="11" t="s">
        <v>350</v>
      </c>
      <c r="C305" s="11" t="s">
        <v>349</v>
      </c>
      <c r="D305" s="38" t="n">
        <v>45828</v>
      </c>
      <c r="E305" s="38" t="n">
        <v>45888</v>
      </c>
      <c r="F305" s="37" t="n">
        <v>6480</v>
      </c>
      <c r="G305" s="37" t="n">
        <v>1296</v>
      </c>
      <c r="H305" s="37" t="n">
        <v>7776</v>
      </c>
      <c r="I305" s="11" t="s">
        <v>283</v>
      </c>
      <c r="J305" s="11"/>
      <c r="K305" s="11" t="s">
        <v>4152</v>
      </c>
      <c r="L305" s="38" t="n">
        <v>45901</v>
      </c>
      <c r="M305" s="11" t="n">
        <v>13</v>
      </c>
      <c r="N305" s="11"/>
      <c r="O305" s="11"/>
    </row>
    <row r="306" customFormat="false" ht="15" hidden="false" customHeight="false" outlineLevel="0" collapsed="false">
      <c r="A306" s="11" t="s">
        <v>2083</v>
      </c>
      <c r="B306" s="11" t="s">
        <v>281</v>
      </c>
      <c r="C306" s="11" t="s">
        <v>280</v>
      </c>
      <c r="D306" s="38" t="n">
        <v>45828</v>
      </c>
      <c r="E306" s="38" t="n">
        <v>45873</v>
      </c>
      <c r="F306" s="37" t="n">
        <v>14800</v>
      </c>
      <c r="G306" s="37" t="n">
        <v>2960</v>
      </c>
      <c r="H306" s="37" t="n">
        <v>17760</v>
      </c>
      <c r="I306" s="11" t="s">
        <v>283</v>
      </c>
      <c r="J306" s="11"/>
      <c r="K306" s="11" t="s">
        <v>4152</v>
      </c>
      <c r="L306" s="38" t="n">
        <v>45873</v>
      </c>
      <c r="M306" s="11" t="n">
        <v>0</v>
      </c>
      <c r="N306" s="11"/>
      <c r="O306" s="11"/>
    </row>
    <row r="307" customFormat="false" ht="15" hidden="false" customHeight="false" outlineLevel="0" collapsed="false">
      <c r="A307" s="11" t="s">
        <v>2085</v>
      </c>
      <c r="B307" s="11" t="s">
        <v>281</v>
      </c>
      <c r="C307" s="11" t="s">
        <v>280</v>
      </c>
      <c r="D307" s="38" t="n">
        <v>45828</v>
      </c>
      <c r="E307" s="38" t="n">
        <v>45873</v>
      </c>
      <c r="F307" s="37" t="n">
        <v>7050</v>
      </c>
      <c r="G307" s="37" t="n">
        <v>1410</v>
      </c>
      <c r="H307" s="37" t="n">
        <v>8460</v>
      </c>
      <c r="I307" s="11" t="s">
        <v>283</v>
      </c>
      <c r="J307" s="11"/>
      <c r="K307" s="11" t="s">
        <v>4152</v>
      </c>
      <c r="L307" s="38" t="n">
        <v>45873</v>
      </c>
      <c r="M307" s="11" t="n">
        <v>0</v>
      </c>
      <c r="N307" s="11"/>
      <c r="O307" s="11"/>
    </row>
    <row r="308" customFormat="false" ht="15" hidden="false" customHeight="false" outlineLevel="0" collapsed="false">
      <c r="A308" s="11" t="s">
        <v>2198</v>
      </c>
      <c r="B308" s="11" t="s">
        <v>332</v>
      </c>
      <c r="C308" s="11" t="s">
        <v>331</v>
      </c>
      <c r="D308" s="38" t="n">
        <v>45828</v>
      </c>
      <c r="E308" s="38" t="n">
        <v>45873</v>
      </c>
      <c r="F308" s="37" t="n">
        <v>4430</v>
      </c>
      <c r="G308" s="37" t="n">
        <v>886</v>
      </c>
      <c r="H308" s="37" t="n">
        <v>5316</v>
      </c>
      <c r="I308" s="11" t="s">
        <v>283</v>
      </c>
      <c r="J308" s="11"/>
      <c r="K308" s="11" t="s">
        <v>4152</v>
      </c>
      <c r="L308" s="38" t="n">
        <v>45896</v>
      </c>
      <c r="M308" s="11" t="n">
        <v>23</v>
      </c>
      <c r="N308" s="11"/>
      <c r="O308" s="11"/>
    </row>
    <row r="309" customFormat="false" ht="15" hidden="false" customHeight="false" outlineLevel="0" collapsed="false">
      <c r="A309" s="11" t="s">
        <v>2048</v>
      </c>
      <c r="B309" s="11" t="s">
        <v>288</v>
      </c>
      <c r="C309" s="11" t="s">
        <v>287</v>
      </c>
      <c r="D309" s="38" t="n">
        <v>45831</v>
      </c>
      <c r="E309" s="38" t="n">
        <v>45861</v>
      </c>
      <c r="F309" s="37" t="n">
        <v>4360</v>
      </c>
      <c r="G309" s="37" t="n">
        <v>872</v>
      </c>
      <c r="H309" s="37" t="n">
        <v>5232</v>
      </c>
      <c r="I309" s="11" t="s">
        <v>283</v>
      </c>
      <c r="J309" s="11"/>
      <c r="K309" s="11" t="s">
        <v>4152</v>
      </c>
      <c r="L309" s="38" t="n">
        <v>45866</v>
      </c>
      <c r="M309" s="11" t="n">
        <v>5</v>
      </c>
      <c r="N309" s="11"/>
      <c r="O309" s="11"/>
    </row>
    <row r="310" customFormat="false" ht="15" hidden="false" customHeight="false" outlineLevel="0" collapsed="false">
      <c r="A310" s="11" t="s">
        <v>2108</v>
      </c>
      <c r="B310" s="11" t="s">
        <v>281</v>
      </c>
      <c r="C310" s="11" t="s">
        <v>280</v>
      </c>
      <c r="D310" s="38" t="n">
        <v>45832</v>
      </c>
      <c r="E310" s="38" t="n">
        <v>45877</v>
      </c>
      <c r="F310" s="37" t="n">
        <v>6540</v>
      </c>
      <c r="G310" s="37" t="n">
        <v>1308</v>
      </c>
      <c r="H310" s="37" t="n">
        <v>7848</v>
      </c>
      <c r="I310" s="11" t="s">
        <v>283</v>
      </c>
      <c r="J310" s="11"/>
      <c r="K310" s="11" t="s">
        <v>4152</v>
      </c>
      <c r="L310" s="38" t="n">
        <v>45877</v>
      </c>
      <c r="M310" s="11" t="n">
        <v>0</v>
      </c>
      <c r="N310" s="11"/>
      <c r="O310" s="11"/>
    </row>
    <row r="311" customFormat="false" ht="15" hidden="false" customHeight="false" outlineLevel="0" collapsed="false">
      <c r="A311" s="11" t="s">
        <v>2056</v>
      </c>
      <c r="B311" s="11" t="s">
        <v>288</v>
      </c>
      <c r="C311" s="11" t="s">
        <v>287</v>
      </c>
      <c r="D311" s="38" t="n">
        <v>45833</v>
      </c>
      <c r="E311" s="38" t="n">
        <v>45863</v>
      </c>
      <c r="F311" s="37" t="n">
        <v>3030</v>
      </c>
      <c r="G311" s="37" t="n">
        <v>606</v>
      </c>
      <c r="H311" s="37" t="n">
        <v>3636</v>
      </c>
      <c r="I311" s="11" t="s">
        <v>283</v>
      </c>
      <c r="J311" s="11"/>
      <c r="K311" s="11" t="s">
        <v>4152</v>
      </c>
      <c r="L311" s="38" t="n">
        <v>45868</v>
      </c>
      <c r="M311" s="11" t="n">
        <v>5</v>
      </c>
      <c r="N311" s="11"/>
      <c r="O311" s="11"/>
    </row>
    <row r="312" customFormat="false" ht="15" hidden="false" customHeight="false" outlineLevel="0" collapsed="false">
      <c r="A312" s="11" t="s">
        <v>2117</v>
      </c>
      <c r="B312" s="11" t="s">
        <v>281</v>
      </c>
      <c r="C312" s="11" t="s">
        <v>280</v>
      </c>
      <c r="D312" s="38" t="n">
        <v>45833</v>
      </c>
      <c r="E312" s="38" t="n">
        <v>45878</v>
      </c>
      <c r="F312" s="37" t="n">
        <v>9640</v>
      </c>
      <c r="G312" s="37" t="n">
        <v>1928</v>
      </c>
      <c r="H312" s="37" t="n">
        <v>11568</v>
      </c>
      <c r="I312" s="11" t="s">
        <v>283</v>
      </c>
      <c r="J312" s="11"/>
      <c r="K312" s="11" t="s">
        <v>4152</v>
      </c>
      <c r="L312" s="38" t="n">
        <v>45880</v>
      </c>
      <c r="M312" s="11" t="n">
        <v>2</v>
      </c>
      <c r="N312" s="11"/>
      <c r="O312" s="11"/>
    </row>
    <row r="313" customFormat="false" ht="15" hidden="false" customHeight="false" outlineLevel="0" collapsed="false">
      <c r="A313" s="11" t="s">
        <v>2174</v>
      </c>
      <c r="B313" s="11" t="s">
        <v>332</v>
      </c>
      <c r="C313" s="11" t="s">
        <v>331</v>
      </c>
      <c r="D313" s="38" t="n">
        <v>45834</v>
      </c>
      <c r="E313" s="38" t="n">
        <v>45879</v>
      </c>
      <c r="F313" s="37" t="n">
        <v>7940</v>
      </c>
      <c r="G313" s="37" t="n">
        <v>1588</v>
      </c>
      <c r="H313" s="37" t="n">
        <v>9528</v>
      </c>
      <c r="I313" s="11" t="s">
        <v>283</v>
      </c>
      <c r="J313" s="11"/>
      <c r="K313" s="11" t="s">
        <v>4152</v>
      </c>
      <c r="L313" s="38" t="n">
        <v>45891</v>
      </c>
      <c r="M313" s="11" t="n">
        <v>12</v>
      </c>
      <c r="N313" s="11"/>
      <c r="O313" s="11"/>
    </row>
    <row r="314" customFormat="false" ht="15" hidden="false" customHeight="false" outlineLevel="0" collapsed="false">
      <c r="A314" s="11" t="s">
        <v>2125</v>
      </c>
      <c r="B314" s="11" t="s">
        <v>336</v>
      </c>
      <c r="C314" s="11" t="s">
        <v>335</v>
      </c>
      <c r="D314" s="38" t="n">
        <v>45835</v>
      </c>
      <c r="E314" s="38" t="n">
        <v>45880</v>
      </c>
      <c r="F314" s="37" t="n">
        <v>3870</v>
      </c>
      <c r="G314" s="37" t="n">
        <v>774</v>
      </c>
      <c r="H314" s="37" t="n">
        <v>4644</v>
      </c>
      <c r="I314" s="11" t="s">
        <v>283</v>
      </c>
      <c r="J314" s="11"/>
      <c r="K314" s="11" t="s">
        <v>4152</v>
      </c>
      <c r="L314" s="38" t="n">
        <v>45882</v>
      </c>
      <c r="M314" s="11" t="n">
        <v>2</v>
      </c>
      <c r="N314" s="11"/>
      <c r="O314" s="11"/>
    </row>
    <row r="315" customFormat="false" ht="15" hidden="false" customHeight="false" outlineLevel="0" collapsed="false">
      <c r="A315" s="11" t="s">
        <v>2287</v>
      </c>
      <c r="B315" s="11" t="s">
        <v>350</v>
      </c>
      <c r="C315" s="11" t="s">
        <v>349</v>
      </c>
      <c r="D315" s="38" t="n">
        <v>45835</v>
      </c>
      <c r="E315" s="38" t="n">
        <v>45895</v>
      </c>
      <c r="F315" s="37" t="n">
        <v>9120</v>
      </c>
      <c r="G315" s="37" t="n">
        <v>1824</v>
      </c>
      <c r="H315" s="37" t="n">
        <v>10944</v>
      </c>
      <c r="I315" s="11" t="s">
        <v>283</v>
      </c>
      <c r="J315" s="11"/>
      <c r="K315" s="11" t="s">
        <v>4152</v>
      </c>
      <c r="L315" s="38" t="n">
        <v>45915</v>
      </c>
      <c r="M315" s="11" t="n">
        <v>20</v>
      </c>
      <c r="N315" s="11"/>
      <c r="O315" s="11"/>
    </row>
    <row r="316" customFormat="false" ht="15" hidden="false" customHeight="false" outlineLevel="0" collapsed="false">
      <c r="A316" s="11" t="s">
        <v>2264</v>
      </c>
      <c r="B316" s="11" t="s">
        <v>350</v>
      </c>
      <c r="C316" s="11" t="s">
        <v>349</v>
      </c>
      <c r="D316" s="38" t="n">
        <v>45835</v>
      </c>
      <c r="E316" s="38" t="n">
        <v>45895</v>
      </c>
      <c r="F316" s="37" t="n">
        <v>15300</v>
      </c>
      <c r="G316" s="37" t="n">
        <v>3060</v>
      </c>
      <c r="H316" s="37" t="n">
        <v>18360</v>
      </c>
      <c r="I316" s="11" t="s">
        <v>283</v>
      </c>
      <c r="J316" s="11"/>
      <c r="K316" s="11" t="s">
        <v>4152</v>
      </c>
      <c r="L316" s="38" t="n">
        <v>45908</v>
      </c>
      <c r="M316" s="11" t="n">
        <v>13</v>
      </c>
      <c r="N316" s="11"/>
      <c r="O316" s="11"/>
    </row>
    <row r="317" customFormat="false" ht="15" hidden="false" customHeight="false" outlineLevel="0" collapsed="false">
      <c r="A317" s="11" t="s">
        <v>2157</v>
      </c>
      <c r="B317" s="11" t="s">
        <v>324</v>
      </c>
      <c r="C317" s="11" t="s">
        <v>323</v>
      </c>
      <c r="D317" s="38" t="n">
        <v>45835</v>
      </c>
      <c r="E317" s="38" t="n">
        <v>45865</v>
      </c>
      <c r="F317" s="37" t="n">
        <v>6050</v>
      </c>
      <c r="G317" s="37" t="n">
        <v>1210</v>
      </c>
      <c r="H317" s="37" t="n">
        <v>7260</v>
      </c>
      <c r="I317" s="11" t="s">
        <v>283</v>
      </c>
      <c r="J317" s="11"/>
      <c r="K317" s="11" t="s">
        <v>4152</v>
      </c>
      <c r="L317" s="38" t="n">
        <v>45887</v>
      </c>
      <c r="M317" s="11" t="n">
        <v>22</v>
      </c>
      <c r="N317" s="11"/>
      <c r="O317" s="11"/>
    </row>
    <row r="318" customFormat="false" ht="15" hidden="false" customHeight="false" outlineLevel="0" collapsed="false">
      <c r="A318" s="11" t="s">
        <v>2105</v>
      </c>
      <c r="B318" s="11" t="s">
        <v>324</v>
      </c>
      <c r="C318" s="11" t="s">
        <v>323</v>
      </c>
      <c r="D318" s="38" t="n">
        <v>45835</v>
      </c>
      <c r="E318" s="38" t="n">
        <v>45865</v>
      </c>
      <c r="F318" s="37" t="n">
        <v>10380</v>
      </c>
      <c r="G318" s="37" t="n">
        <v>2076</v>
      </c>
      <c r="H318" s="37" t="n">
        <v>12456</v>
      </c>
      <c r="I318" s="11" t="s">
        <v>283</v>
      </c>
      <c r="J318" s="11"/>
      <c r="K318" s="11" t="s">
        <v>4152</v>
      </c>
      <c r="L318" s="38" t="n">
        <v>45877</v>
      </c>
      <c r="M318" s="11" t="n">
        <v>12</v>
      </c>
      <c r="N318" s="11"/>
      <c r="O318" s="11"/>
    </row>
    <row r="319" customFormat="false" ht="15" hidden="false" customHeight="false" outlineLevel="0" collapsed="false">
      <c r="A319" s="11" t="s">
        <v>2066</v>
      </c>
      <c r="B319" s="11" t="s">
        <v>288</v>
      </c>
      <c r="C319" s="11" t="s">
        <v>287</v>
      </c>
      <c r="D319" s="38" t="n">
        <v>45835</v>
      </c>
      <c r="E319" s="38" t="n">
        <v>45865</v>
      </c>
      <c r="F319" s="37" t="n">
        <v>1860</v>
      </c>
      <c r="G319" s="37" t="n">
        <v>372</v>
      </c>
      <c r="H319" s="37" t="n">
        <v>2232</v>
      </c>
      <c r="I319" s="11" t="s">
        <v>283</v>
      </c>
      <c r="J319" s="11"/>
      <c r="K319" s="11" t="s">
        <v>4152</v>
      </c>
      <c r="L319" s="38" t="n">
        <v>45870</v>
      </c>
      <c r="M319" s="11" t="n">
        <v>5</v>
      </c>
      <c r="N319" s="11"/>
      <c r="O319" s="11"/>
    </row>
    <row r="320" customFormat="false" ht="15" hidden="false" customHeight="false" outlineLevel="0" collapsed="false">
      <c r="A320" s="11" t="s">
        <v>2240</v>
      </c>
      <c r="B320" s="11" t="s">
        <v>332</v>
      </c>
      <c r="C320" s="11" t="s">
        <v>331</v>
      </c>
      <c r="D320" s="38" t="n">
        <v>45835</v>
      </c>
      <c r="E320" s="38" t="n">
        <v>45880</v>
      </c>
      <c r="F320" s="37" t="n">
        <v>7050</v>
      </c>
      <c r="G320" s="37" t="n">
        <v>1410</v>
      </c>
      <c r="H320" s="37" t="n">
        <v>8460</v>
      </c>
      <c r="I320" s="11" t="s">
        <v>283</v>
      </c>
      <c r="J320" s="11"/>
      <c r="K320" s="11" t="s">
        <v>4152</v>
      </c>
      <c r="L320" s="38" t="n">
        <v>45903</v>
      </c>
      <c r="M320" s="11" t="n">
        <v>23</v>
      </c>
      <c r="N320" s="11"/>
      <c r="O320" s="11"/>
    </row>
    <row r="321" customFormat="false" ht="15" hidden="false" customHeight="false" outlineLevel="0" collapsed="false">
      <c r="A321" s="11" t="s">
        <v>2140</v>
      </c>
      <c r="B321" s="11" t="s">
        <v>281</v>
      </c>
      <c r="C321" s="11" t="s">
        <v>280</v>
      </c>
      <c r="D321" s="38" t="n">
        <v>45838</v>
      </c>
      <c r="E321" s="38" t="n">
        <v>45883</v>
      </c>
      <c r="F321" s="37" t="n">
        <v>6220</v>
      </c>
      <c r="G321" s="37" t="n">
        <v>1244</v>
      </c>
      <c r="H321" s="37" t="n">
        <v>7464</v>
      </c>
      <c r="I321" s="11" t="s">
        <v>283</v>
      </c>
      <c r="J321" s="11"/>
      <c r="K321" s="11" t="s">
        <v>4152</v>
      </c>
      <c r="L321" s="38" t="n">
        <v>45883</v>
      </c>
      <c r="M321" s="11" t="n">
        <v>0</v>
      </c>
      <c r="N321" s="11"/>
      <c r="O321" s="11"/>
    </row>
    <row r="322" customFormat="false" ht="15" hidden="false" customHeight="false" outlineLevel="0" collapsed="false">
      <c r="A322" s="11" t="s">
        <v>2237</v>
      </c>
      <c r="B322" s="11" t="s">
        <v>288</v>
      </c>
      <c r="C322" s="11" t="s">
        <v>287</v>
      </c>
      <c r="D322" s="38" t="n">
        <v>45838</v>
      </c>
      <c r="E322" s="38" t="n">
        <v>45868</v>
      </c>
      <c r="F322" s="37" t="n">
        <v>2220</v>
      </c>
      <c r="G322" s="37" t="n">
        <v>444</v>
      </c>
      <c r="H322" s="37" t="n">
        <v>2664</v>
      </c>
      <c r="I322" s="11" t="s">
        <v>283</v>
      </c>
      <c r="J322" s="11"/>
      <c r="K322" s="11" t="s">
        <v>4152</v>
      </c>
      <c r="L322" s="38" t="n">
        <v>45903</v>
      </c>
      <c r="M322" s="11" t="n">
        <v>35</v>
      </c>
      <c r="N322" s="11"/>
      <c r="O322" s="11"/>
    </row>
    <row r="323" customFormat="false" ht="15" hidden="false" customHeight="false" outlineLevel="0" collapsed="false">
      <c r="A323" s="11" t="s">
        <v>2230</v>
      </c>
      <c r="B323" s="11" t="s">
        <v>393</v>
      </c>
      <c r="C323" s="11" t="s">
        <v>392</v>
      </c>
      <c r="D323" s="38" t="n">
        <v>45839</v>
      </c>
      <c r="E323" s="38" t="n">
        <v>45889</v>
      </c>
      <c r="F323" s="37" t="n">
        <v>10070</v>
      </c>
      <c r="G323" s="37" t="n">
        <v>2014</v>
      </c>
      <c r="H323" s="37" t="n">
        <v>12084</v>
      </c>
      <c r="I323" s="11" t="s">
        <v>283</v>
      </c>
      <c r="J323" s="11"/>
      <c r="K323" s="11" t="s">
        <v>4152</v>
      </c>
      <c r="L323" s="38" t="n">
        <v>45901</v>
      </c>
      <c r="M323" s="11" t="n">
        <v>12</v>
      </c>
      <c r="N323" s="11"/>
      <c r="O323" s="11"/>
    </row>
    <row r="324" customFormat="false" ht="15" hidden="false" customHeight="false" outlineLevel="0" collapsed="false">
      <c r="A324" s="11" t="s">
        <v>2142</v>
      </c>
      <c r="B324" s="11" t="s">
        <v>281</v>
      </c>
      <c r="C324" s="11" t="s">
        <v>280</v>
      </c>
      <c r="D324" s="38" t="n">
        <v>45839</v>
      </c>
      <c r="E324" s="38" t="n">
        <v>45884</v>
      </c>
      <c r="F324" s="37" t="n">
        <v>2330</v>
      </c>
      <c r="G324" s="37" t="n">
        <v>466</v>
      </c>
      <c r="H324" s="37" t="n">
        <v>2796</v>
      </c>
      <c r="I324" s="11" t="s">
        <v>283</v>
      </c>
      <c r="J324" s="11"/>
      <c r="K324" s="11" t="s">
        <v>4152</v>
      </c>
      <c r="L324" s="38" t="n">
        <v>45887</v>
      </c>
      <c r="M324" s="11" t="n">
        <v>3</v>
      </c>
      <c r="N324" s="11"/>
      <c r="O324" s="11"/>
    </row>
    <row r="325" customFormat="false" ht="15" hidden="false" customHeight="false" outlineLevel="0" collapsed="false">
      <c r="A325" s="11" t="s">
        <v>2038</v>
      </c>
      <c r="B325" s="11" t="s">
        <v>288</v>
      </c>
      <c r="C325" s="11" t="s">
        <v>287</v>
      </c>
      <c r="D325" s="38" t="n">
        <v>45839</v>
      </c>
      <c r="E325" s="38" t="n">
        <v>45869</v>
      </c>
      <c r="F325" s="37" t="n">
        <v>2380</v>
      </c>
      <c r="G325" s="37" t="n">
        <v>476</v>
      </c>
      <c r="H325" s="37" t="n">
        <v>2856</v>
      </c>
      <c r="I325" s="11" t="s">
        <v>283</v>
      </c>
      <c r="J325" s="11"/>
      <c r="K325" s="11" t="s">
        <v>4152</v>
      </c>
      <c r="L325" s="38" t="n">
        <v>45863</v>
      </c>
      <c r="M325" s="11" t="n">
        <v>-6</v>
      </c>
      <c r="N325" s="11"/>
      <c r="O325" s="11"/>
    </row>
    <row r="326" customFormat="false" ht="15" hidden="false" customHeight="false" outlineLevel="0" collapsed="false">
      <c r="A326" s="11" t="s">
        <v>2089</v>
      </c>
      <c r="B326" s="11" t="s">
        <v>288</v>
      </c>
      <c r="C326" s="11" t="s">
        <v>287</v>
      </c>
      <c r="D326" s="38" t="n">
        <v>45839</v>
      </c>
      <c r="E326" s="38" t="n">
        <v>45869</v>
      </c>
      <c r="F326" s="37" t="n">
        <v>3380</v>
      </c>
      <c r="G326" s="37" t="n">
        <v>676</v>
      </c>
      <c r="H326" s="37" t="n">
        <v>4056</v>
      </c>
      <c r="I326" s="11" t="s">
        <v>283</v>
      </c>
      <c r="J326" s="11"/>
      <c r="K326" s="11" t="s">
        <v>4152</v>
      </c>
      <c r="L326" s="38" t="n">
        <v>45873</v>
      </c>
      <c r="M326" s="11" t="n">
        <v>4</v>
      </c>
      <c r="N326" s="11"/>
      <c r="O326" s="11"/>
    </row>
    <row r="327" customFormat="false" ht="15" hidden="false" customHeight="false" outlineLevel="0" collapsed="false">
      <c r="A327" s="11" t="s">
        <v>2091</v>
      </c>
      <c r="B327" s="11" t="s">
        <v>324</v>
      </c>
      <c r="C327" s="11" t="s">
        <v>323</v>
      </c>
      <c r="D327" s="38" t="n">
        <v>45839</v>
      </c>
      <c r="E327" s="38" t="n">
        <v>45869</v>
      </c>
      <c r="F327" s="37" t="n">
        <v>10130</v>
      </c>
      <c r="G327" s="37" t="n">
        <v>2026</v>
      </c>
      <c r="H327" s="37" t="n">
        <v>12156</v>
      </c>
      <c r="I327" s="11" t="s">
        <v>283</v>
      </c>
      <c r="J327" s="11"/>
      <c r="K327" s="11" t="s">
        <v>4152</v>
      </c>
      <c r="L327" s="38" t="n">
        <v>45873</v>
      </c>
      <c r="M327" s="11" t="n">
        <v>4</v>
      </c>
      <c r="N327" s="11"/>
      <c r="O327" s="11"/>
    </row>
    <row r="328" customFormat="false" ht="15" hidden="false" customHeight="false" outlineLevel="0" collapsed="false">
      <c r="A328" s="11" t="s">
        <v>2164</v>
      </c>
      <c r="B328" s="11" t="s">
        <v>336</v>
      </c>
      <c r="C328" s="11" t="s">
        <v>335</v>
      </c>
      <c r="D328" s="38" t="n">
        <v>45839</v>
      </c>
      <c r="E328" s="38" t="n">
        <v>45884</v>
      </c>
      <c r="F328" s="37" t="n">
        <v>5270</v>
      </c>
      <c r="G328" s="37" t="n">
        <v>1054</v>
      </c>
      <c r="H328" s="37" t="n">
        <v>6324</v>
      </c>
      <c r="I328" s="11" t="s">
        <v>283</v>
      </c>
      <c r="J328" s="11"/>
      <c r="K328" s="11" t="s">
        <v>4152</v>
      </c>
      <c r="L328" s="38" t="n">
        <v>45890</v>
      </c>
      <c r="M328" s="11" t="n">
        <v>6</v>
      </c>
      <c r="N328" s="11"/>
      <c r="O328" s="11"/>
    </row>
    <row r="329" customFormat="false" ht="15" hidden="false" customHeight="false" outlineLevel="0" collapsed="false">
      <c r="A329" s="11" t="s">
        <v>2234</v>
      </c>
      <c r="B329" s="11" t="s">
        <v>299</v>
      </c>
      <c r="C329" s="11" t="s">
        <v>298</v>
      </c>
      <c r="D329" s="38" t="n">
        <v>45839</v>
      </c>
      <c r="E329" s="38" t="n">
        <v>45899</v>
      </c>
      <c r="F329" s="37" t="n">
        <v>8780</v>
      </c>
      <c r="G329" s="37" t="n">
        <v>0</v>
      </c>
      <c r="H329" s="37" t="n">
        <v>8780</v>
      </c>
      <c r="I329" s="11" t="s">
        <v>283</v>
      </c>
      <c r="J329" s="11"/>
      <c r="K329" s="11" t="s">
        <v>4152</v>
      </c>
      <c r="L329" s="38" t="n">
        <v>45903</v>
      </c>
      <c r="M329" s="11" t="n">
        <v>4</v>
      </c>
      <c r="N329" s="11"/>
      <c r="O329" s="11"/>
    </row>
    <row r="330" customFormat="false" ht="15" hidden="false" customHeight="false" outlineLevel="0" collapsed="false">
      <c r="A330" s="11" t="s">
        <v>2313</v>
      </c>
      <c r="B330" s="11" t="s">
        <v>328</v>
      </c>
      <c r="C330" s="11" t="s">
        <v>327</v>
      </c>
      <c r="D330" s="38" t="n">
        <v>45840</v>
      </c>
      <c r="E330" s="38" t="n">
        <v>45900</v>
      </c>
      <c r="F330" s="37" t="n">
        <v>9650</v>
      </c>
      <c r="G330" s="37" t="n">
        <v>1930</v>
      </c>
      <c r="H330" s="37" t="n">
        <v>11580</v>
      </c>
      <c r="I330" s="11" t="s">
        <v>283</v>
      </c>
      <c r="J330" s="11"/>
      <c r="K330" s="11" t="s">
        <v>4152</v>
      </c>
      <c r="L330" s="38" t="n">
        <v>45922</v>
      </c>
      <c r="M330" s="11" t="n">
        <v>22</v>
      </c>
      <c r="N330" s="11"/>
      <c r="O330" s="11"/>
    </row>
    <row r="331" customFormat="false" ht="15" hidden="false" customHeight="false" outlineLevel="0" collapsed="false">
      <c r="A331" s="11" t="s">
        <v>2328</v>
      </c>
      <c r="B331" s="11" t="s">
        <v>332</v>
      </c>
      <c r="C331" s="11" t="s">
        <v>331</v>
      </c>
      <c r="D331" s="38" t="n">
        <v>45840</v>
      </c>
      <c r="E331" s="38" t="n">
        <v>45885</v>
      </c>
      <c r="F331" s="37" t="n">
        <v>7240</v>
      </c>
      <c r="G331" s="37" t="n">
        <v>1448</v>
      </c>
      <c r="H331" s="37" t="n">
        <v>8688</v>
      </c>
      <c r="I331" s="11" t="s">
        <v>283</v>
      </c>
      <c r="J331" s="11"/>
      <c r="K331" s="11" t="s">
        <v>4152</v>
      </c>
      <c r="L331" s="38" t="n">
        <v>45925</v>
      </c>
      <c r="M331" s="11" t="n">
        <v>40</v>
      </c>
      <c r="N331" s="11"/>
      <c r="O331" s="11"/>
    </row>
    <row r="332" customFormat="false" ht="15" hidden="false" customHeight="false" outlineLevel="0" collapsed="false">
      <c r="A332" s="11" t="s">
        <v>2207</v>
      </c>
      <c r="B332" s="11" t="s">
        <v>332</v>
      </c>
      <c r="C332" s="11" t="s">
        <v>331</v>
      </c>
      <c r="D332" s="38" t="n">
        <v>45842</v>
      </c>
      <c r="E332" s="38" t="n">
        <v>45887</v>
      </c>
      <c r="F332" s="37" t="n">
        <v>5350</v>
      </c>
      <c r="G332" s="37" t="n">
        <v>1070</v>
      </c>
      <c r="H332" s="37" t="n">
        <v>6420</v>
      </c>
      <c r="I332" s="11" t="s">
        <v>283</v>
      </c>
      <c r="J332" s="11"/>
      <c r="K332" s="11" t="s">
        <v>4152</v>
      </c>
      <c r="L332" s="38" t="n">
        <v>45897</v>
      </c>
      <c r="M332" s="11" t="n">
        <v>10</v>
      </c>
      <c r="N332" s="11"/>
      <c r="O332" s="11"/>
    </row>
    <row r="333" customFormat="false" ht="15" hidden="false" customHeight="false" outlineLevel="0" collapsed="false">
      <c r="A333" s="11" t="s">
        <v>2256</v>
      </c>
      <c r="B333" s="11" t="s">
        <v>336</v>
      </c>
      <c r="C333" s="11" t="s">
        <v>335</v>
      </c>
      <c r="D333" s="38" t="n">
        <v>45846</v>
      </c>
      <c r="E333" s="38" t="n">
        <v>45891</v>
      </c>
      <c r="F333" s="37" t="n">
        <v>7210</v>
      </c>
      <c r="G333" s="37" t="n">
        <v>1442</v>
      </c>
      <c r="H333" s="37" t="n">
        <v>8652</v>
      </c>
      <c r="I333" s="11" t="s">
        <v>283</v>
      </c>
      <c r="J333" s="11"/>
      <c r="K333" s="11" t="s">
        <v>4152</v>
      </c>
      <c r="L333" s="38" t="n">
        <v>45908</v>
      </c>
      <c r="M333" s="11" t="n">
        <v>17</v>
      </c>
      <c r="N333" s="11"/>
      <c r="O333" s="11"/>
    </row>
    <row r="334" customFormat="false" ht="15" hidden="false" customHeight="false" outlineLevel="0" collapsed="false">
      <c r="A334" s="11" t="s">
        <v>2192</v>
      </c>
      <c r="B334" s="11" t="s">
        <v>288</v>
      </c>
      <c r="C334" s="11" t="s">
        <v>287</v>
      </c>
      <c r="D334" s="38" t="n">
        <v>45846</v>
      </c>
      <c r="E334" s="38" t="n">
        <v>45876</v>
      </c>
      <c r="F334" s="37" t="n">
        <v>1760</v>
      </c>
      <c r="G334" s="37" t="n">
        <v>352</v>
      </c>
      <c r="H334" s="37" t="n">
        <v>2112</v>
      </c>
      <c r="I334" s="11" t="s">
        <v>283</v>
      </c>
      <c r="J334" s="11"/>
      <c r="K334" s="11" t="s">
        <v>4152</v>
      </c>
      <c r="L334" s="38" t="n">
        <v>45894</v>
      </c>
      <c r="M334" s="11" t="n">
        <v>18</v>
      </c>
      <c r="N334" s="11"/>
      <c r="O334" s="11"/>
    </row>
    <row r="335" customFormat="false" ht="15" hidden="false" customHeight="false" outlineLevel="0" collapsed="false">
      <c r="A335" s="11" t="s">
        <v>2196</v>
      </c>
      <c r="B335" s="11" t="s">
        <v>336</v>
      </c>
      <c r="C335" s="11" t="s">
        <v>335</v>
      </c>
      <c r="D335" s="38" t="n">
        <v>45846</v>
      </c>
      <c r="E335" s="38" t="n">
        <v>45891</v>
      </c>
      <c r="F335" s="37" t="n">
        <v>10220</v>
      </c>
      <c r="G335" s="37" t="n">
        <v>2044</v>
      </c>
      <c r="H335" s="37" t="n">
        <v>12264</v>
      </c>
      <c r="I335" s="11" t="s">
        <v>283</v>
      </c>
      <c r="J335" s="11"/>
      <c r="K335" s="11" t="s">
        <v>4152</v>
      </c>
      <c r="L335" s="38" t="n">
        <v>45896</v>
      </c>
      <c r="M335" s="11" t="n">
        <v>5</v>
      </c>
      <c r="N335" s="11"/>
      <c r="O335" s="11"/>
    </row>
    <row r="336" customFormat="false" ht="15" hidden="false" customHeight="false" outlineLevel="0" collapsed="false">
      <c r="A336" s="11" t="s">
        <v>2184</v>
      </c>
      <c r="B336" s="11" t="s">
        <v>393</v>
      </c>
      <c r="C336" s="11" t="s">
        <v>392</v>
      </c>
      <c r="D336" s="38" t="n">
        <v>45847</v>
      </c>
      <c r="E336" s="38" t="n">
        <v>45897</v>
      </c>
      <c r="F336" s="37" t="n">
        <v>11170</v>
      </c>
      <c r="G336" s="37" t="n">
        <v>2234</v>
      </c>
      <c r="H336" s="37" t="n">
        <v>13404</v>
      </c>
      <c r="I336" s="11" t="s">
        <v>283</v>
      </c>
      <c r="J336" s="11"/>
      <c r="K336" s="11" t="s">
        <v>4152</v>
      </c>
      <c r="L336" s="38" t="n">
        <v>45894</v>
      </c>
      <c r="M336" s="11" t="n">
        <v>-3</v>
      </c>
      <c r="N336" s="11"/>
      <c r="O336" s="11"/>
    </row>
    <row r="337" customFormat="false" ht="15" hidden="false" customHeight="false" outlineLevel="0" collapsed="false">
      <c r="A337" s="11" t="s">
        <v>2113</v>
      </c>
      <c r="B337" s="11" t="s">
        <v>288</v>
      </c>
      <c r="C337" s="11" t="s">
        <v>287</v>
      </c>
      <c r="D337" s="38" t="n">
        <v>45847</v>
      </c>
      <c r="E337" s="38" t="n">
        <v>45877</v>
      </c>
      <c r="F337" s="37" t="n">
        <v>2240</v>
      </c>
      <c r="G337" s="37" t="n">
        <v>448</v>
      </c>
      <c r="H337" s="37" t="n">
        <v>2688</v>
      </c>
      <c r="I337" s="11" t="s">
        <v>283</v>
      </c>
      <c r="J337" s="11"/>
      <c r="K337" s="11" t="s">
        <v>4152</v>
      </c>
      <c r="L337" s="38" t="n">
        <v>45880</v>
      </c>
      <c r="M337" s="11" t="n">
        <v>3</v>
      </c>
      <c r="N337" s="11"/>
      <c r="O337" s="11"/>
    </row>
    <row r="338" customFormat="false" ht="15" hidden="false" customHeight="false" outlineLevel="0" collapsed="false">
      <c r="A338" s="11" t="s">
        <v>2138</v>
      </c>
      <c r="B338" s="11" t="s">
        <v>324</v>
      </c>
      <c r="C338" s="11" t="s">
        <v>323</v>
      </c>
      <c r="D338" s="38" t="n">
        <v>45847</v>
      </c>
      <c r="E338" s="38" t="n">
        <v>45877</v>
      </c>
      <c r="F338" s="37" t="n">
        <v>4530</v>
      </c>
      <c r="G338" s="37" t="n">
        <v>906</v>
      </c>
      <c r="H338" s="37" t="n">
        <v>5436</v>
      </c>
      <c r="I338" s="11" t="s">
        <v>283</v>
      </c>
      <c r="J338" s="11"/>
      <c r="K338" s="11" t="s">
        <v>4152</v>
      </c>
      <c r="L338" s="38" t="n">
        <v>45883</v>
      </c>
      <c r="M338" s="11" t="n">
        <v>6</v>
      </c>
      <c r="N338" s="11"/>
      <c r="O338" s="11"/>
    </row>
    <row r="339" customFormat="false" ht="15" hidden="false" customHeight="false" outlineLevel="0" collapsed="false">
      <c r="A339" s="11" t="s">
        <v>2186</v>
      </c>
      <c r="B339" s="11" t="s">
        <v>281</v>
      </c>
      <c r="C339" s="11" t="s">
        <v>280</v>
      </c>
      <c r="D339" s="38" t="n">
        <v>45848</v>
      </c>
      <c r="E339" s="38" t="n">
        <v>45893</v>
      </c>
      <c r="F339" s="37" t="n">
        <v>6820</v>
      </c>
      <c r="G339" s="37" t="n">
        <v>1364</v>
      </c>
      <c r="H339" s="37" t="n">
        <v>8184</v>
      </c>
      <c r="I339" s="11" t="s">
        <v>283</v>
      </c>
      <c r="J339" s="11"/>
      <c r="K339" s="11" t="s">
        <v>4152</v>
      </c>
      <c r="L339" s="38" t="n">
        <v>45894</v>
      </c>
      <c r="M339" s="11" t="n">
        <v>1</v>
      </c>
      <c r="N339" s="11"/>
      <c r="O339" s="11"/>
    </row>
    <row r="340" customFormat="false" ht="15" hidden="false" customHeight="false" outlineLevel="0" collapsed="false">
      <c r="A340" s="11" t="s">
        <v>2297</v>
      </c>
      <c r="B340" s="11" t="s">
        <v>350</v>
      </c>
      <c r="C340" s="11" t="s">
        <v>349</v>
      </c>
      <c r="D340" s="38" t="n">
        <v>45849</v>
      </c>
      <c r="E340" s="38" t="n">
        <v>45909</v>
      </c>
      <c r="F340" s="37" t="n">
        <v>12040</v>
      </c>
      <c r="G340" s="37" t="n">
        <v>2408</v>
      </c>
      <c r="H340" s="37" t="n">
        <v>14448</v>
      </c>
      <c r="I340" s="11" t="s">
        <v>283</v>
      </c>
      <c r="J340" s="11"/>
      <c r="K340" s="11" t="s">
        <v>4152</v>
      </c>
      <c r="L340" s="38" t="n">
        <v>45917</v>
      </c>
      <c r="M340" s="11" t="n">
        <v>8</v>
      </c>
      <c r="N340" s="11"/>
      <c r="O340" s="11"/>
    </row>
    <row r="341" customFormat="false" ht="15" hidden="false" customHeight="false" outlineLevel="0" collapsed="false">
      <c r="A341" s="11" t="s">
        <v>2324</v>
      </c>
      <c r="B341" s="11" t="s">
        <v>350</v>
      </c>
      <c r="C341" s="11" t="s">
        <v>349</v>
      </c>
      <c r="D341" s="38" t="n">
        <v>45849</v>
      </c>
      <c r="E341" s="38" t="n">
        <v>45909</v>
      </c>
      <c r="F341" s="37" t="n">
        <v>6790</v>
      </c>
      <c r="G341" s="37" t="n">
        <v>1358</v>
      </c>
      <c r="H341" s="37" t="n">
        <v>8148</v>
      </c>
      <c r="I341" s="11" t="s">
        <v>283</v>
      </c>
      <c r="J341" s="11"/>
      <c r="K341" s="11" t="s">
        <v>4152</v>
      </c>
      <c r="L341" s="38" t="n">
        <v>45925</v>
      </c>
      <c r="M341" s="11" t="n">
        <v>16</v>
      </c>
      <c r="N341" s="11"/>
      <c r="O341" s="11"/>
    </row>
    <row r="342" customFormat="false" ht="15" hidden="false" customHeight="false" outlineLevel="0" collapsed="false">
      <c r="A342" s="11" t="s">
        <v>2299</v>
      </c>
      <c r="B342" s="11" t="s">
        <v>328</v>
      </c>
      <c r="C342" s="11" t="s">
        <v>327</v>
      </c>
      <c r="D342" s="38" t="n">
        <v>45849</v>
      </c>
      <c r="E342" s="38" t="n">
        <v>45909</v>
      </c>
      <c r="F342" s="37" t="n">
        <v>16610</v>
      </c>
      <c r="G342" s="37" t="n">
        <v>3322</v>
      </c>
      <c r="H342" s="37" t="n">
        <v>19932</v>
      </c>
      <c r="I342" s="11" t="s">
        <v>283</v>
      </c>
      <c r="J342" s="11"/>
      <c r="K342" s="11" t="s">
        <v>4152</v>
      </c>
      <c r="L342" s="38" t="n">
        <v>45918</v>
      </c>
      <c r="M342" s="11" t="n">
        <v>9</v>
      </c>
      <c r="N342" s="11"/>
      <c r="O342" s="11"/>
    </row>
    <row r="343" customFormat="false" ht="15" hidden="false" customHeight="false" outlineLevel="0" collapsed="false">
      <c r="A343" s="11" t="s">
        <v>2232</v>
      </c>
      <c r="B343" s="11" t="s">
        <v>336</v>
      </c>
      <c r="C343" s="11" t="s">
        <v>335</v>
      </c>
      <c r="D343" s="38" t="n">
        <v>45849</v>
      </c>
      <c r="E343" s="38" t="n">
        <v>45894</v>
      </c>
      <c r="F343" s="37" t="n">
        <v>3770</v>
      </c>
      <c r="G343" s="37" t="n">
        <v>754</v>
      </c>
      <c r="H343" s="37" t="n">
        <v>4524</v>
      </c>
      <c r="I343" s="11" t="s">
        <v>283</v>
      </c>
      <c r="J343" s="11"/>
      <c r="K343" s="11" t="s">
        <v>4152</v>
      </c>
      <c r="L343" s="38" t="n">
        <v>45901</v>
      </c>
      <c r="M343" s="11" t="n">
        <v>7</v>
      </c>
      <c r="N343" s="11"/>
      <c r="O343" s="11"/>
    </row>
    <row r="344" customFormat="false" ht="15" hidden="false" customHeight="false" outlineLevel="0" collapsed="false">
      <c r="A344" s="11" t="s">
        <v>2307</v>
      </c>
      <c r="B344" s="11" t="s">
        <v>328</v>
      </c>
      <c r="C344" s="11" t="s">
        <v>327</v>
      </c>
      <c r="D344" s="38" t="n">
        <v>45849</v>
      </c>
      <c r="E344" s="38" t="n">
        <v>45909</v>
      </c>
      <c r="F344" s="37" t="n">
        <v>25160</v>
      </c>
      <c r="G344" s="37" t="n">
        <v>5032</v>
      </c>
      <c r="H344" s="37" t="n">
        <v>30192</v>
      </c>
      <c r="I344" s="11" t="s">
        <v>283</v>
      </c>
      <c r="J344" s="11"/>
      <c r="K344" s="11" t="s">
        <v>4152</v>
      </c>
      <c r="L344" s="38" t="n">
        <v>45922</v>
      </c>
      <c r="M344" s="11" t="n">
        <v>13</v>
      </c>
      <c r="N344" s="11"/>
      <c r="O344" s="11"/>
    </row>
    <row r="345" customFormat="false" ht="15" hidden="false" customHeight="false" outlineLevel="0" collapsed="false">
      <c r="A345" s="11" t="s">
        <v>2280</v>
      </c>
      <c r="B345" s="11" t="s">
        <v>332</v>
      </c>
      <c r="C345" s="11" t="s">
        <v>331</v>
      </c>
      <c r="D345" s="38" t="n">
        <v>45849</v>
      </c>
      <c r="E345" s="38" t="n">
        <v>45894</v>
      </c>
      <c r="F345" s="37" t="n">
        <v>4540</v>
      </c>
      <c r="G345" s="37" t="n">
        <v>908</v>
      </c>
      <c r="H345" s="37" t="n">
        <v>5448</v>
      </c>
      <c r="I345" s="11" t="s">
        <v>283</v>
      </c>
      <c r="J345" s="11"/>
      <c r="K345" s="11" t="s">
        <v>4152</v>
      </c>
      <c r="L345" s="38" t="n">
        <v>45912</v>
      </c>
      <c r="M345" s="11" t="n">
        <v>18</v>
      </c>
      <c r="N345" s="11"/>
      <c r="O345" s="11"/>
    </row>
    <row r="346" customFormat="false" ht="15" hidden="false" customHeight="false" outlineLevel="0" collapsed="false">
      <c r="A346" s="11" t="s">
        <v>2285</v>
      </c>
      <c r="B346" s="11" t="s">
        <v>299</v>
      </c>
      <c r="C346" s="11" t="s">
        <v>298</v>
      </c>
      <c r="D346" s="38" t="n">
        <v>45849</v>
      </c>
      <c r="E346" s="38" t="n">
        <v>45909</v>
      </c>
      <c r="F346" s="37" t="n">
        <v>16060</v>
      </c>
      <c r="G346" s="37" t="n">
        <v>0</v>
      </c>
      <c r="H346" s="37" t="n">
        <v>16060</v>
      </c>
      <c r="I346" s="11" t="s">
        <v>283</v>
      </c>
      <c r="J346" s="11"/>
      <c r="K346" s="11" t="s">
        <v>4152</v>
      </c>
      <c r="L346" s="38" t="n">
        <v>45915</v>
      </c>
      <c r="M346" s="11" t="n">
        <v>6</v>
      </c>
      <c r="N346" s="11"/>
      <c r="O346" s="11"/>
    </row>
    <row r="347" customFormat="false" ht="15" hidden="false" customHeight="false" outlineLevel="0" collapsed="false">
      <c r="A347" s="11" t="s">
        <v>2180</v>
      </c>
      <c r="B347" s="11" t="s">
        <v>324</v>
      </c>
      <c r="C347" s="11" t="s">
        <v>323</v>
      </c>
      <c r="D347" s="38" t="n">
        <v>45853</v>
      </c>
      <c r="E347" s="38" t="n">
        <v>45883</v>
      </c>
      <c r="F347" s="37" t="n">
        <v>6580</v>
      </c>
      <c r="G347" s="37" t="n">
        <v>1316</v>
      </c>
      <c r="H347" s="37" t="n">
        <v>7896</v>
      </c>
      <c r="I347" s="11" t="s">
        <v>283</v>
      </c>
      <c r="J347" s="11"/>
      <c r="K347" s="11" t="s">
        <v>4152</v>
      </c>
      <c r="L347" s="38" t="n">
        <v>45894</v>
      </c>
      <c r="M347" s="11" t="n">
        <v>11</v>
      </c>
      <c r="N347" s="11"/>
      <c r="O347" s="11"/>
    </row>
    <row r="348" customFormat="false" ht="15" hidden="false" customHeight="false" outlineLevel="0" collapsed="false">
      <c r="A348" s="11" t="s">
        <v>2311</v>
      </c>
      <c r="B348" s="11" t="s">
        <v>299</v>
      </c>
      <c r="C348" s="11" t="s">
        <v>298</v>
      </c>
      <c r="D348" s="38" t="n">
        <v>45853</v>
      </c>
      <c r="E348" s="38" t="n">
        <v>45913</v>
      </c>
      <c r="F348" s="37" t="n">
        <v>7020</v>
      </c>
      <c r="G348" s="37" t="n">
        <v>0</v>
      </c>
      <c r="H348" s="37" t="n">
        <v>7020</v>
      </c>
      <c r="I348" s="11" t="s">
        <v>283</v>
      </c>
      <c r="J348" s="11"/>
      <c r="K348" s="11" t="s">
        <v>4152</v>
      </c>
      <c r="L348" s="38" t="n">
        <v>45922</v>
      </c>
      <c r="M348" s="11" t="n">
        <v>9</v>
      </c>
      <c r="N348" s="11"/>
      <c r="O348" s="11"/>
    </row>
    <row r="349" customFormat="false" ht="15" hidden="false" customHeight="false" outlineLevel="0" collapsed="false">
      <c r="A349" s="11" t="s">
        <v>2213</v>
      </c>
      <c r="B349" s="11" t="s">
        <v>281</v>
      </c>
      <c r="C349" s="11" t="s">
        <v>280</v>
      </c>
      <c r="D349" s="38" t="n">
        <v>45853</v>
      </c>
      <c r="E349" s="38" t="n">
        <v>45898</v>
      </c>
      <c r="F349" s="37" t="n">
        <v>13130</v>
      </c>
      <c r="G349" s="37" t="n">
        <v>2626</v>
      </c>
      <c r="H349" s="37" t="n">
        <v>15756</v>
      </c>
      <c r="I349" s="11" t="s">
        <v>283</v>
      </c>
      <c r="J349" s="11"/>
      <c r="K349" s="11" t="s">
        <v>4152</v>
      </c>
      <c r="L349" s="38" t="n">
        <v>45898</v>
      </c>
      <c r="M349" s="11" t="n">
        <v>0</v>
      </c>
      <c r="N349" s="11"/>
      <c r="O349" s="11"/>
    </row>
    <row r="350" customFormat="false" ht="15" hidden="false" customHeight="false" outlineLevel="0" collapsed="false">
      <c r="A350" s="11" t="s">
        <v>2226</v>
      </c>
      <c r="B350" s="11" t="s">
        <v>281</v>
      </c>
      <c r="C350" s="11" t="s">
        <v>280</v>
      </c>
      <c r="D350" s="38" t="n">
        <v>45854</v>
      </c>
      <c r="E350" s="38" t="n">
        <v>45899</v>
      </c>
      <c r="F350" s="37" t="n">
        <v>6090</v>
      </c>
      <c r="G350" s="37" t="n">
        <v>1218</v>
      </c>
      <c r="H350" s="37" t="n">
        <v>7308</v>
      </c>
      <c r="I350" s="11" t="s">
        <v>283</v>
      </c>
      <c r="J350" s="11"/>
      <c r="K350" s="11" t="s">
        <v>4152</v>
      </c>
      <c r="L350" s="38" t="n">
        <v>45901</v>
      </c>
      <c r="M350" s="11" t="n">
        <v>2</v>
      </c>
      <c r="N350" s="11"/>
      <c r="O350" s="11"/>
    </row>
    <row r="351" customFormat="false" ht="15" hidden="false" customHeight="false" outlineLevel="0" collapsed="false">
      <c r="A351" s="11" t="s">
        <v>2224</v>
      </c>
      <c r="B351" s="11" t="s">
        <v>281</v>
      </c>
      <c r="C351" s="11" t="s">
        <v>280</v>
      </c>
      <c r="D351" s="38" t="n">
        <v>45854</v>
      </c>
      <c r="E351" s="38" t="n">
        <v>45899</v>
      </c>
      <c r="F351" s="37" t="n">
        <v>9610</v>
      </c>
      <c r="G351" s="37" t="n">
        <v>1922</v>
      </c>
      <c r="H351" s="37" t="n">
        <v>11532</v>
      </c>
      <c r="I351" s="11" t="s">
        <v>283</v>
      </c>
      <c r="J351" s="11"/>
      <c r="K351" s="11" t="s">
        <v>4152</v>
      </c>
      <c r="L351" s="38" t="n">
        <v>45901</v>
      </c>
      <c r="M351" s="11" t="n">
        <v>2</v>
      </c>
      <c r="N351" s="11"/>
      <c r="O351" s="11"/>
    </row>
    <row r="352" customFormat="false" ht="15" hidden="false" customHeight="false" outlineLevel="0" collapsed="false">
      <c r="A352" s="11" t="s">
        <v>2216</v>
      </c>
      <c r="B352" s="11" t="s">
        <v>336</v>
      </c>
      <c r="C352" s="11" t="s">
        <v>335</v>
      </c>
      <c r="D352" s="38" t="n">
        <v>45856</v>
      </c>
      <c r="E352" s="38" t="n">
        <v>45901</v>
      </c>
      <c r="F352" s="37" t="n">
        <v>5550</v>
      </c>
      <c r="G352" s="37" t="n">
        <v>1110</v>
      </c>
      <c r="H352" s="37" t="n">
        <v>6660</v>
      </c>
      <c r="I352" s="11" t="s">
        <v>283</v>
      </c>
      <c r="J352" s="11"/>
      <c r="K352" s="11" t="s">
        <v>4152</v>
      </c>
      <c r="L352" s="38" t="n">
        <v>45901</v>
      </c>
      <c r="M352" s="11" t="n">
        <v>0</v>
      </c>
      <c r="N352" s="11"/>
      <c r="O352" s="11"/>
    </row>
    <row r="353" customFormat="false" ht="15" hidden="false" customHeight="false" outlineLevel="0" collapsed="false">
      <c r="A353" s="11" t="s">
        <v>2350</v>
      </c>
      <c r="B353" s="11" t="s">
        <v>350</v>
      </c>
      <c r="C353" s="11" t="s">
        <v>349</v>
      </c>
      <c r="D353" s="38" t="n">
        <v>45856</v>
      </c>
      <c r="E353" s="38" t="n">
        <v>45916</v>
      </c>
      <c r="F353" s="37" t="n">
        <v>22000</v>
      </c>
      <c r="G353" s="37" t="n">
        <v>4400</v>
      </c>
      <c r="H353" s="37" t="n">
        <v>26400</v>
      </c>
      <c r="I353" s="11" t="s">
        <v>283</v>
      </c>
      <c r="J353" s="11"/>
      <c r="K353" s="11" t="s">
        <v>4152</v>
      </c>
      <c r="L353" s="38" t="n">
        <v>45931</v>
      </c>
      <c r="M353" s="11" t="n">
        <v>15</v>
      </c>
      <c r="N353" s="11"/>
      <c r="O353" s="11"/>
    </row>
    <row r="354" customFormat="false" ht="15" hidden="false" customHeight="false" outlineLevel="0" collapsed="false">
      <c r="A354" s="11" t="s">
        <v>2218</v>
      </c>
      <c r="B354" s="11" t="s">
        <v>281</v>
      </c>
      <c r="C354" s="11" t="s">
        <v>280</v>
      </c>
      <c r="D354" s="38" t="n">
        <v>45856</v>
      </c>
      <c r="E354" s="38" t="n">
        <v>45901</v>
      </c>
      <c r="F354" s="37" t="n">
        <v>10680</v>
      </c>
      <c r="G354" s="37" t="n">
        <v>2136</v>
      </c>
      <c r="H354" s="37" t="n">
        <v>12816</v>
      </c>
      <c r="I354" s="11" t="s">
        <v>283</v>
      </c>
      <c r="J354" s="11"/>
      <c r="K354" s="11" t="s">
        <v>4152</v>
      </c>
      <c r="L354" s="38" t="n">
        <v>45901</v>
      </c>
      <c r="M354" s="11" t="n">
        <v>0</v>
      </c>
      <c r="N354" s="11"/>
      <c r="O354" s="11"/>
    </row>
    <row r="355" customFormat="false" ht="15" hidden="false" customHeight="false" outlineLevel="0" collapsed="false">
      <c r="A355" s="11" t="s">
        <v>2270</v>
      </c>
      <c r="B355" s="11" t="s">
        <v>332</v>
      </c>
      <c r="C355" s="11" t="s">
        <v>331</v>
      </c>
      <c r="D355" s="38" t="n">
        <v>45856</v>
      </c>
      <c r="E355" s="38" t="n">
        <v>45901</v>
      </c>
      <c r="F355" s="37" t="n">
        <v>2940</v>
      </c>
      <c r="G355" s="37" t="n">
        <v>588</v>
      </c>
      <c r="H355" s="37" t="n">
        <v>3528</v>
      </c>
      <c r="I355" s="11" t="s">
        <v>283</v>
      </c>
      <c r="J355" s="11"/>
      <c r="K355" s="11" t="s">
        <v>4152</v>
      </c>
      <c r="L355" s="38" t="n">
        <v>45910</v>
      </c>
      <c r="M355" s="11" t="n">
        <v>9</v>
      </c>
      <c r="N355" s="11"/>
      <c r="O355" s="11"/>
    </row>
    <row r="356" customFormat="false" ht="15" hidden="false" customHeight="false" outlineLevel="0" collapsed="false">
      <c r="A356" s="11" t="s">
        <v>2222</v>
      </c>
      <c r="B356" s="11" t="s">
        <v>281</v>
      </c>
      <c r="C356" s="11" t="s">
        <v>280</v>
      </c>
      <c r="D356" s="38" t="n">
        <v>45856</v>
      </c>
      <c r="E356" s="38" t="n">
        <v>45901</v>
      </c>
      <c r="F356" s="37" t="n">
        <v>5500</v>
      </c>
      <c r="G356" s="37" t="n">
        <v>1100</v>
      </c>
      <c r="H356" s="37" t="n">
        <v>6600</v>
      </c>
      <c r="I356" s="11" t="s">
        <v>283</v>
      </c>
      <c r="J356" s="11"/>
      <c r="K356" s="11" t="s">
        <v>4152</v>
      </c>
      <c r="L356" s="38" t="n">
        <v>45901</v>
      </c>
      <c r="M356" s="11" t="n">
        <v>0</v>
      </c>
      <c r="N356" s="11"/>
      <c r="O356" s="11"/>
    </row>
    <row r="357" customFormat="false" ht="15" hidden="false" customHeight="false" outlineLevel="0" collapsed="false">
      <c r="A357" s="11" t="s">
        <v>2162</v>
      </c>
      <c r="B357" s="11" t="s">
        <v>288</v>
      </c>
      <c r="C357" s="11" t="s">
        <v>287</v>
      </c>
      <c r="D357" s="38" t="n">
        <v>45856</v>
      </c>
      <c r="E357" s="38" t="n">
        <v>45886</v>
      </c>
      <c r="F357" s="37" t="n">
        <v>6080</v>
      </c>
      <c r="G357" s="37" t="n">
        <v>1216</v>
      </c>
      <c r="H357" s="37" t="n">
        <v>7296</v>
      </c>
      <c r="I357" s="11" t="s">
        <v>283</v>
      </c>
      <c r="J357" s="11"/>
      <c r="K357" s="11" t="s">
        <v>4152</v>
      </c>
      <c r="L357" s="38" t="n">
        <v>45889</v>
      </c>
      <c r="M357" s="11" t="n">
        <v>3</v>
      </c>
      <c r="N357" s="11"/>
      <c r="O357" s="11"/>
    </row>
    <row r="358" customFormat="false" ht="15" hidden="false" customHeight="false" outlineLevel="0" collapsed="false">
      <c r="A358" s="11" t="s">
        <v>2172</v>
      </c>
      <c r="B358" s="11" t="s">
        <v>288</v>
      </c>
      <c r="C358" s="11" t="s">
        <v>287</v>
      </c>
      <c r="D358" s="38" t="n">
        <v>45861</v>
      </c>
      <c r="E358" s="38" t="n">
        <v>45891</v>
      </c>
      <c r="F358" s="37" t="n">
        <v>1980</v>
      </c>
      <c r="G358" s="37" t="n">
        <v>396</v>
      </c>
      <c r="H358" s="37" t="n">
        <v>2376</v>
      </c>
      <c r="I358" s="11" t="s">
        <v>283</v>
      </c>
      <c r="J358" s="11"/>
      <c r="K358" s="11" t="s">
        <v>4152</v>
      </c>
      <c r="L358" s="38" t="n">
        <v>45890</v>
      </c>
      <c r="M358" s="11" t="n">
        <v>-1</v>
      </c>
      <c r="N358" s="11"/>
      <c r="O358" s="11"/>
    </row>
    <row r="359" customFormat="false" ht="15" hidden="false" customHeight="false" outlineLevel="0" collapsed="false">
      <c r="A359" s="11" t="s">
        <v>2282</v>
      </c>
      <c r="B359" s="11" t="s">
        <v>336</v>
      </c>
      <c r="C359" s="11" t="s">
        <v>335</v>
      </c>
      <c r="D359" s="38" t="n">
        <v>45861</v>
      </c>
      <c r="E359" s="38" t="n">
        <v>45906</v>
      </c>
      <c r="F359" s="37" t="n">
        <v>5610</v>
      </c>
      <c r="G359" s="37" t="n">
        <v>1122</v>
      </c>
      <c r="H359" s="37" t="n">
        <v>6732</v>
      </c>
      <c r="I359" s="11" t="s">
        <v>283</v>
      </c>
      <c r="J359" s="11"/>
      <c r="K359" s="11" t="s">
        <v>4152</v>
      </c>
      <c r="L359" s="38" t="n">
        <v>45912</v>
      </c>
      <c r="M359" s="11" t="n">
        <v>6</v>
      </c>
      <c r="N359" s="11"/>
      <c r="O359" s="11"/>
    </row>
    <row r="360" customFormat="false" ht="15" hidden="false" customHeight="false" outlineLevel="0" collapsed="false">
      <c r="A360" s="11" t="s">
        <v>2395</v>
      </c>
      <c r="B360" s="11" t="s">
        <v>328</v>
      </c>
      <c r="C360" s="11" t="s">
        <v>327</v>
      </c>
      <c r="D360" s="38" t="n">
        <v>45861</v>
      </c>
      <c r="E360" s="38" t="n">
        <v>45921</v>
      </c>
      <c r="F360" s="37" t="n">
        <v>25670</v>
      </c>
      <c r="G360" s="37" t="n">
        <v>5134</v>
      </c>
      <c r="H360" s="37" t="n">
        <v>30804</v>
      </c>
      <c r="I360" s="11" t="s">
        <v>283</v>
      </c>
      <c r="J360" s="11"/>
      <c r="K360" s="11" t="s">
        <v>4152</v>
      </c>
      <c r="L360" s="38" t="n">
        <v>45945</v>
      </c>
      <c r="M360" s="11" t="n">
        <v>24</v>
      </c>
      <c r="N360" s="11"/>
      <c r="O360" s="11"/>
    </row>
    <row r="361" customFormat="false" ht="15" hidden="false" customHeight="false" outlineLevel="0" collapsed="false">
      <c r="A361" s="11" t="s">
        <v>2201</v>
      </c>
      <c r="B361" s="11" t="s">
        <v>288</v>
      </c>
      <c r="C361" s="11" t="s">
        <v>287</v>
      </c>
      <c r="D361" s="38" t="n">
        <v>45863</v>
      </c>
      <c r="E361" s="38" t="n">
        <v>45893</v>
      </c>
      <c r="F361" s="37" t="n">
        <v>3410</v>
      </c>
      <c r="G361" s="37" t="n">
        <v>682</v>
      </c>
      <c r="H361" s="37" t="n">
        <v>4092</v>
      </c>
      <c r="I361" s="11" t="s">
        <v>283</v>
      </c>
      <c r="J361" s="11"/>
      <c r="K361" s="11" t="s">
        <v>4152</v>
      </c>
      <c r="L361" s="38" t="n">
        <v>45896</v>
      </c>
      <c r="M361" s="11" t="n">
        <v>3</v>
      </c>
      <c r="N361" s="11"/>
      <c r="O361" s="11"/>
    </row>
    <row r="362" customFormat="false" ht="15" hidden="false" customHeight="false" outlineLevel="0" collapsed="false">
      <c r="A362" s="11" t="s">
        <v>2332</v>
      </c>
      <c r="B362" s="11" t="s">
        <v>336</v>
      </c>
      <c r="C362" s="11" t="s">
        <v>335</v>
      </c>
      <c r="D362" s="38" t="n">
        <v>45863</v>
      </c>
      <c r="E362" s="38" t="n">
        <v>45908</v>
      </c>
      <c r="F362" s="37" t="n">
        <v>5700</v>
      </c>
      <c r="G362" s="37" t="n">
        <v>1140</v>
      </c>
      <c r="H362" s="37" t="n">
        <v>6840</v>
      </c>
      <c r="I362" s="11" t="s">
        <v>283</v>
      </c>
      <c r="J362" s="11"/>
      <c r="K362" s="11" t="s">
        <v>4152</v>
      </c>
      <c r="L362" s="38" t="n">
        <v>45925</v>
      </c>
      <c r="M362" s="11" t="n">
        <v>17</v>
      </c>
      <c r="N362" s="11"/>
      <c r="O362" s="11"/>
    </row>
    <row r="363" customFormat="false" ht="15" hidden="false" customHeight="false" outlineLevel="0" collapsed="false">
      <c r="A363" s="11" t="s">
        <v>2317</v>
      </c>
      <c r="B363" s="11" t="s">
        <v>350</v>
      </c>
      <c r="C363" s="11" t="s">
        <v>349</v>
      </c>
      <c r="D363" s="38" t="n">
        <v>45863</v>
      </c>
      <c r="E363" s="38" t="n">
        <v>45923</v>
      </c>
      <c r="F363" s="37" t="n">
        <v>5130</v>
      </c>
      <c r="G363" s="37" t="n">
        <v>1026</v>
      </c>
      <c r="H363" s="37" t="n">
        <v>6156</v>
      </c>
      <c r="I363" s="11" t="s">
        <v>283</v>
      </c>
      <c r="J363" s="11"/>
      <c r="K363" s="11" t="s">
        <v>4152</v>
      </c>
      <c r="L363" s="38" t="n">
        <v>45923</v>
      </c>
      <c r="M363" s="11" t="n">
        <v>0</v>
      </c>
      <c r="N363" s="11"/>
      <c r="O363" s="11"/>
    </row>
    <row r="364" customFormat="false" ht="15" hidden="false" customHeight="false" outlineLevel="0" collapsed="false">
      <c r="A364" s="11" t="s">
        <v>2266</v>
      </c>
      <c r="B364" s="11" t="s">
        <v>336</v>
      </c>
      <c r="C364" s="11" t="s">
        <v>335</v>
      </c>
      <c r="D364" s="38" t="n">
        <v>45863</v>
      </c>
      <c r="E364" s="38" t="n">
        <v>45908</v>
      </c>
      <c r="F364" s="37" t="n">
        <v>4450</v>
      </c>
      <c r="G364" s="37" t="n">
        <v>890</v>
      </c>
      <c r="H364" s="37" t="n">
        <v>5340</v>
      </c>
      <c r="I364" s="11" t="s">
        <v>283</v>
      </c>
      <c r="J364" s="11"/>
      <c r="K364" s="11" t="s">
        <v>4152</v>
      </c>
      <c r="L364" s="38" t="n">
        <v>45909</v>
      </c>
      <c r="M364" s="11" t="n">
        <v>1</v>
      </c>
      <c r="N364" s="11"/>
      <c r="O364" s="11"/>
    </row>
    <row r="365" customFormat="false" ht="15" hidden="false" customHeight="false" outlineLevel="0" collapsed="false">
      <c r="A365" s="11" t="s">
        <v>2249</v>
      </c>
      <c r="B365" s="11" t="s">
        <v>281</v>
      </c>
      <c r="C365" s="11" t="s">
        <v>280</v>
      </c>
      <c r="D365" s="38" t="n">
        <v>45863</v>
      </c>
      <c r="E365" s="38" t="n">
        <v>45908</v>
      </c>
      <c r="F365" s="37" t="n">
        <v>9560</v>
      </c>
      <c r="G365" s="37" t="n">
        <v>1912</v>
      </c>
      <c r="H365" s="37" t="n">
        <v>11472</v>
      </c>
      <c r="I365" s="11" t="s">
        <v>283</v>
      </c>
      <c r="J365" s="11"/>
      <c r="K365" s="11" t="s">
        <v>4152</v>
      </c>
      <c r="L365" s="38" t="n">
        <v>45908</v>
      </c>
      <c r="M365" s="11" t="n">
        <v>0</v>
      </c>
      <c r="N365" s="11"/>
      <c r="O365" s="11"/>
    </row>
    <row r="366" customFormat="false" ht="15" hidden="false" customHeight="false" outlineLevel="0" collapsed="false">
      <c r="A366" s="11" t="s">
        <v>2153</v>
      </c>
      <c r="B366" s="11" t="s">
        <v>400</v>
      </c>
      <c r="C366" s="11" t="s">
        <v>399</v>
      </c>
      <c r="D366" s="38" t="n">
        <v>45863</v>
      </c>
      <c r="E366" s="38" t="n">
        <v>45893</v>
      </c>
      <c r="F366" s="37" t="n">
        <v>18000</v>
      </c>
      <c r="G366" s="37" t="n">
        <v>3600</v>
      </c>
      <c r="H366" s="37" t="n">
        <v>21600</v>
      </c>
      <c r="I366" s="11" t="s">
        <v>283</v>
      </c>
      <c r="J366" s="11"/>
      <c r="K366" s="11" t="s">
        <v>4152</v>
      </c>
      <c r="L366" s="38" t="n">
        <v>45887</v>
      </c>
      <c r="M366" s="11" t="n">
        <v>-6</v>
      </c>
      <c r="N366" s="11"/>
      <c r="O366" s="11"/>
    </row>
    <row r="367" customFormat="false" ht="15" hidden="false" customHeight="false" outlineLevel="0" collapsed="false">
      <c r="A367" s="11" t="s">
        <v>2383</v>
      </c>
      <c r="B367" s="11" t="s">
        <v>332</v>
      </c>
      <c r="C367" s="11" t="s">
        <v>331</v>
      </c>
      <c r="D367" s="38" t="n">
        <v>45867</v>
      </c>
      <c r="E367" s="38" t="n">
        <v>45912</v>
      </c>
      <c r="F367" s="37" t="n">
        <v>2950</v>
      </c>
      <c r="G367" s="37" t="n">
        <v>590</v>
      </c>
      <c r="H367" s="37" t="n">
        <v>3540</v>
      </c>
      <c r="I367" s="11" t="s">
        <v>283</v>
      </c>
      <c r="J367" s="11"/>
      <c r="K367" s="11" t="s">
        <v>4152</v>
      </c>
      <c r="L367" s="38" t="n">
        <v>45940</v>
      </c>
      <c r="M367" s="11" t="n">
        <v>28</v>
      </c>
      <c r="N367" s="11"/>
      <c r="O367" s="11"/>
    </row>
    <row r="368" customFormat="false" ht="15" hidden="false" customHeight="false" outlineLevel="0" collapsed="false">
      <c r="A368" s="11" t="s">
        <v>2420</v>
      </c>
      <c r="B368" s="11" t="s">
        <v>328</v>
      </c>
      <c r="C368" s="11" t="s">
        <v>327</v>
      </c>
      <c r="D368" s="38" t="n">
        <v>45867</v>
      </c>
      <c r="E368" s="38" t="n">
        <v>45927</v>
      </c>
      <c r="F368" s="37" t="n">
        <v>13180</v>
      </c>
      <c r="G368" s="37" t="n">
        <v>2636</v>
      </c>
      <c r="H368" s="37" t="n">
        <v>15816</v>
      </c>
      <c r="I368" s="11" t="s">
        <v>283</v>
      </c>
      <c r="J368" s="11"/>
      <c r="K368" s="11" t="s">
        <v>4152</v>
      </c>
      <c r="L368" s="38" t="n">
        <v>45953</v>
      </c>
      <c r="M368" s="11" t="n">
        <v>26</v>
      </c>
      <c r="N368" s="11"/>
      <c r="O368" s="11"/>
    </row>
    <row r="369" customFormat="false" ht="15" hidden="false" customHeight="false" outlineLevel="0" collapsed="false">
      <c r="A369" s="11" t="s">
        <v>2390</v>
      </c>
      <c r="B369" s="11" t="s">
        <v>350</v>
      </c>
      <c r="C369" s="11" t="s">
        <v>349</v>
      </c>
      <c r="D369" s="38" t="n">
        <v>45868</v>
      </c>
      <c r="E369" s="38" t="n">
        <v>45928</v>
      </c>
      <c r="F369" s="37" t="n">
        <v>12450</v>
      </c>
      <c r="G369" s="37" t="n">
        <v>2490</v>
      </c>
      <c r="H369" s="37" t="n">
        <v>14940</v>
      </c>
      <c r="I369" s="11" t="s">
        <v>283</v>
      </c>
      <c r="J369" s="11"/>
      <c r="K369" s="11" t="s">
        <v>4152</v>
      </c>
      <c r="L369" s="38" t="n">
        <v>45945</v>
      </c>
      <c r="M369" s="11" t="n">
        <v>17</v>
      </c>
      <c r="N369" s="11"/>
      <c r="O369" s="11"/>
    </row>
    <row r="370" customFormat="false" ht="15" hidden="false" customHeight="false" outlineLevel="0" collapsed="false">
      <c r="A370" s="11" t="s">
        <v>2330</v>
      </c>
      <c r="B370" s="11" t="s">
        <v>332</v>
      </c>
      <c r="C370" s="11" t="s">
        <v>331</v>
      </c>
      <c r="D370" s="38" t="n">
        <v>45869</v>
      </c>
      <c r="E370" s="38" t="n">
        <v>45914</v>
      </c>
      <c r="F370" s="37" t="n">
        <v>19460</v>
      </c>
      <c r="G370" s="37" t="n">
        <v>3892</v>
      </c>
      <c r="H370" s="37" t="n">
        <v>23352</v>
      </c>
      <c r="I370" s="11" t="s">
        <v>283</v>
      </c>
      <c r="J370" s="11"/>
      <c r="K370" s="11" t="s">
        <v>4152</v>
      </c>
      <c r="L370" s="38" t="n">
        <v>45925</v>
      </c>
      <c r="M370" s="11" t="n">
        <v>11</v>
      </c>
      <c r="N370" s="11"/>
      <c r="O370" s="11"/>
    </row>
    <row r="371" customFormat="false" ht="15" hidden="false" customHeight="false" outlineLevel="0" collapsed="false">
      <c r="A371" s="11" t="s">
        <v>2278</v>
      </c>
      <c r="B371" s="11" t="s">
        <v>400</v>
      </c>
      <c r="C371" s="11" t="s">
        <v>399</v>
      </c>
      <c r="D371" s="38" t="n">
        <v>45869</v>
      </c>
      <c r="E371" s="38" t="n">
        <v>45899</v>
      </c>
      <c r="F371" s="37" t="n">
        <v>8550</v>
      </c>
      <c r="G371" s="37" t="n">
        <v>1710</v>
      </c>
      <c r="H371" s="37" t="n">
        <v>10260</v>
      </c>
      <c r="I371" s="11" t="s">
        <v>283</v>
      </c>
      <c r="J371" s="11"/>
      <c r="K371" s="11" t="s">
        <v>4152</v>
      </c>
      <c r="L371" s="38" t="n">
        <v>45912</v>
      </c>
      <c r="M371" s="11" t="n">
        <v>13</v>
      </c>
      <c r="N371" s="11"/>
      <c r="O371" s="11"/>
    </row>
    <row r="372" customFormat="false" ht="15" hidden="false" customHeight="false" outlineLevel="0" collapsed="false">
      <c r="A372" s="11" t="s">
        <v>2321</v>
      </c>
      <c r="B372" s="11" t="s">
        <v>336</v>
      </c>
      <c r="C372" s="11" t="s">
        <v>335</v>
      </c>
      <c r="D372" s="38" t="n">
        <v>45870</v>
      </c>
      <c r="E372" s="38" t="n">
        <v>45915</v>
      </c>
      <c r="F372" s="37" t="n">
        <v>6500</v>
      </c>
      <c r="G372" s="37" t="n">
        <v>1300</v>
      </c>
      <c r="H372" s="37" t="n">
        <v>7800</v>
      </c>
      <c r="I372" s="11" t="s">
        <v>283</v>
      </c>
      <c r="J372" s="11"/>
      <c r="K372" s="11" t="s">
        <v>4152</v>
      </c>
      <c r="L372" s="38" t="n">
        <v>45924</v>
      </c>
      <c r="M372" s="11" t="n">
        <v>9</v>
      </c>
      <c r="N372" s="11"/>
      <c r="O372" s="11"/>
    </row>
    <row r="373" customFormat="false" ht="15" hidden="false" customHeight="false" outlineLevel="0" collapsed="false">
      <c r="A373" s="11" t="s">
        <v>2292</v>
      </c>
      <c r="B373" s="11" t="s">
        <v>336</v>
      </c>
      <c r="C373" s="11" t="s">
        <v>335</v>
      </c>
      <c r="D373" s="38" t="n">
        <v>45870</v>
      </c>
      <c r="E373" s="38" t="n">
        <v>45915</v>
      </c>
      <c r="F373" s="37" t="n">
        <v>5250</v>
      </c>
      <c r="G373" s="37" t="n">
        <v>1050</v>
      </c>
      <c r="H373" s="37" t="n">
        <v>6300</v>
      </c>
      <c r="I373" s="11" t="s">
        <v>283</v>
      </c>
      <c r="J373" s="11"/>
      <c r="K373" s="11" t="s">
        <v>4152</v>
      </c>
      <c r="L373" s="38" t="n">
        <v>45917</v>
      </c>
      <c r="M373" s="11" t="n">
        <v>2</v>
      </c>
      <c r="N373" s="11"/>
      <c r="O373" s="11"/>
    </row>
    <row r="374" customFormat="false" ht="15" hidden="false" customHeight="false" outlineLevel="0" collapsed="false">
      <c r="A374" s="11" t="s">
        <v>2290</v>
      </c>
      <c r="B374" s="11" t="s">
        <v>336</v>
      </c>
      <c r="C374" s="11" t="s">
        <v>335</v>
      </c>
      <c r="D374" s="38" t="n">
        <v>45870</v>
      </c>
      <c r="E374" s="38" t="n">
        <v>45915</v>
      </c>
      <c r="F374" s="37" t="n">
        <v>1480</v>
      </c>
      <c r="G374" s="37" t="n">
        <v>296</v>
      </c>
      <c r="H374" s="37" t="n">
        <v>1776</v>
      </c>
      <c r="I374" s="11" t="s">
        <v>283</v>
      </c>
      <c r="J374" s="11"/>
      <c r="K374" s="11" t="s">
        <v>4152</v>
      </c>
      <c r="L374" s="38" t="n">
        <v>45917</v>
      </c>
      <c r="M374" s="11" t="n">
        <v>2</v>
      </c>
      <c r="N374" s="11"/>
      <c r="O374" s="11"/>
    </row>
    <row r="375" customFormat="false" ht="15" hidden="false" customHeight="false" outlineLevel="0" collapsed="false">
      <c r="A375" s="11" t="s">
        <v>2363</v>
      </c>
      <c r="B375" s="11" t="s">
        <v>299</v>
      </c>
      <c r="C375" s="11" t="s">
        <v>298</v>
      </c>
      <c r="D375" s="38" t="n">
        <v>45870</v>
      </c>
      <c r="E375" s="38" t="n">
        <v>45930</v>
      </c>
      <c r="F375" s="37" t="n">
        <v>9280</v>
      </c>
      <c r="G375" s="37" t="n">
        <v>0</v>
      </c>
      <c r="H375" s="37" t="n">
        <v>9280</v>
      </c>
      <c r="I375" s="11" t="s">
        <v>283</v>
      </c>
      <c r="J375" s="11"/>
      <c r="K375" s="11" t="s">
        <v>4152</v>
      </c>
      <c r="L375" s="38" t="n">
        <v>45936</v>
      </c>
      <c r="M375" s="11" t="n">
        <v>6</v>
      </c>
      <c r="N375" s="11"/>
      <c r="O375" s="11"/>
    </row>
    <row r="376" customFormat="false" ht="15" hidden="false" customHeight="false" outlineLevel="0" collapsed="false">
      <c r="A376" s="11" t="s">
        <v>2393</v>
      </c>
      <c r="B376" s="11" t="s">
        <v>332</v>
      </c>
      <c r="C376" s="11" t="s">
        <v>331</v>
      </c>
      <c r="D376" s="38" t="n">
        <v>45870</v>
      </c>
      <c r="E376" s="38" t="n">
        <v>45915</v>
      </c>
      <c r="F376" s="37" t="n">
        <v>3880</v>
      </c>
      <c r="G376" s="37" t="n">
        <v>776</v>
      </c>
      <c r="H376" s="37" t="n">
        <v>4656</v>
      </c>
      <c r="I376" s="11" t="s">
        <v>283</v>
      </c>
      <c r="J376" s="11"/>
      <c r="K376" s="11" t="s">
        <v>4152</v>
      </c>
      <c r="L376" s="38" t="n">
        <v>45945</v>
      </c>
      <c r="M376" s="11" t="n">
        <v>30</v>
      </c>
      <c r="N376" s="11"/>
      <c r="O376" s="11"/>
    </row>
    <row r="377" customFormat="false" ht="15" hidden="false" customHeight="false" outlineLevel="0" collapsed="false">
      <c r="A377" s="11" t="s">
        <v>2254</v>
      </c>
      <c r="B377" s="11" t="s">
        <v>288</v>
      </c>
      <c r="C377" s="11" t="s">
        <v>287</v>
      </c>
      <c r="D377" s="38" t="n">
        <v>45870</v>
      </c>
      <c r="E377" s="38" t="n">
        <v>45900</v>
      </c>
      <c r="F377" s="37" t="n">
        <v>5040</v>
      </c>
      <c r="G377" s="37" t="n">
        <v>1008</v>
      </c>
      <c r="H377" s="37" t="n">
        <v>6048</v>
      </c>
      <c r="I377" s="11" t="s">
        <v>283</v>
      </c>
      <c r="J377" s="11"/>
      <c r="K377" s="11" t="s">
        <v>4152</v>
      </c>
      <c r="L377" s="38" t="n">
        <v>45908</v>
      </c>
      <c r="M377" s="11" t="n">
        <v>8</v>
      </c>
      <c r="N377" s="11"/>
      <c r="O377" s="11"/>
    </row>
    <row r="378" customFormat="false" ht="15" hidden="false" customHeight="false" outlineLevel="0" collapsed="false">
      <c r="A378" s="11" t="s">
        <v>2294</v>
      </c>
      <c r="B378" s="11" t="s">
        <v>336</v>
      </c>
      <c r="C378" s="11" t="s">
        <v>335</v>
      </c>
      <c r="D378" s="38" t="n">
        <v>45870</v>
      </c>
      <c r="E378" s="38" t="n">
        <v>45915</v>
      </c>
      <c r="F378" s="37" t="n">
        <v>3530</v>
      </c>
      <c r="G378" s="37" t="n">
        <v>706</v>
      </c>
      <c r="H378" s="37" t="n">
        <v>4236</v>
      </c>
      <c r="I378" s="11" t="s">
        <v>283</v>
      </c>
      <c r="J378" s="11"/>
      <c r="K378" s="11" t="s">
        <v>4152</v>
      </c>
      <c r="L378" s="38" t="n">
        <v>45917</v>
      </c>
      <c r="M378" s="11" t="n">
        <v>2</v>
      </c>
      <c r="N378" s="11"/>
      <c r="O378" s="11"/>
    </row>
    <row r="379" customFormat="false" ht="15" hidden="false" customHeight="false" outlineLevel="0" collapsed="false">
      <c r="A379" s="11" t="s">
        <v>2336</v>
      </c>
      <c r="B379" s="11" t="s">
        <v>324</v>
      </c>
      <c r="C379" s="11" t="s">
        <v>323</v>
      </c>
      <c r="D379" s="38" t="n">
        <v>45873</v>
      </c>
      <c r="E379" s="38" t="n">
        <v>45903</v>
      </c>
      <c r="F379" s="37" t="n">
        <v>5610</v>
      </c>
      <c r="G379" s="37" t="n">
        <v>1122</v>
      </c>
      <c r="H379" s="37" t="n">
        <v>6732</v>
      </c>
      <c r="I379" s="11" t="s">
        <v>283</v>
      </c>
      <c r="J379" s="11"/>
      <c r="K379" s="11" t="s">
        <v>4152</v>
      </c>
      <c r="L379" s="38" t="n">
        <v>45926</v>
      </c>
      <c r="M379" s="11" t="n">
        <v>23</v>
      </c>
      <c r="N379" s="11"/>
      <c r="O379" s="11"/>
    </row>
    <row r="380" customFormat="false" ht="15" hidden="false" customHeight="false" outlineLevel="0" collapsed="false">
      <c r="A380" s="11" t="s">
        <v>2358</v>
      </c>
      <c r="B380" s="11" t="s">
        <v>332</v>
      </c>
      <c r="C380" s="11" t="s">
        <v>331</v>
      </c>
      <c r="D380" s="38" t="n">
        <v>45873</v>
      </c>
      <c r="E380" s="38" t="n">
        <v>45918</v>
      </c>
      <c r="F380" s="37" t="n">
        <v>6080</v>
      </c>
      <c r="G380" s="37" t="n">
        <v>1216</v>
      </c>
      <c r="H380" s="37" t="n">
        <v>7296</v>
      </c>
      <c r="I380" s="11" t="s">
        <v>283</v>
      </c>
      <c r="J380" s="11"/>
      <c r="K380" s="11" t="s">
        <v>4152</v>
      </c>
      <c r="L380" s="38" t="n">
        <v>45932</v>
      </c>
      <c r="M380" s="11" t="n">
        <v>14</v>
      </c>
      <c r="N380" s="11"/>
      <c r="O380" s="11"/>
    </row>
    <row r="381" customFormat="false" ht="15" hidden="false" customHeight="false" outlineLevel="0" collapsed="false">
      <c r="A381" s="11" t="s">
        <v>2407</v>
      </c>
      <c r="B381" s="11" t="s">
        <v>393</v>
      </c>
      <c r="C381" s="11" t="s">
        <v>392</v>
      </c>
      <c r="D381" s="38" t="n">
        <v>45874</v>
      </c>
      <c r="E381" s="38" t="n">
        <v>45924</v>
      </c>
      <c r="F381" s="37" t="n">
        <v>12980</v>
      </c>
      <c r="G381" s="37" t="n">
        <v>2596</v>
      </c>
      <c r="H381" s="37" t="n">
        <v>15576</v>
      </c>
      <c r="I381" s="11" t="s">
        <v>283</v>
      </c>
      <c r="J381" s="11"/>
      <c r="K381" s="11" t="s">
        <v>4152</v>
      </c>
      <c r="L381" s="38" t="n">
        <v>45950</v>
      </c>
      <c r="M381" s="11" t="n">
        <v>26</v>
      </c>
      <c r="N381" s="11"/>
      <c r="O381" s="11"/>
    </row>
    <row r="382" customFormat="false" ht="15" hidden="false" customHeight="false" outlineLevel="0" collapsed="false">
      <c r="A382" s="11" t="s">
        <v>2387</v>
      </c>
      <c r="B382" s="11" t="s">
        <v>328</v>
      </c>
      <c r="C382" s="11" t="s">
        <v>327</v>
      </c>
      <c r="D382" s="38" t="n">
        <v>45875</v>
      </c>
      <c r="E382" s="38" t="n">
        <v>45935</v>
      </c>
      <c r="F382" s="37" t="n">
        <v>37890</v>
      </c>
      <c r="G382" s="37" t="n">
        <v>7578</v>
      </c>
      <c r="H382" s="37" t="n">
        <v>45468</v>
      </c>
      <c r="I382" s="11" t="s">
        <v>283</v>
      </c>
      <c r="J382" s="11"/>
      <c r="K382" s="11" t="s">
        <v>4152</v>
      </c>
      <c r="L382" s="38" t="n">
        <v>45943</v>
      </c>
      <c r="M382" s="11" t="n">
        <v>8</v>
      </c>
      <c r="N382" s="11"/>
      <c r="O382" s="11"/>
    </row>
    <row r="383" customFormat="false" ht="15" hidden="false" customHeight="false" outlineLevel="0" collapsed="false">
      <c r="A383" s="11" t="s">
        <v>2251</v>
      </c>
      <c r="B383" s="11" t="s">
        <v>324</v>
      </c>
      <c r="C383" s="11" t="s">
        <v>323</v>
      </c>
      <c r="D383" s="38" t="n">
        <v>45876</v>
      </c>
      <c r="E383" s="38" t="n">
        <v>45906</v>
      </c>
      <c r="F383" s="37" t="n">
        <v>7370</v>
      </c>
      <c r="G383" s="37" t="n">
        <v>1474</v>
      </c>
      <c r="H383" s="37" t="n">
        <v>8844</v>
      </c>
      <c r="I383" s="11" t="s">
        <v>283</v>
      </c>
      <c r="J383" s="11"/>
      <c r="K383" s="11" t="s">
        <v>4152</v>
      </c>
      <c r="L383" s="38" t="n">
        <v>45908</v>
      </c>
      <c r="M383" s="11" t="n">
        <v>2</v>
      </c>
      <c r="N383" s="11"/>
      <c r="O383" s="11"/>
    </row>
    <row r="384" customFormat="false" ht="15" hidden="false" customHeight="false" outlineLevel="0" collapsed="false">
      <c r="A384" s="11" t="s">
        <v>2309</v>
      </c>
      <c r="B384" s="11" t="s">
        <v>281</v>
      </c>
      <c r="C384" s="11" t="s">
        <v>280</v>
      </c>
      <c r="D384" s="38" t="n">
        <v>45876</v>
      </c>
      <c r="E384" s="38" t="n">
        <v>45921</v>
      </c>
      <c r="F384" s="37" t="n">
        <v>7560</v>
      </c>
      <c r="G384" s="37" t="n">
        <v>1512</v>
      </c>
      <c r="H384" s="37" t="n">
        <v>9072</v>
      </c>
      <c r="I384" s="11" t="s">
        <v>283</v>
      </c>
      <c r="J384" s="11"/>
      <c r="K384" s="11" t="s">
        <v>4152</v>
      </c>
      <c r="L384" s="38" t="n">
        <v>45922</v>
      </c>
      <c r="M384" s="11" t="n">
        <v>1</v>
      </c>
      <c r="N384" s="11"/>
      <c r="O384" s="11"/>
    </row>
    <row r="385" customFormat="false" ht="15" hidden="false" customHeight="false" outlineLevel="0" collapsed="false">
      <c r="A385" s="11" t="s">
        <v>2426</v>
      </c>
      <c r="B385" s="11" t="s">
        <v>350</v>
      </c>
      <c r="C385" s="11" t="s">
        <v>349</v>
      </c>
      <c r="D385" s="38" t="n">
        <v>45876</v>
      </c>
      <c r="E385" s="38" t="n">
        <v>45936</v>
      </c>
      <c r="F385" s="37" t="n">
        <v>7630</v>
      </c>
      <c r="G385" s="37" t="n">
        <v>1526</v>
      </c>
      <c r="H385" s="37" t="n">
        <v>9156</v>
      </c>
      <c r="I385" s="11" t="s">
        <v>283</v>
      </c>
      <c r="J385" s="11"/>
      <c r="K385" s="11" t="s">
        <v>4152</v>
      </c>
      <c r="L385" s="38" t="n">
        <v>45957</v>
      </c>
      <c r="M385" s="11" t="n">
        <v>21</v>
      </c>
      <c r="N385" s="11"/>
      <c r="O385" s="11"/>
    </row>
    <row r="386" customFormat="false" ht="15" hidden="false" customHeight="false" outlineLevel="0" collapsed="false">
      <c r="A386" s="11" t="s">
        <v>2430</v>
      </c>
      <c r="B386" s="11" t="s">
        <v>350</v>
      </c>
      <c r="C386" s="11" t="s">
        <v>349</v>
      </c>
      <c r="D386" s="38" t="n">
        <v>45877</v>
      </c>
      <c r="E386" s="38" t="n">
        <v>45937</v>
      </c>
      <c r="F386" s="37" t="n">
        <v>18240</v>
      </c>
      <c r="G386" s="37" t="n">
        <v>3648</v>
      </c>
      <c r="H386" s="37" t="n">
        <v>21888</v>
      </c>
      <c r="I386" s="11" t="s">
        <v>283</v>
      </c>
      <c r="J386" s="11"/>
      <c r="K386" s="11" t="s">
        <v>4152</v>
      </c>
      <c r="L386" s="38" t="n">
        <v>45957</v>
      </c>
      <c r="M386" s="11" t="n">
        <v>20</v>
      </c>
      <c r="N386" s="11"/>
      <c r="O386" s="11"/>
    </row>
    <row r="387" customFormat="false" ht="15" hidden="false" customHeight="false" outlineLevel="0" collapsed="false">
      <c r="A387" s="11" t="s">
        <v>2315</v>
      </c>
      <c r="B387" s="11" t="s">
        <v>281</v>
      </c>
      <c r="C387" s="11" t="s">
        <v>280</v>
      </c>
      <c r="D387" s="38" t="n">
        <v>45877</v>
      </c>
      <c r="E387" s="38" t="n">
        <v>45922</v>
      </c>
      <c r="F387" s="37" t="n">
        <v>7820</v>
      </c>
      <c r="G387" s="37" t="n">
        <v>1564</v>
      </c>
      <c r="H387" s="37" t="n">
        <v>9384</v>
      </c>
      <c r="I387" s="11" t="s">
        <v>283</v>
      </c>
      <c r="J387" s="11"/>
      <c r="K387" s="11" t="s">
        <v>4152</v>
      </c>
      <c r="L387" s="38" t="n">
        <v>45922</v>
      </c>
      <c r="M387" s="11" t="n">
        <v>0</v>
      </c>
      <c r="N387" s="11"/>
      <c r="O387" s="11"/>
    </row>
    <row r="388" customFormat="false" ht="15" hidden="false" customHeight="false" outlineLevel="0" collapsed="false">
      <c r="A388" s="11" t="s">
        <v>2346</v>
      </c>
      <c r="B388" s="11" t="s">
        <v>336</v>
      </c>
      <c r="C388" s="11" t="s">
        <v>335</v>
      </c>
      <c r="D388" s="38" t="n">
        <v>45877</v>
      </c>
      <c r="E388" s="38" t="n">
        <v>45922</v>
      </c>
      <c r="F388" s="37" t="n">
        <v>7390</v>
      </c>
      <c r="G388" s="37" t="n">
        <v>1478</v>
      </c>
      <c r="H388" s="37" t="n">
        <v>8868</v>
      </c>
      <c r="I388" s="11" t="s">
        <v>283</v>
      </c>
      <c r="J388" s="11"/>
      <c r="K388" s="11" t="s">
        <v>4152</v>
      </c>
      <c r="L388" s="38" t="n">
        <v>45929</v>
      </c>
      <c r="M388" s="11" t="n">
        <v>7</v>
      </c>
      <c r="N388" s="11"/>
      <c r="O388" s="11"/>
    </row>
    <row r="389" customFormat="false" ht="15" hidden="false" customHeight="false" outlineLevel="0" collapsed="false">
      <c r="A389" s="11" t="s">
        <v>2334</v>
      </c>
      <c r="B389" s="11" t="s">
        <v>281</v>
      </c>
      <c r="C389" s="11" t="s">
        <v>280</v>
      </c>
      <c r="D389" s="38" t="n">
        <v>45880</v>
      </c>
      <c r="E389" s="38" t="n">
        <v>45925</v>
      </c>
      <c r="F389" s="37" t="n">
        <v>11220</v>
      </c>
      <c r="G389" s="37" t="n">
        <v>2244</v>
      </c>
      <c r="H389" s="37" t="n">
        <v>13464</v>
      </c>
      <c r="I389" s="11" t="s">
        <v>283</v>
      </c>
      <c r="J389" s="11"/>
      <c r="K389" s="11" t="s">
        <v>4152</v>
      </c>
      <c r="L389" s="38" t="n">
        <v>45925</v>
      </c>
      <c r="M389" s="11" t="n">
        <v>0</v>
      </c>
      <c r="N389" s="11"/>
      <c r="O389" s="11"/>
    </row>
    <row r="390" customFormat="false" ht="15" hidden="false" customHeight="false" outlineLevel="0" collapsed="false">
      <c r="A390" s="11" t="s">
        <v>2372</v>
      </c>
      <c r="B390" s="11" t="s">
        <v>400</v>
      </c>
      <c r="C390" s="11" t="s">
        <v>399</v>
      </c>
      <c r="D390" s="38" t="n">
        <v>45880</v>
      </c>
      <c r="E390" s="38" t="n">
        <v>45910</v>
      </c>
      <c r="F390" s="37" t="n">
        <v>16220</v>
      </c>
      <c r="G390" s="37" t="n">
        <v>3244</v>
      </c>
      <c r="H390" s="37" t="n">
        <v>19464</v>
      </c>
      <c r="I390" s="11" t="s">
        <v>283</v>
      </c>
      <c r="J390" s="11"/>
      <c r="K390" s="11" t="s">
        <v>4152</v>
      </c>
      <c r="L390" s="38" t="n">
        <v>45939</v>
      </c>
      <c r="M390" s="11" t="n">
        <v>29</v>
      </c>
      <c r="N390" s="11"/>
      <c r="O390" s="11"/>
    </row>
    <row r="391" customFormat="false" ht="15" hidden="false" customHeight="false" outlineLevel="0" collapsed="false">
      <c r="A391" s="11" t="s">
        <v>2405</v>
      </c>
      <c r="B391" s="11" t="s">
        <v>299</v>
      </c>
      <c r="C391" s="11" t="s">
        <v>298</v>
      </c>
      <c r="D391" s="38" t="n">
        <v>45881</v>
      </c>
      <c r="E391" s="38" t="n">
        <v>45941</v>
      </c>
      <c r="F391" s="37" t="n">
        <v>10190</v>
      </c>
      <c r="G391" s="37" t="n">
        <v>0</v>
      </c>
      <c r="H391" s="37" t="n">
        <v>10190</v>
      </c>
      <c r="I391" s="11" t="s">
        <v>283</v>
      </c>
      <c r="J391" s="11"/>
      <c r="K391" s="11" t="s">
        <v>4152</v>
      </c>
      <c r="L391" s="38" t="n">
        <v>45946</v>
      </c>
      <c r="M391" s="11" t="n">
        <v>5</v>
      </c>
      <c r="N391" s="11"/>
      <c r="O391" s="11"/>
    </row>
    <row r="392" customFormat="false" ht="15" hidden="false" customHeight="false" outlineLevel="0" collapsed="false">
      <c r="A392" s="11" t="s">
        <v>2340</v>
      </c>
      <c r="B392" s="11" t="s">
        <v>281</v>
      </c>
      <c r="C392" s="11" t="s">
        <v>280</v>
      </c>
      <c r="D392" s="38" t="n">
        <v>45883</v>
      </c>
      <c r="E392" s="38" t="n">
        <v>45928</v>
      </c>
      <c r="F392" s="37" t="n">
        <v>5830</v>
      </c>
      <c r="G392" s="37" t="n">
        <v>1166</v>
      </c>
      <c r="H392" s="37" t="n">
        <v>6996</v>
      </c>
      <c r="I392" s="11" t="s">
        <v>283</v>
      </c>
      <c r="J392" s="11"/>
      <c r="K392" s="11" t="s">
        <v>4152</v>
      </c>
      <c r="L392" s="38" t="n">
        <v>45929</v>
      </c>
      <c r="M392" s="11" t="n">
        <v>1</v>
      </c>
      <c r="N392" s="11"/>
      <c r="O392" s="11"/>
    </row>
    <row r="393" customFormat="false" ht="15" hidden="false" customHeight="false" outlineLevel="0" collapsed="false">
      <c r="A393" s="11" t="s">
        <v>2342</v>
      </c>
      <c r="B393" s="11" t="s">
        <v>281</v>
      </c>
      <c r="C393" s="11" t="s">
        <v>280</v>
      </c>
      <c r="D393" s="38" t="n">
        <v>45883</v>
      </c>
      <c r="E393" s="38" t="n">
        <v>45928</v>
      </c>
      <c r="F393" s="37" t="n">
        <v>6510</v>
      </c>
      <c r="G393" s="37" t="n">
        <v>1302</v>
      </c>
      <c r="H393" s="37" t="n">
        <v>7812</v>
      </c>
      <c r="I393" s="11" t="s">
        <v>283</v>
      </c>
      <c r="J393" s="11"/>
      <c r="K393" s="11" t="s">
        <v>4152</v>
      </c>
      <c r="L393" s="38" t="n">
        <v>45929</v>
      </c>
      <c r="M393" s="11" t="n">
        <v>1</v>
      </c>
      <c r="N393" s="11"/>
      <c r="O393" s="11"/>
    </row>
    <row r="394" customFormat="false" ht="15" hidden="false" customHeight="false" outlineLevel="0" collapsed="false">
      <c r="A394" s="11" t="s">
        <v>2305</v>
      </c>
      <c r="B394" s="11" t="s">
        <v>288</v>
      </c>
      <c r="C394" s="11" t="s">
        <v>287</v>
      </c>
      <c r="D394" s="38" t="n">
        <v>45891</v>
      </c>
      <c r="E394" s="38" t="n">
        <v>45921</v>
      </c>
      <c r="F394" s="37" t="n">
        <v>2840</v>
      </c>
      <c r="G394" s="37" t="n">
        <v>568</v>
      </c>
      <c r="H394" s="37" t="n">
        <v>3408</v>
      </c>
      <c r="I394" s="11" t="s">
        <v>283</v>
      </c>
      <c r="J394" s="11"/>
      <c r="K394" s="11" t="s">
        <v>4152</v>
      </c>
      <c r="L394" s="38" t="n">
        <v>45922</v>
      </c>
      <c r="M394" s="11" t="n">
        <v>1</v>
      </c>
      <c r="N394" s="11"/>
      <c r="O394" s="11"/>
    </row>
    <row r="395" customFormat="false" ht="15" hidden="false" customHeight="false" outlineLevel="0" collapsed="false">
      <c r="A395" s="11" t="s">
        <v>2485</v>
      </c>
      <c r="B395" s="11" t="s">
        <v>328</v>
      </c>
      <c r="C395" s="11" t="s">
        <v>327</v>
      </c>
      <c r="D395" s="38" t="n">
        <v>45891</v>
      </c>
      <c r="E395" s="38" t="n">
        <v>45951</v>
      </c>
      <c r="F395" s="37" t="n">
        <v>7510</v>
      </c>
      <c r="G395" s="37" t="n">
        <v>1502</v>
      </c>
      <c r="H395" s="37" t="n">
        <v>9012</v>
      </c>
      <c r="I395" s="11" t="s">
        <v>283</v>
      </c>
      <c r="J395" s="11"/>
      <c r="K395" s="11" t="s">
        <v>4152</v>
      </c>
      <c r="L395" s="38" t="n">
        <v>45967</v>
      </c>
      <c r="M395" s="11" t="n">
        <v>16</v>
      </c>
      <c r="N395" s="11"/>
      <c r="O395" s="11"/>
    </row>
    <row r="396" customFormat="false" ht="15" hidden="false" customHeight="false" outlineLevel="0" collapsed="false">
      <c r="A396" s="11" t="s">
        <v>2378</v>
      </c>
      <c r="B396" s="11" t="s">
        <v>336</v>
      </c>
      <c r="C396" s="11" t="s">
        <v>335</v>
      </c>
      <c r="D396" s="38" t="n">
        <v>45894</v>
      </c>
      <c r="E396" s="38" t="n">
        <v>45939</v>
      </c>
      <c r="F396" s="37" t="n">
        <v>5050</v>
      </c>
      <c r="G396" s="37" t="n">
        <v>1010</v>
      </c>
      <c r="H396" s="37" t="n">
        <v>6060</v>
      </c>
      <c r="I396" s="11" t="s">
        <v>283</v>
      </c>
      <c r="J396" s="11"/>
      <c r="K396" s="11" t="s">
        <v>4152</v>
      </c>
      <c r="L396" s="38" t="n">
        <v>45939</v>
      </c>
      <c r="M396" s="11" t="n">
        <v>0</v>
      </c>
      <c r="N396" s="11"/>
      <c r="O396" s="11"/>
    </row>
    <row r="397" customFormat="false" ht="15" hidden="false" customHeight="false" outlineLevel="0" collapsed="false">
      <c r="A397" s="11" t="s">
        <v>2432</v>
      </c>
      <c r="B397" s="11" t="s">
        <v>332</v>
      </c>
      <c r="C397" s="11" t="s">
        <v>331</v>
      </c>
      <c r="D397" s="38" t="n">
        <v>45895</v>
      </c>
      <c r="E397" s="38" t="n">
        <v>45940</v>
      </c>
      <c r="F397" s="37" t="n">
        <v>16000</v>
      </c>
      <c r="G397" s="37" t="n">
        <v>3200</v>
      </c>
      <c r="H397" s="37" t="n">
        <v>19200</v>
      </c>
      <c r="I397" s="11" t="s">
        <v>283</v>
      </c>
      <c r="J397" s="11"/>
      <c r="K397" s="11" t="s">
        <v>4152</v>
      </c>
      <c r="L397" s="38" t="n">
        <v>45957</v>
      </c>
      <c r="M397" s="11" t="n">
        <v>17</v>
      </c>
      <c r="N397" s="11"/>
      <c r="O397" s="11"/>
    </row>
    <row r="398" customFormat="false" ht="15" hidden="false" customHeight="false" outlineLevel="0" collapsed="false">
      <c r="A398" s="11" t="s">
        <v>2462</v>
      </c>
      <c r="B398" s="11" t="s">
        <v>350</v>
      </c>
      <c r="C398" s="11" t="s">
        <v>349</v>
      </c>
      <c r="D398" s="38" t="n">
        <v>45896</v>
      </c>
      <c r="E398" s="38" t="n">
        <v>45956</v>
      </c>
      <c r="F398" s="37" t="n">
        <v>9820</v>
      </c>
      <c r="G398" s="37" t="n">
        <v>1964</v>
      </c>
      <c r="H398" s="37" t="n">
        <v>11784</v>
      </c>
      <c r="I398" s="11" t="s">
        <v>283</v>
      </c>
      <c r="J398" s="11"/>
      <c r="K398" s="11" t="s">
        <v>4152</v>
      </c>
      <c r="L398" s="38" t="n">
        <v>45964</v>
      </c>
      <c r="M398" s="11" t="n">
        <v>8</v>
      </c>
      <c r="N398" s="11"/>
      <c r="O398" s="11"/>
    </row>
    <row r="399" customFormat="false" ht="15" hidden="false" customHeight="false" outlineLevel="0" collapsed="false">
      <c r="A399" s="11" t="s">
        <v>2344</v>
      </c>
      <c r="B399" s="11" t="s">
        <v>288</v>
      </c>
      <c r="C399" s="11" t="s">
        <v>287</v>
      </c>
      <c r="D399" s="38" t="n">
        <v>45898</v>
      </c>
      <c r="E399" s="38" t="n">
        <v>45928</v>
      </c>
      <c r="F399" s="37" t="n">
        <v>5100</v>
      </c>
      <c r="G399" s="37" t="n">
        <v>1020</v>
      </c>
      <c r="H399" s="37" t="n">
        <v>6120</v>
      </c>
      <c r="I399" s="11" t="s">
        <v>283</v>
      </c>
      <c r="J399" s="11"/>
      <c r="K399" s="11" t="s">
        <v>4152</v>
      </c>
      <c r="L399" s="38" t="n">
        <v>45929</v>
      </c>
      <c r="M399" s="11" t="n">
        <v>1</v>
      </c>
      <c r="N399" s="11"/>
      <c r="O399" s="11"/>
    </row>
    <row r="400" customFormat="false" ht="15" hidden="false" customHeight="false" outlineLevel="0" collapsed="false">
      <c r="A400" s="11" t="s">
        <v>2596</v>
      </c>
      <c r="B400" s="11" t="s">
        <v>328</v>
      </c>
      <c r="C400" s="11" t="s">
        <v>327</v>
      </c>
      <c r="D400" s="38" t="n">
        <v>45898</v>
      </c>
      <c r="E400" s="38" t="n">
        <v>45958</v>
      </c>
      <c r="F400" s="37" t="n">
        <v>9760</v>
      </c>
      <c r="G400" s="37" t="n">
        <v>1952</v>
      </c>
      <c r="H400" s="37" t="n">
        <v>11712</v>
      </c>
      <c r="I400" s="11" t="s">
        <v>283</v>
      </c>
      <c r="J400" s="11"/>
      <c r="K400" s="11" t="s">
        <v>4152</v>
      </c>
      <c r="L400" s="38" t="n">
        <v>45989</v>
      </c>
      <c r="M400" s="11" t="n">
        <v>31</v>
      </c>
      <c r="N400" s="11"/>
      <c r="O400" s="11"/>
    </row>
    <row r="401" customFormat="false" ht="15" hidden="false" customHeight="false" outlineLevel="0" collapsed="false">
      <c r="A401" s="11" t="s">
        <v>2548</v>
      </c>
      <c r="B401" s="11" t="s">
        <v>328</v>
      </c>
      <c r="C401" s="11" t="s">
        <v>327</v>
      </c>
      <c r="D401" s="38" t="n">
        <v>45901</v>
      </c>
      <c r="E401" s="38" t="n">
        <v>45961</v>
      </c>
      <c r="F401" s="37" t="n">
        <v>35020</v>
      </c>
      <c r="G401" s="37" t="n">
        <v>7004</v>
      </c>
      <c r="H401" s="37" t="n">
        <v>42024</v>
      </c>
      <c r="I401" s="11" t="s">
        <v>283</v>
      </c>
      <c r="J401" s="11"/>
      <c r="K401" s="11" t="s">
        <v>4152</v>
      </c>
      <c r="L401" s="38" t="n">
        <v>45981</v>
      </c>
      <c r="M401" s="11" t="n">
        <v>20</v>
      </c>
      <c r="N401" s="11"/>
      <c r="O401" s="11"/>
    </row>
    <row r="402" customFormat="false" ht="15" hidden="false" customHeight="false" outlineLevel="0" collapsed="false">
      <c r="A402" s="11" t="s">
        <v>2369</v>
      </c>
      <c r="B402" s="11" t="s">
        <v>400</v>
      </c>
      <c r="C402" s="11" t="s">
        <v>399</v>
      </c>
      <c r="D402" s="38" t="n">
        <v>45901</v>
      </c>
      <c r="E402" s="38" t="n">
        <v>45931</v>
      </c>
      <c r="F402" s="37" t="n">
        <v>8350</v>
      </c>
      <c r="G402" s="37" t="n">
        <v>1670</v>
      </c>
      <c r="H402" s="37" t="n">
        <v>10020</v>
      </c>
      <c r="I402" s="11" t="s">
        <v>283</v>
      </c>
      <c r="J402" s="11"/>
      <c r="K402" s="11" t="s">
        <v>4152</v>
      </c>
      <c r="L402" s="38" t="n">
        <v>45938</v>
      </c>
      <c r="M402" s="11" t="n">
        <v>7</v>
      </c>
      <c r="N402" s="11"/>
      <c r="O402" s="11"/>
    </row>
    <row r="403" customFormat="false" ht="15" hidden="false" customHeight="false" outlineLevel="0" collapsed="false">
      <c r="A403" s="11" t="s">
        <v>2397</v>
      </c>
      <c r="B403" s="11" t="s">
        <v>324</v>
      </c>
      <c r="C403" s="11" t="s">
        <v>323</v>
      </c>
      <c r="D403" s="38" t="n">
        <v>45902</v>
      </c>
      <c r="E403" s="38" t="n">
        <v>45932</v>
      </c>
      <c r="F403" s="37" t="n">
        <v>3200</v>
      </c>
      <c r="G403" s="37" t="n">
        <v>640</v>
      </c>
      <c r="H403" s="37" t="n">
        <v>3840</v>
      </c>
      <c r="I403" s="11" t="s">
        <v>283</v>
      </c>
      <c r="J403" s="11"/>
      <c r="K403" s="11" t="s">
        <v>4152</v>
      </c>
      <c r="L403" s="38" t="n">
        <v>45945</v>
      </c>
      <c r="M403" s="11" t="n">
        <v>13</v>
      </c>
      <c r="N403" s="11"/>
      <c r="O403" s="11"/>
    </row>
    <row r="404" customFormat="false" ht="15" hidden="false" customHeight="false" outlineLevel="0" collapsed="false">
      <c r="A404" s="11" t="s">
        <v>2424</v>
      </c>
      <c r="B404" s="11" t="s">
        <v>336</v>
      </c>
      <c r="C404" s="11" t="s">
        <v>335</v>
      </c>
      <c r="D404" s="38" t="n">
        <v>45902</v>
      </c>
      <c r="E404" s="38" t="n">
        <v>45947</v>
      </c>
      <c r="F404" s="37" t="n">
        <v>7310</v>
      </c>
      <c r="G404" s="37" t="n">
        <v>1462</v>
      </c>
      <c r="H404" s="37" t="n">
        <v>8772</v>
      </c>
      <c r="I404" s="11" t="s">
        <v>283</v>
      </c>
      <c r="J404" s="11"/>
      <c r="K404" s="11" t="s">
        <v>4152</v>
      </c>
      <c r="L404" s="38" t="n">
        <v>45954</v>
      </c>
      <c r="M404" s="11" t="n">
        <v>7</v>
      </c>
      <c r="N404" s="11"/>
      <c r="O404" s="11"/>
    </row>
    <row r="405" customFormat="false" ht="15" hidden="false" customHeight="false" outlineLevel="0" collapsed="false">
      <c r="A405" s="11" t="s">
        <v>2411</v>
      </c>
      <c r="B405" s="11" t="s">
        <v>281</v>
      </c>
      <c r="C405" s="11" t="s">
        <v>280</v>
      </c>
      <c r="D405" s="38" t="n">
        <v>45903</v>
      </c>
      <c r="E405" s="38" t="n">
        <v>45948</v>
      </c>
      <c r="F405" s="37" t="n">
        <v>6190</v>
      </c>
      <c r="G405" s="37" t="n">
        <v>1238</v>
      </c>
      <c r="H405" s="37" t="n">
        <v>7428</v>
      </c>
      <c r="I405" s="11" t="s">
        <v>283</v>
      </c>
      <c r="J405" s="11"/>
      <c r="K405" s="11" t="s">
        <v>4152</v>
      </c>
      <c r="L405" s="38" t="n">
        <v>45950</v>
      </c>
      <c r="M405" s="11" t="n">
        <v>2</v>
      </c>
      <c r="N405" s="11"/>
      <c r="O405" s="11"/>
    </row>
    <row r="406" customFormat="false" ht="15" hidden="false" customHeight="false" outlineLevel="0" collapsed="false">
      <c r="A406" s="11" t="s">
        <v>2499</v>
      </c>
      <c r="B406" s="11" t="s">
        <v>350</v>
      </c>
      <c r="C406" s="11" t="s">
        <v>349</v>
      </c>
      <c r="D406" s="38" t="n">
        <v>45904</v>
      </c>
      <c r="E406" s="38" t="n">
        <v>45964</v>
      </c>
      <c r="F406" s="37" t="n">
        <v>11470</v>
      </c>
      <c r="G406" s="37" t="n">
        <v>2294</v>
      </c>
      <c r="H406" s="37" t="n">
        <v>13764</v>
      </c>
      <c r="I406" s="11" t="s">
        <v>283</v>
      </c>
      <c r="J406" s="11"/>
      <c r="K406" s="11" t="s">
        <v>4152</v>
      </c>
      <c r="L406" s="38" t="n">
        <v>45971</v>
      </c>
      <c r="M406" s="11" t="n">
        <v>7</v>
      </c>
      <c r="N406" s="11"/>
      <c r="O406" s="11"/>
    </row>
    <row r="407" customFormat="false" ht="15" hidden="false" customHeight="false" outlineLevel="0" collapsed="false">
      <c r="A407" s="11" t="s">
        <v>2514</v>
      </c>
      <c r="B407" s="11" t="s">
        <v>350</v>
      </c>
      <c r="C407" s="11" t="s">
        <v>349</v>
      </c>
      <c r="D407" s="38" t="n">
        <v>45904</v>
      </c>
      <c r="E407" s="38" t="n">
        <v>45964</v>
      </c>
      <c r="F407" s="37" t="n">
        <v>11220</v>
      </c>
      <c r="G407" s="37" t="n">
        <v>2244</v>
      </c>
      <c r="H407" s="37" t="n">
        <v>13464</v>
      </c>
      <c r="I407" s="11" t="s">
        <v>283</v>
      </c>
      <c r="J407" s="11"/>
      <c r="K407" s="11" t="s">
        <v>4152</v>
      </c>
      <c r="L407" s="38" t="n">
        <v>45973</v>
      </c>
      <c r="M407" s="11" t="n">
        <v>9</v>
      </c>
      <c r="N407" s="11"/>
      <c r="O407" s="11"/>
    </row>
    <row r="408" customFormat="false" ht="15" hidden="false" customHeight="false" outlineLevel="0" collapsed="false">
      <c r="A408" s="11" t="s">
        <v>2512</v>
      </c>
      <c r="B408" s="11" t="s">
        <v>332</v>
      </c>
      <c r="C408" s="11" t="s">
        <v>331</v>
      </c>
      <c r="D408" s="38" t="n">
        <v>45904</v>
      </c>
      <c r="E408" s="38" t="n">
        <v>45949</v>
      </c>
      <c r="F408" s="37" t="n">
        <v>7720</v>
      </c>
      <c r="G408" s="37" t="n">
        <v>1544</v>
      </c>
      <c r="H408" s="37" t="n">
        <v>9264</v>
      </c>
      <c r="I408" s="11" t="s">
        <v>283</v>
      </c>
      <c r="J408" s="11"/>
      <c r="K408" s="11" t="s">
        <v>4152</v>
      </c>
      <c r="L408" s="38" t="n">
        <v>45973</v>
      </c>
      <c r="M408" s="11" t="n">
        <v>24</v>
      </c>
      <c r="N408" s="11"/>
      <c r="O408" s="11"/>
    </row>
    <row r="409" customFormat="false" ht="15" hidden="false" customHeight="false" outlineLevel="0" collapsed="false">
      <c r="A409" s="11" t="s">
        <v>2413</v>
      </c>
      <c r="B409" s="11" t="s">
        <v>281</v>
      </c>
      <c r="C409" s="11" t="s">
        <v>280</v>
      </c>
      <c r="D409" s="38" t="n">
        <v>45905</v>
      </c>
      <c r="E409" s="38" t="n">
        <v>45950</v>
      </c>
      <c r="F409" s="37" t="n">
        <v>4590</v>
      </c>
      <c r="G409" s="37" t="n">
        <v>918</v>
      </c>
      <c r="H409" s="37" t="n">
        <v>5508</v>
      </c>
      <c r="I409" s="11" t="s">
        <v>283</v>
      </c>
      <c r="J409" s="11"/>
      <c r="K409" s="11" t="s">
        <v>4152</v>
      </c>
      <c r="L409" s="38" t="n">
        <v>45950</v>
      </c>
      <c r="M409" s="11" t="n">
        <v>0</v>
      </c>
      <c r="N409" s="11"/>
      <c r="O409" s="11"/>
    </row>
    <row r="410" customFormat="false" ht="15" hidden="false" customHeight="false" outlineLevel="0" collapsed="false">
      <c r="A410" s="11" t="s">
        <v>2409</v>
      </c>
      <c r="B410" s="11" t="s">
        <v>281</v>
      </c>
      <c r="C410" s="11" t="s">
        <v>280</v>
      </c>
      <c r="D410" s="38" t="n">
        <v>45905</v>
      </c>
      <c r="E410" s="38" t="n">
        <v>45950</v>
      </c>
      <c r="F410" s="37" t="n">
        <v>4360</v>
      </c>
      <c r="G410" s="37" t="n">
        <v>872</v>
      </c>
      <c r="H410" s="37" t="n">
        <v>5232</v>
      </c>
      <c r="I410" s="11" t="s">
        <v>283</v>
      </c>
      <c r="J410" s="11"/>
      <c r="K410" s="11" t="s">
        <v>4152</v>
      </c>
      <c r="L410" s="38" t="n">
        <v>45950</v>
      </c>
      <c r="M410" s="11" t="n">
        <v>0</v>
      </c>
      <c r="N410" s="11"/>
      <c r="O410" s="11"/>
    </row>
    <row r="411" customFormat="false" ht="15" hidden="false" customHeight="false" outlineLevel="0" collapsed="false">
      <c r="A411" s="11" t="s">
        <v>2524</v>
      </c>
      <c r="B411" s="11" t="s">
        <v>299</v>
      </c>
      <c r="C411" s="11" t="s">
        <v>298</v>
      </c>
      <c r="D411" s="38" t="n">
        <v>45905</v>
      </c>
      <c r="E411" s="38" t="n">
        <v>45965</v>
      </c>
      <c r="F411" s="37" t="n">
        <v>13960</v>
      </c>
      <c r="G411" s="37" t="n">
        <v>0</v>
      </c>
      <c r="H411" s="37" t="n">
        <v>13960</v>
      </c>
      <c r="I411" s="11" t="s">
        <v>283</v>
      </c>
      <c r="J411" s="11"/>
      <c r="K411" s="11" t="s">
        <v>4152</v>
      </c>
      <c r="L411" s="38" t="n">
        <v>45974</v>
      </c>
      <c r="M411" s="11" t="n">
        <v>9</v>
      </c>
      <c r="N411" s="11"/>
      <c r="O411" s="11"/>
    </row>
    <row r="412" customFormat="false" ht="15" hidden="false" customHeight="false" outlineLevel="0" collapsed="false">
      <c r="A412" s="11" t="s">
        <v>2481</v>
      </c>
      <c r="B412" s="11" t="s">
        <v>350</v>
      </c>
      <c r="C412" s="11" t="s">
        <v>349</v>
      </c>
      <c r="D412" s="38" t="n">
        <v>45905</v>
      </c>
      <c r="E412" s="38" t="n">
        <v>45965</v>
      </c>
      <c r="F412" s="37" t="n">
        <v>13930</v>
      </c>
      <c r="G412" s="37" t="n">
        <v>2786</v>
      </c>
      <c r="H412" s="37" t="n">
        <v>16716</v>
      </c>
      <c r="I412" s="11" t="s">
        <v>283</v>
      </c>
      <c r="J412" s="11"/>
      <c r="K412" s="11" t="s">
        <v>4152</v>
      </c>
      <c r="L412" s="38" t="n">
        <v>45966</v>
      </c>
      <c r="M412" s="11" t="n">
        <v>1</v>
      </c>
      <c r="N412" s="11"/>
      <c r="O412" s="11"/>
    </row>
    <row r="413" customFormat="false" ht="15" hidden="false" customHeight="false" outlineLevel="0" collapsed="false">
      <c r="A413" s="11" t="s">
        <v>2516</v>
      </c>
      <c r="B413" s="11" t="s">
        <v>328</v>
      </c>
      <c r="C413" s="11" t="s">
        <v>327</v>
      </c>
      <c r="D413" s="38" t="n">
        <v>45905</v>
      </c>
      <c r="E413" s="38" t="n">
        <v>45965</v>
      </c>
      <c r="F413" s="37" t="n">
        <v>10440</v>
      </c>
      <c r="G413" s="37" t="n">
        <v>2088</v>
      </c>
      <c r="H413" s="37" t="n">
        <v>12528</v>
      </c>
      <c r="I413" s="11" t="s">
        <v>283</v>
      </c>
      <c r="J413" s="11"/>
      <c r="K413" s="11" t="s">
        <v>4152</v>
      </c>
      <c r="L413" s="38" t="n">
        <v>45973</v>
      </c>
      <c r="M413" s="11" t="n">
        <v>8</v>
      </c>
      <c r="N413" s="11"/>
      <c r="O413" s="11"/>
    </row>
    <row r="414" customFormat="false" ht="15" hidden="false" customHeight="false" outlineLevel="0" collapsed="false">
      <c r="A414" s="11" t="s">
        <v>2442</v>
      </c>
      <c r="B414" s="11" t="s">
        <v>336</v>
      </c>
      <c r="C414" s="11" t="s">
        <v>335</v>
      </c>
      <c r="D414" s="38" t="n">
        <v>45908</v>
      </c>
      <c r="E414" s="38" t="n">
        <v>45953</v>
      </c>
      <c r="F414" s="37" t="n">
        <v>7030</v>
      </c>
      <c r="G414" s="37" t="n">
        <v>1406</v>
      </c>
      <c r="H414" s="37" t="n">
        <v>8436</v>
      </c>
      <c r="I414" s="11" t="s">
        <v>283</v>
      </c>
      <c r="J414" s="11"/>
      <c r="K414" s="11" t="s">
        <v>4152</v>
      </c>
      <c r="L414" s="38" t="n">
        <v>45958</v>
      </c>
      <c r="M414" s="11" t="n">
        <v>5</v>
      </c>
      <c r="N414" s="11"/>
      <c r="O414" s="11"/>
    </row>
    <row r="415" customFormat="false" ht="15" hidden="false" customHeight="false" outlineLevel="0" collapsed="false">
      <c r="A415" s="11" t="s">
        <v>2518</v>
      </c>
      <c r="B415" s="11" t="s">
        <v>332</v>
      </c>
      <c r="C415" s="11" t="s">
        <v>331</v>
      </c>
      <c r="D415" s="38" t="n">
        <v>45908</v>
      </c>
      <c r="E415" s="38" t="n">
        <v>45953</v>
      </c>
      <c r="F415" s="37" t="n">
        <v>11300</v>
      </c>
      <c r="G415" s="37" t="n">
        <v>2260</v>
      </c>
      <c r="H415" s="37" t="n">
        <v>13560</v>
      </c>
      <c r="I415" s="11" t="s">
        <v>283</v>
      </c>
      <c r="J415" s="11"/>
      <c r="K415" s="11" t="s">
        <v>4152</v>
      </c>
      <c r="L415" s="38" t="n">
        <v>45974</v>
      </c>
      <c r="M415" s="11" t="n">
        <v>21</v>
      </c>
      <c r="N415" s="11"/>
      <c r="O415" s="11"/>
    </row>
    <row r="416" customFormat="false" ht="15" hidden="false" customHeight="false" outlineLevel="0" collapsed="false">
      <c r="A416" s="11" t="s">
        <v>2491</v>
      </c>
      <c r="B416" s="11" t="s">
        <v>332</v>
      </c>
      <c r="C416" s="11" t="s">
        <v>331</v>
      </c>
      <c r="D416" s="38" t="n">
        <v>45908</v>
      </c>
      <c r="E416" s="38" t="n">
        <v>45953</v>
      </c>
      <c r="F416" s="37" t="n">
        <v>13230</v>
      </c>
      <c r="G416" s="37" t="n">
        <v>2646</v>
      </c>
      <c r="H416" s="37" t="n">
        <v>15876</v>
      </c>
      <c r="I416" s="11" t="s">
        <v>283</v>
      </c>
      <c r="J416" s="11"/>
      <c r="K416" s="11" t="s">
        <v>4152</v>
      </c>
      <c r="L416" s="38" t="n">
        <v>45967</v>
      </c>
      <c r="M416" s="11" t="n">
        <v>14</v>
      </c>
      <c r="N416" s="11"/>
      <c r="O416" s="11"/>
    </row>
    <row r="417" customFormat="false" ht="15" hidden="false" customHeight="false" outlineLevel="0" collapsed="false">
      <c r="A417" s="11" t="s">
        <v>2438</v>
      </c>
      <c r="B417" s="11" t="s">
        <v>336</v>
      </c>
      <c r="C417" s="11" t="s">
        <v>335</v>
      </c>
      <c r="D417" s="38" t="n">
        <v>45908</v>
      </c>
      <c r="E417" s="38" t="n">
        <v>45953</v>
      </c>
      <c r="F417" s="37" t="n">
        <v>5590</v>
      </c>
      <c r="G417" s="37" t="n">
        <v>1118</v>
      </c>
      <c r="H417" s="37" t="n">
        <v>6708</v>
      </c>
      <c r="I417" s="11" t="s">
        <v>283</v>
      </c>
      <c r="J417" s="11"/>
      <c r="K417" s="11" t="s">
        <v>4152</v>
      </c>
      <c r="L417" s="38" t="n">
        <v>45957</v>
      </c>
      <c r="M417" s="11" t="n">
        <v>4</v>
      </c>
      <c r="N417" s="11"/>
      <c r="O417" s="11"/>
    </row>
    <row r="418" customFormat="false" ht="15" hidden="false" customHeight="false" outlineLevel="0" collapsed="false">
      <c r="A418" s="11" t="s">
        <v>2366</v>
      </c>
      <c r="B418" s="11" t="s">
        <v>288</v>
      </c>
      <c r="C418" s="11" t="s">
        <v>287</v>
      </c>
      <c r="D418" s="38" t="n">
        <v>45908</v>
      </c>
      <c r="E418" s="38" t="n">
        <v>45938</v>
      </c>
      <c r="F418" s="37" t="n">
        <v>1850</v>
      </c>
      <c r="G418" s="37" t="n">
        <v>370</v>
      </c>
      <c r="H418" s="37" t="n">
        <v>2220</v>
      </c>
      <c r="I418" s="11" t="s">
        <v>283</v>
      </c>
      <c r="J418" s="11"/>
      <c r="K418" s="11" t="s">
        <v>4152</v>
      </c>
      <c r="L418" s="38" t="n">
        <v>45937</v>
      </c>
      <c r="M418" s="11" t="n">
        <v>-1</v>
      </c>
      <c r="N418" s="11"/>
      <c r="O418" s="11"/>
    </row>
    <row r="419" customFormat="false" ht="15" hidden="false" customHeight="false" outlineLevel="0" collapsed="false">
      <c r="A419" s="11" t="s">
        <v>2550</v>
      </c>
      <c r="B419" s="11" t="s">
        <v>598</v>
      </c>
      <c r="C419" s="11" t="s">
        <v>597</v>
      </c>
      <c r="D419" s="38" t="n">
        <v>45908</v>
      </c>
      <c r="E419" s="38" t="n">
        <v>45968</v>
      </c>
      <c r="F419" s="37" t="n">
        <v>156000</v>
      </c>
      <c r="G419" s="37" t="n">
        <v>31200</v>
      </c>
      <c r="H419" s="37" t="n">
        <v>187200</v>
      </c>
      <c r="I419" s="11" t="s">
        <v>4214</v>
      </c>
      <c r="J419" s="11" t="s">
        <v>4213</v>
      </c>
      <c r="K419" s="11" t="s">
        <v>4152</v>
      </c>
      <c r="L419" s="38" t="n">
        <v>45981</v>
      </c>
      <c r="M419" s="11" t="n">
        <v>13</v>
      </c>
      <c r="N419" s="11"/>
      <c r="O419" s="11"/>
    </row>
    <row r="420" customFormat="false" ht="15" hidden="false" customHeight="false" outlineLevel="0" collapsed="false">
      <c r="A420" s="11" t="s">
        <v>2552</v>
      </c>
      <c r="B420" s="11" t="s">
        <v>336</v>
      </c>
      <c r="C420" s="11" t="s">
        <v>335</v>
      </c>
      <c r="D420" s="38" t="n">
        <v>45909</v>
      </c>
      <c r="E420" s="38" t="n">
        <v>45954</v>
      </c>
      <c r="F420" s="37" t="n">
        <v>9070</v>
      </c>
      <c r="G420" s="37" t="n">
        <v>1814</v>
      </c>
      <c r="H420" s="37" t="n">
        <v>10884</v>
      </c>
      <c r="I420" s="11" t="s">
        <v>283</v>
      </c>
      <c r="J420" s="11"/>
      <c r="K420" s="11" t="s">
        <v>4152</v>
      </c>
      <c r="L420" s="38" t="n">
        <v>45981</v>
      </c>
      <c r="M420" s="11" t="n">
        <v>27</v>
      </c>
      <c r="N420" s="11"/>
      <c r="O420" s="11"/>
    </row>
    <row r="421" customFormat="false" ht="15" hidden="false" customHeight="false" outlineLevel="0" collapsed="false">
      <c r="A421" s="11" t="s">
        <v>2473</v>
      </c>
      <c r="B421" s="11" t="s">
        <v>336</v>
      </c>
      <c r="C421" s="11" t="s">
        <v>335</v>
      </c>
      <c r="D421" s="38" t="n">
        <v>45909</v>
      </c>
      <c r="E421" s="38" t="n">
        <v>45954</v>
      </c>
      <c r="F421" s="37" t="n">
        <v>4660</v>
      </c>
      <c r="G421" s="37" t="n">
        <v>932</v>
      </c>
      <c r="H421" s="37" t="n">
        <v>5592</v>
      </c>
      <c r="I421" s="11" t="s">
        <v>283</v>
      </c>
      <c r="J421" s="11"/>
      <c r="K421" s="11" t="s">
        <v>4152</v>
      </c>
      <c r="L421" s="38" t="n">
        <v>45965</v>
      </c>
      <c r="M421" s="11" t="n">
        <v>11</v>
      </c>
      <c r="N421" s="11"/>
      <c r="O421" s="11"/>
    </row>
    <row r="422" customFormat="false" ht="15" hidden="false" customHeight="false" outlineLevel="0" collapsed="false">
      <c r="A422" s="11" t="s">
        <v>2686</v>
      </c>
      <c r="B422" s="11" t="s">
        <v>332</v>
      </c>
      <c r="C422" s="11" t="s">
        <v>331</v>
      </c>
      <c r="D422" s="38" t="n">
        <v>45910</v>
      </c>
      <c r="E422" s="38" t="n">
        <v>45955</v>
      </c>
      <c r="F422" s="37" t="n">
        <v>3110</v>
      </c>
      <c r="G422" s="37" t="n">
        <v>622</v>
      </c>
      <c r="H422" s="37" t="n">
        <v>3732</v>
      </c>
      <c r="I422" s="11" t="s">
        <v>283</v>
      </c>
      <c r="J422" s="11"/>
      <c r="K422" s="11" t="s">
        <v>4152</v>
      </c>
      <c r="L422" s="38" t="n">
        <v>46008</v>
      </c>
      <c r="M422" s="11" t="n">
        <v>53</v>
      </c>
      <c r="N422" s="11"/>
      <c r="O422" s="11"/>
    </row>
    <row r="423" customFormat="false" ht="15" hidden="false" customHeight="false" outlineLevel="0" collapsed="false">
      <c r="A423" s="11" t="s">
        <v>2428</v>
      </c>
      <c r="B423" s="11" t="s">
        <v>281</v>
      </c>
      <c r="C423" s="11" t="s">
        <v>280</v>
      </c>
      <c r="D423" s="38" t="n">
        <v>45910</v>
      </c>
      <c r="E423" s="38" t="n">
        <v>45955</v>
      </c>
      <c r="F423" s="37" t="n">
        <v>3690</v>
      </c>
      <c r="G423" s="37" t="n">
        <v>738</v>
      </c>
      <c r="H423" s="37" t="n">
        <v>4428</v>
      </c>
      <c r="I423" s="11" t="s">
        <v>283</v>
      </c>
      <c r="J423" s="11"/>
      <c r="K423" s="11" t="s">
        <v>4152</v>
      </c>
      <c r="L423" s="38" t="n">
        <v>45957</v>
      </c>
      <c r="M423" s="11" t="n">
        <v>2</v>
      </c>
      <c r="N423" s="11"/>
      <c r="O423" s="11"/>
    </row>
    <row r="424" customFormat="false" ht="15" hidden="false" customHeight="false" outlineLevel="0" collapsed="false">
      <c r="A424" s="11" t="s">
        <v>2606</v>
      </c>
      <c r="B424" s="11" t="s">
        <v>328</v>
      </c>
      <c r="C424" s="11" t="s">
        <v>327</v>
      </c>
      <c r="D424" s="38" t="n">
        <v>45910</v>
      </c>
      <c r="E424" s="38" t="n">
        <v>45970</v>
      </c>
      <c r="F424" s="37" t="n">
        <v>26520</v>
      </c>
      <c r="G424" s="37" t="n">
        <v>5304</v>
      </c>
      <c r="H424" s="37" t="n">
        <v>31824</v>
      </c>
      <c r="I424" s="11" t="s">
        <v>283</v>
      </c>
      <c r="J424" s="11"/>
      <c r="K424" s="11" t="s">
        <v>4152</v>
      </c>
      <c r="L424" s="38" t="n">
        <v>45992</v>
      </c>
      <c r="M424" s="11" t="n">
        <v>22</v>
      </c>
      <c r="N424" s="11"/>
      <c r="O424" s="11"/>
    </row>
    <row r="425" customFormat="false" ht="15" hidden="false" customHeight="false" outlineLevel="0" collapsed="false">
      <c r="A425" s="11" t="s">
        <v>2566</v>
      </c>
      <c r="B425" s="11" t="s">
        <v>332</v>
      </c>
      <c r="C425" s="11" t="s">
        <v>331</v>
      </c>
      <c r="D425" s="38" t="n">
        <v>45910</v>
      </c>
      <c r="E425" s="38" t="n">
        <v>45955</v>
      </c>
      <c r="F425" s="37" t="n">
        <v>6360</v>
      </c>
      <c r="G425" s="37" t="n">
        <v>1272</v>
      </c>
      <c r="H425" s="37" t="n">
        <v>7632</v>
      </c>
      <c r="I425" s="11" t="s">
        <v>283</v>
      </c>
      <c r="J425" s="11"/>
      <c r="K425" s="11" t="s">
        <v>4152</v>
      </c>
      <c r="L425" s="38" t="n">
        <v>45985</v>
      </c>
      <c r="M425" s="11" t="n">
        <v>30</v>
      </c>
      <c r="N425" s="11"/>
      <c r="O425" s="11"/>
    </row>
    <row r="426" customFormat="false" ht="15" hidden="false" customHeight="false" outlineLevel="0" collapsed="false">
      <c r="A426" s="11" t="s">
        <v>2568</v>
      </c>
      <c r="B426" s="11" t="s">
        <v>393</v>
      </c>
      <c r="C426" s="11" t="s">
        <v>392</v>
      </c>
      <c r="D426" s="38" t="n">
        <v>45912</v>
      </c>
      <c r="E426" s="38" t="n">
        <v>45962</v>
      </c>
      <c r="F426" s="37" t="n">
        <v>11690</v>
      </c>
      <c r="G426" s="37" t="n">
        <v>2338</v>
      </c>
      <c r="H426" s="37" t="n">
        <v>14028</v>
      </c>
      <c r="I426" s="11" t="s">
        <v>283</v>
      </c>
      <c r="J426" s="11"/>
      <c r="K426" s="11" t="s">
        <v>4152</v>
      </c>
      <c r="L426" s="38" t="n">
        <v>45985</v>
      </c>
      <c r="M426" s="11" t="n">
        <v>23</v>
      </c>
      <c r="N426" s="11"/>
      <c r="O426" s="11"/>
    </row>
    <row r="427" customFormat="false" ht="15" hidden="false" customHeight="false" outlineLevel="0" collapsed="false">
      <c r="A427" s="11" t="s">
        <v>2436</v>
      </c>
      <c r="B427" s="11" t="s">
        <v>324</v>
      </c>
      <c r="C427" s="11" t="s">
        <v>323</v>
      </c>
      <c r="D427" s="38" t="n">
        <v>45912</v>
      </c>
      <c r="E427" s="38" t="n">
        <v>45942</v>
      </c>
      <c r="F427" s="37" t="n">
        <v>8240</v>
      </c>
      <c r="G427" s="37" t="n">
        <v>1648</v>
      </c>
      <c r="H427" s="37" t="n">
        <v>9888</v>
      </c>
      <c r="I427" s="11" t="s">
        <v>283</v>
      </c>
      <c r="J427" s="11"/>
      <c r="K427" s="11" t="s">
        <v>4152</v>
      </c>
      <c r="L427" s="38" t="n">
        <v>45957</v>
      </c>
      <c r="M427" s="11" t="n">
        <v>15</v>
      </c>
      <c r="N427" s="11"/>
      <c r="O427" s="11"/>
    </row>
    <row r="428" customFormat="false" ht="15" hidden="false" customHeight="false" outlineLevel="0" collapsed="false">
      <c r="A428" s="11" t="s">
        <v>2445</v>
      </c>
      <c r="B428" s="11" t="s">
        <v>336</v>
      </c>
      <c r="C428" s="11" t="s">
        <v>335</v>
      </c>
      <c r="D428" s="38" t="n">
        <v>45912</v>
      </c>
      <c r="E428" s="38" t="n">
        <v>45957</v>
      </c>
      <c r="F428" s="37" t="n">
        <v>9880</v>
      </c>
      <c r="G428" s="37" t="n">
        <v>1976</v>
      </c>
      <c r="H428" s="37" t="n">
        <v>11856</v>
      </c>
      <c r="I428" s="11" t="s">
        <v>283</v>
      </c>
      <c r="J428" s="11"/>
      <c r="K428" s="11" t="s">
        <v>4152</v>
      </c>
      <c r="L428" s="38" t="n">
        <v>45960</v>
      </c>
      <c r="M428" s="11" t="n">
        <v>3</v>
      </c>
      <c r="N428" s="11"/>
      <c r="O428" s="11"/>
    </row>
    <row r="429" customFormat="false" ht="15" hidden="false" customHeight="false" outlineLevel="0" collapsed="false">
      <c r="A429" s="11" t="s">
        <v>2560</v>
      </c>
      <c r="B429" s="11" t="s">
        <v>299</v>
      </c>
      <c r="C429" s="11" t="s">
        <v>298</v>
      </c>
      <c r="D429" s="38" t="n">
        <v>45912</v>
      </c>
      <c r="E429" s="38" t="n">
        <v>45972</v>
      </c>
      <c r="F429" s="37" t="n">
        <v>14100</v>
      </c>
      <c r="G429" s="37" t="n">
        <v>0</v>
      </c>
      <c r="H429" s="37" t="n">
        <v>14100</v>
      </c>
      <c r="I429" s="11" t="s">
        <v>283</v>
      </c>
      <c r="J429" s="11"/>
      <c r="K429" s="11" t="s">
        <v>4152</v>
      </c>
      <c r="L429" s="38" t="n">
        <v>45985</v>
      </c>
      <c r="M429" s="11" t="n">
        <v>13</v>
      </c>
      <c r="N429" s="11"/>
      <c r="O429" s="11"/>
    </row>
    <row r="430" customFormat="false" ht="15" hidden="false" customHeight="false" outlineLevel="0" collapsed="false">
      <c r="A430" s="11" t="s">
        <v>2575</v>
      </c>
      <c r="B430" s="11" t="s">
        <v>328</v>
      </c>
      <c r="C430" s="11" t="s">
        <v>327</v>
      </c>
      <c r="D430" s="38" t="n">
        <v>45912</v>
      </c>
      <c r="E430" s="38" t="n">
        <v>45972</v>
      </c>
      <c r="F430" s="37" t="n">
        <v>21740</v>
      </c>
      <c r="G430" s="37" t="n">
        <v>4348</v>
      </c>
      <c r="H430" s="37" t="n">
        <v>26088</v>
      </c>
      <c r="I430" s="11" t="s">
        <v>283</v>
      </c>
      <c r="J430" s="11"/>
      <c r="K430" s="11" t="s">
        <v>4152</v>
      </c>
      <c r="L430" s="38" t="n">
        <v>45987</v>
      </c>
      <c r="M430" s="11" t="n">
        <v>15</v>
      </c>
      <c r="N430" s="11"/>
      <c r="O430" s="11"/>
    </row>
    <row r="431" customFormat="false" ht="15" hidden="false" customHeight="false" outlineLevel="0" collapsed="false">
      <c r="A431" s="11" t="s">
        <v>2598</v>
      </c>
      <c r="B431" s="11" t="s">
        <v>350</v>
      </c>
      <c r="C431" s="11" t="s">
        <v>349</v>
      </c>
      <c r="D431" s="38" t="n">
        <v>45912</v>
      </c>
      <c r="E431" s="38" t="n">
        <v>45972</v>
      </c>
      <c r="F431" s="37" t="n">
        <v>13450</v>
      </c>
      <c r="G431" s="37" t="n">
        <v>2690</v>
      </c>
      <c r="H431" s="37" t="n">
        <v>16140</v>
      </c>
      <c r="I431" s="11" t="s">
        <v>283</v>
      </c>
      <c r="J431" s="11"/>
      <c r="K431" s="11" t="s">
        <v>4152</v>
      </c>
      <c r="L431" s="38" t="n">
        <v>45992</v>
      </c>
      <c r="M431" s="11" t="n">
        <v>20</v>
      </c>
      <c r="N431" s="11"/>
      <c r="O431" s="11"/>
    </row>
    <row r="432" customFormat="false" ht="15" hidden="false" customHeight="false" outlineLevel="0" collapsed="false">
      <c r="A432" s="11" t="s">
        <v>2478</v>
      </c>
      <c r="B432" s="11" t="s">
        <v>336</v>
      </c>
      <c r="C432" s="11" t="s">
        <v>335</v>
      </c>
      <c r="D432" s="38" t="n">
        <v>45912</v>
      </c>
      <c r="E432" s="38" t="n">
        <v>45957</v>
      </c>
      <c r="F432" s="37" t="n">
        <v>3360</v>
      </c>
      <c r="G432" s="37" t="n">
        <v>672</v>
      </c>
      <c r="H432" s="37" t="n">
        <v>4032</v>
      </c>
      <c r="I432" s="11" t="s">
        <v>283</v>
      </c>
      <c r="J432" s="11"/>
      <c r="K432" s="11" t="s">
        <v>4152</v>
      </c>
      <c r="L432" s="38" t="n">
        <v>45966</v>
      </c>
      <c r="M432" s="11" t="n">
        <v>9</v>
      </c>
      <c r="N432" s="11"/>
      <c r="O432" s="11"/>
    </row>
    <row r="433" customFormat="false" ht="15" hidden="false" customHeight="false" outlineLevel="0" collapsed="false">
      <c r="A433" s="11" t="s">
        <v>2385</v>
      </c>
      <c r="B433" s="11" t="s">
        <v>288</v>
      </c>
      <c r="C433" s="11" t="s">
        <v>287</v>
      </c>
      <c r="D433" s="38" t="n">
        <v>45912</v>
      </c>
      <c r="E433" s="38" t="n">
        <v>45942</v>
      </c>
      <c r="F433" s="37" t="n">
        <v>2520</v>
      </c>
      <c r="G433" s="37" t="n">
        <v>504</v>
      </c>
      <c r="H433" s="37" t="n">
        <v>3024</v>
      </c>
      <c r="I433" s="11" t="s">
        <v>283</v>
      </c>
      <c r="J433" s="11"/>
      <c r="K433" s="11" t="s">
        <v>4152</v>
      </c>
      <c r="L433" s="38" t="n">
        <v>45943</v>
      </c>
      <c r="M433" s="11" t="n">
        <v>1</v>
      </c>
      <c r="N433" s="11"/>
      <c r="O433" s="11"/>
    </row>
    <row r="434" customFormat="false" ht="15" hidden="false" customHeight="false" outlineLevel="0" collapsed="false">
      <c r="A434" s="11" t="s">
        <v>2401</v>
      </c>
      <c r="B434" s="11" t="s">
        <v>288</v>
      </c>
      <c r="C434" s="11" t="s">
        <v>287</v>
      </c>
      <c r="D434" s="38" t="n">
        <v>45915</v>
      </c>
      <c r="E434" s="38" t="n">
        <v>45945</v>
      </c>
      <c r="F434" s="37" t="n">
        <v>4540</v>
      </c>
      <c r="G434" s="37" t="n">
        <v>908</v>
      </c>
      <c r="H434" s="37" t="n">
        <v>5448</v>
      </c>
      <c r="I434" s="11" t="s">
        <v>283</v>
      </c>
      <c r="J434" s="11"/>
      <c r="K434" s="11" t="s">
        <v>4152</v>
      </c>
      <c r="L434" s="38" t="n">
        <v>45946</v>
      </c>
      <c r="M434" s="11" t="n">
        <v>1</v>
      </c>
      <c r="N434" s="11"/>
      <c r="O434" s="11"/>
    </row>
    <row r="435" customFormat="false" ht="15" hidden="false" customHeight="false" outlineLevel="0" collapsed="false">
      <c r="A435" s="11" t="s">
        <v>2447</v>
      </c>
      <c r="B435" s="11" t="s">
        <v>281</v>
      </c>
      <c r="C435" s="11" t="s">
        <v>280</v>
      </c>
      <c r="D435" s="38" t="n">
        <v>45915</v>
      </c>
      <c r="E435" s="38" t="n">
        <v>45960</v>
      </c>
      <c r="F435" s="37" t="n">
        <v>5540</v>
      </c>
      <c r="G435" s="37" t="n">
        <v>1108</v>
      </c>
      <c r="H435" s="37" t="n">
        <v>6648</v>
      </c>
      <c r="I435" s="11" t="s">
        <v>283</v>
      </c>
      <c r="J435" s="11"/>
      <c r="K435" s="11" t="s">
        <v>4152</v>
      </c>
      <c r="L435" s="38" t="n">
        <v>45960</v>
      </c>
      <c r="M435" s="11" t="n">
        <v>0</v>
      </c>
      <c r="N435" s="11"/>
      <c r="O435" s="11"/>
    </row>
    <row r="436" customFormat="false" ht="15" hidden="false" customHeight="false" outlineLevel="0" collapsed="false">
      <c r="A436" s="11" t="s">
        <v>2460</v>
      </c>
      <c r="B436" s="11" t="s">
        <v>281</v>
      </c>
      <c r="C436" s="11" t="s">
        <v>280</v>
      </c>
      <c r="D436" s="38" t="n">
        <v>45916</v>
      </c>
      <c r="E436" s="38" t="n">
        <v>45961</v>
      </c>
      <c r="F436" s="37" t="n">
        <v>4100</v>
      </c>
      <c r="G436" s="37" t="n">
        <v>820</v>
      </c>
      <c r="H436" s="37" t="n">
        <v>4920</v>
      </c>
      <c r="I436" s="11" t="s">
        <v>283</v>
      </c>
      <c r="J436" s="11"/>
      <c r="K436" s="11" t="s">
        <v>4152</v>
      </c>
      <c r="L436" s="38" t="n">
        <v>45961</v>
      </c>
      <c r="M436" s="11" t="n">
        <v>0</v>
      </c>
      <c r="N436" s="11"/>
      <c r="O436" s="11"/>
    </row>
    <row r="437" customFormat="false" ht="15" hidden="false" customHeight="false" outlineLevel="0" collapsed="false">
      <c r="A437" s="11" t="s">
        <v>2471</v>
      </c>
      <c r="B437" s="11" t="s">
        <v>400</v>
      </c>
      <c r="C437" s="11" t="s">
        <v>399</v>
      </c>
      <c r="D437" s="38" t="n">
        <v>45916</v>
      </c>
      <c r="E437" s="38" t="n">
        <v>45946</v>
      </c>
      <c r="F437" s="37" t="n">
        <v>12040</v>
      </c>
      <c r="G437" s="37" t="n">
        <v>2408</v>
      </c>
      <c r="H437" s="37" t="n">
        <v>14448</v>
      </c>
      <c r="I437" s="11" t="s">
        <v>283</v>
      </c>
      <c r="J437" s="11"/>
      <c r="K437" s="11" t="s">
        <v>4152</v>
      </c>
      <c r="L437" s="38" t="n">
        <v>45965</v>
      </c>
      <c r="M437" s="11" t="n">
        <v>19</v>
      </c>
      <c r="N437" s="11"/>
      <c r="O437" s="11"/>
    </row>
    <row r="438" customFormat="false" ht="15" hidden="false" customHeight="false" outlineLevel="0" collapsed="false">
      <c r="A438" s="11" t="s">
        <v>2469</v>
      </c>
      <c r="B438" s="11" t="s">
        <v>281</v>
      </c>
      <c r="C438" s="11" t="s">
        <v>280</v>
      </c>
      <c r="D438" s="38" t="n">
        <v>45917</v>
      </c>
      <c r="E438" s="38" t="n">
        <v>45962</v>
      </c>
      <c r="F438" s="37" t="n">
        <v>8610</v>
      </c>
      <c r="G438" s="37" t="n">
        <v>1722</v>
      </c>
      <c r="H438" s="37" t="n">
        <v>10332</v>
      </c>
      <c r="I438" s="11" t="s">
        <v>283</v>
      </c>
      <c r="J438" s="11"/>
      <c r="K438" s="11" t="s">
        <v>4152</v>
      </c>
      <c r="L438" s="38" t="n">
        <v>45964</v>
      </c>
      <c r="M438" s="11" t="n">
        <v>2</v>
      </c>
      <c r="N438" s="11"/>
      <c r="O438" s="11"/>
    </row>
    <row r="439" customFormat="false" ht="15" hidden="false" customHeight="false" outlineLevel="0" collapsed="false">
      <c r="A439" s="11" t="s">
        <v>2415</v>
      </c>
      <c r="B439" s="11" t="s">
        <v>288</v>
      </c>
      <c r="C439" s="11" t="s">
        <v>287</v>
      </c>
      <c r="D439" s="38" t="n">
        <v>45917</v>
      </c>
      <c r="E439" s="38" t="n">
        <v>45947</v>
      </c>
      <c r="F439" s="37" t="n">
        <v>4140</v>
      </c>
      <c r="G439" s="37" t="n">
        <v>828</v>
      </c>
      <c r="H439" s="37" t="n">
        <v>4968</v>
      </c>
      <c r="I439" s="11" t="s">
        <v>283</v>
      </c>
      <c r="J439" s="11"/>
      <c r="K439" s="11" t="s">
        <v>4152</v>
      </c>
      <c r="L439" s="38" t="n">
        <v>45950</v>
      </c>
      <c r="M439" s="11" t="n">
        <v>3</v>
      </c>
      <c r="N439" s="11"/>
      <c r="O439" s="11"/>
    </row>
    <row r="440" customFormat="false" ht="15" hidden="false" customHeight="false" outlineLevel="0" collapsed="false">
      <c r="A440" s="11" t="s">
        <v>2612</v>
      </c>
      <c r="B440" s="11" t="s">
        <v>393</v>
      </c>
      <c r="C440" s="11" t="s">
        <v>392</v>
      </c>
      <c r="D440" s="38" t="n">
        <v>45919</v>
      </c>
      <c r="E440" s="38" t="n">
        <v>45969</v>
      </c>
      <c r="F440" s="37" t="n">
        <v>15450</v>
      </c>
      <c r="G440" s="37" t="n">
        <v>3090</v>
      </c>
      <c r="H440" s="37" t="n">
        <v>18540</v>
      </c>
      <c r="I440" s="11" t="s">
        <v>283</v>
      </c>
      <c r="J440" s="11"/>
      <c r="K440" s="11" t="s">
        <v>4152</v>
      </c>
      <c r="L440" s="38" t="n">
        <v>45994</v>
      </c>
      <c r="M440" s="11" t="n">
        <v>25</v>
      </c>
      <c r="N440" s="11"/>
      <c r="O440" s="11"/>
    </row>
    <row r="441" customFormat="false" ht="15" hidden="false" customHeight="false" outlineLevel="0" collapsed="false">
      <c r="A441" s="11" t="s">
        <v>2440</v>
      </c>
      <c r="B441" s="11" t="s">
        <v>288</v>
      </c>
      <c r="C441" s="11" t="s">
        <v>287</v>
      </c>
      <c r="D441" s="38" t="n">
        <v>45919</v>
      </c>
      <c r="E441" s="38" t="n">
        <v>45949</v>
      </c>
      <c r="F441" s="37" t="n">
        <v>4880</v>
      </c>
      <c r="G441" s="37" t="n">
        <v>976</v>
      </c>
      <c r="H441" s="37" t="n">
        <v>5856</v>
      </c>
      <c r="I441" s="11" t="s">
        <v>283</v>
      </c>
      <c r="J441" s="11"/>
      <c r="K441" s="11" t="s">
        <v>4152</v>
      </c>
      <c r="L441" s="38" t="n">
        <v>45957</v>
      </c>
      <c r="M441" s="11" t="n">
        <v>8</v>
      </c>
      <c r="N441" s="11"/>
      <c r="O441" s="11"/>
    </row>
    <row r="442" customFormat="false" ht="15" hidden="false" customHeight="false" outlineLevel="0" collapsed="false">
      <c r="A442" s="11" t="s">
        <v>2466</v>
      </c>
      <c r="B442" s="11" t="s">
        <v>281</v>
      </c>
      <c r="C442" s="11" t="s">
        <v>280</v>
      </c>
      <c r="D442" s="38" t="n">
        <v>45919</v>
      </c>
      <c r="E442" s="38" t="n">
        <v>45964</v>
      </c>
      <c r="F442" s="37" t="n">
        <v>7030</v>
      </c>
      <c r="G442" s="37" t="n">
        <v>1406</v>
      </c>
      <c r="H442" s="37" t="n">
        <v>8436</v>
      </c>
      <c r="I442" s="11" t="s">
        <v>283</v>
      </c>
      <c r="J442" s="11"/>
      <c r="K442" s="11" t="s">
        <v>4152</v>
      </c>
      <c r="L442" s="38" t="n">
        <v>45964</v>
      </c>
      <c r="M442" s="11" t="n">
        <v>0</v>
      </c>
      <c r="N442" s="11"/>
      <c r="O442" s="11"/>
    </row>
    <row r="443" customFormat="false" ht="15" hidden="false" customHeight="false" outlineLevel="0" collapsed="false">
      <c r="A443" s="11" t="s">
        <v>2507</v>
      </c>
      <c r="B443" s="11" t="s">
        <v>336</v>
      </c>
      <c r="C443" s="11" t="s">
        <v>335</v>
      </c>
      <c r="D443" s="38" t="n">
        <v>45919</v>
      </c>
      <c r="E443" s="38" t="n">
        <v>45964</v>
      </c>
      <c r="F443" s="37" t="n">
        <v>7810</v>
      </c>
      <c r="G443" s="37" t="n">
        <v>1562</v>
      </c>
      <c r="H443" s="37" t="n">
        <v>9372</v>
      </c>
      <c r="I443" s="11" t="s">
        <v>283</v>
      </c>
      <c r="J443" s="11"/>
      <c r="K443" s="11" t="s">
        <v>4152</v>
      </c>
      <c r="L443" s="38" t="n">
        <v>45973</v>
      </c>
      <c r="M443" s="11" t="n">
        <v>9</v>
      </c>
      <c r="N443" s="11"/>
      <c r="O443" s="11"/>
    </row>
    <row r="444" customFormat="false" ht="15" hidden="false" customHeight="false" outlineLevel="0" collapsed="false">
      <c r="A444" s="11" t="s">
        <v>2589</v>
      </c>
      <c r="B444" s="11" t="s">
        <v>350</v>
      </c>
      <c r="C444" s="11" t="s">
        <v>349</v>
      </c>
      <c r="D444" s="38" t="n">
        <v>45919</v>
      </c>
      <c r="E444" s="38" t="n">
        <v>45979</v>
      </c>
      <c r="F444" s="37" t="n">
        <v>9010</v>
      </c>
      <c r="G444" s="37" t="n">
        <v>1802</v>
      </c>
      <c r="H444" s="37" t="n">
        <v>10812</v>
      </c>
      <c r="I444" s="11" t="s">
        <v>283</v>
      </c>
      <c r="J444" s="11"/>
      <c r="K444" s="11" t="s">
        <v>4152</v>
      </c>
      <c r="L444" s="38" t="n">
        <v>45988</v>
      </c>
      <c r="M444" s="11" t="n">
        <v>9</v>
      </c>
      <c r="N444" s="11"/>
      <c r="O444" s="11"/>
    </row>
    <row r="445" customFormat="false" ht="15" hidden="false" customHeight="false" outlineLevel="0" collapsed="false">
      <c r="A445" s="11" t="s">
        <v>2573</v>
      </c>
      <c r="B445" s="11" t="s">
        <v>350</v>
      </c>
      <c r="C445" s="11" t="s">
        <v>349</v>
      </c>
      <c r="D445" s="38" t="n">
        <v>45919</v>
      </c>
      <c r="E445" s="38" t="n">
        <v>45979</v>
      </c>
      <c r="F445" s="37" t="n">
        <v>15550</v>
      </c>
      <c r="G445" s="37" t="n">
        <v>3110</v>
      </c>
      <c r="H445" s="37" t="n">
        <v>18660</v>
      </c>
      <c r="I445" s="11" t="s">
        <v>283</v>
      </c>
      <c r="J445" s="11"/>
      <c r="K445" s="11" t="s">
        <v>4152</v>
      </c>
      <c r="L445" s="38" t="n">
        <v>45987</v>
      </c>
      <c r="M445" s="11" t="n">
        <v>8</v>
      </c>
      <c r="N445" s="11"/>
      <c r="O445" s="11"/>
    </row>
    <row r="446" customFormat="false" ht="15" hidden="false" customHeight="false" outlineLevel="0" collapsed="false">
      <c r="A446" s="11" t="s">
        <v>2816</v>
      </c>
      <c r="B446" s="11" t="s">
        <v>328</v>
      </c>
      <c r="C446" s="11" t="s">
        <v>327</v>
      </c>
      <c r="D446" s="38" t="n">
        <v>45922</v>
      </c>
      <c r="E446" s="38" t="n">
        <v>45982</v>
      </c>
      <c r="F446" s="37" t="n">
        <v>21620</v>
      </c>
      <c r="G446" s="37" t="n">
        <v>4324</v>
      </c>
      <c r="H446" s="37" t="n">
        <v>25944</v>
      </c>
      <c r="I446" s="11" t="s">
        <v>283</v>
      </c>
      <c r="J446" s="11"/>
      <c r="K446" s="11" t="s">
        <v>4152</v>
      </c>
      <c r="L446" s="38" t="n">
        <v>46030</v>
      </c>
      <c r="M446" s="11" t="n">
        <v>48</v>
      </c>
      <c r="N446" s="11"/>
      <c r="O446" s="11"/>
    </row>
    <row r="447" customFormat="false" ht="15" hidden="false" customHeight="false" outlineLevel="0" collapsed="false">
      <c r="A447" s="11" t="s">
        <v>2434</v>
      </c>
      <c r="B447" s="11" t="s">
        <v>288</v>
      </c>
      <c r="C447" s="11" t="s">
        <v>287</v>
      </c>
      <c r="D447" s="38" t="n">
        <v>45922</v>
      </c>
      <c r="E447" s="38" t="n">
        <v>45952</v>
      </c>
      <c r="F447" s="37" t="n">
        <v>3250</v>
      </c>
      <c r="G447" s="37" t="n">
        <v>650</v>
      </c>
      <c r="H447" s="37" t="n">
        <v>3900</v>
      </c>
      <c r="I447" s="11" t="s">
        <v>283</v>
      </c>
      <c r="J447" s="11"/>
      <c r="K447" s="11" t="s">
        <v>4152</v>
      </c>
      <c r="L447" s="38" t="n">
        <v>45957</v>
      </c>
      <c r="M447" s="11" t="n">
        <v>5</v>
      </c>
      <c r="N447" s="11"/>
      <c r="O447" s="11"/>
    </row>
    <row r="448" customFormat="false" ht="15" hidden="false" customHeight="false" outlineLevel="0" collapsed="false">
      <c r="A448" s="11" t="s">
        <v>2457</v>
      </c>
      <c r="B448" s="11" t="s">
        <v>400</v>
      </c>
      <c r="C448" s="11" t="s">
        <v>399</v>
      </c>
      <c r="D448" s="38" t="n">
        <v>45923</v>
      </c>
      <c r="E448" s="38" t="n">
        <v>45953</v>
      </c>
      <c r="F448" s="37" t="n">
        <v>13540</v>
      </c>
      <c r="G448" s="37" t="n">
        <v>2708</v>
      </c>
      <c r="H448" s="37" t="n">
        <v>16248</v>
      </c>
      <c r="I448" s="11" t="s">
        <v>283</v>
      </c>
      <c r="J448" s="11"/>
      <c r="K448" s="11" t="s">
        <v>4152</v>
      </c>
      <c r="L448" s="38" t="n">
        <v>45960</v>
      </c>
      <c r="M448" s="11" t="n">
        <v>7</v>
      </c>
      <c r="N448" s="11"/>
      <c r="O448" s="11"/>
    </row>
    <row r="449" customFormat="false" ht="15" hidden="false" customHeight="false" outlineLevel="0" collapsed="false">
      <c r="A449" s="11" t="s">
        <v>2533</v>
      </c>
      <c r="B449" s="11" t="s">
        <v>336</v>
      </c>
      <c r="C449" s="11" t="s">
        <v>335</v>
      </c>
      <c r="D449" s="38" t="n">
        <v>45924</v>
      </c>
      <c r="E449" s="38" t="n">
        <v>45969</v>
      </c>
      <c r="F449" s="37" t="n">
        <v>6360</v>
      </c>
      <c r="G449" s="37" t="n">
        <v>1272</v>
      </c>
      <c r="H449" s="37" t="n">
        <v>7632</v>
      </c>
      <c r="I449" s="11" t="s">
        <v>283</v>
      </c>
      <c r="J449" s="11"/>
      <c r="K449" s="11" t="s">
        <v>4152</v>
      </c>
      <c r="L449" s="38" t="n">
        <v>45978</v>
      </c>
      <c r="M449" s="11" t="n">
        <v>9</v>
      </c>
      <c r="N449" s="11"/>
      <c r="O449" s="11"/>
    </row>
    <row r="450" customFormat="false" ht="15" hidden="false" customHeight="false" outlineLevel="0" collapsed="false">
      <c r="A450" s="11" t="s">
        <v>2530</v>
      </c>
      <c r="B450" s="11" t="s">
        <v>324</v>
      </c>
      <c r="C450" s="11" t="s">
        <v>323</v>
      </c>
      <c r="D450" s="38" t="n">
        <v>45924</v>
      </c>
      <c r="E450" s="38" t="n">
        <v>45954</v>
      </c>
      <c r="F450" s="37" t="n">
        <v>6550</v>
      </c>
      <c r="G450" s="37" t="n">
        <v>1310</v>
      </c>
      <c r="H450" s="37" t="n">
        <v>7860</v>
      </c>
      <c r="I450" s="11" t="s">
        <v>283</v>
      </c>
      <c r="J450" s="11"/>
      <c r="K450" s="11" t="s">
        <v>4152</v>
      </c>
      <c r="L450" s="38" t="n">
        <v>45975</v>
      </c>
      <c r="M450" s="11" t="n">
        <v>21</v>
      </c>
      <c r="N450" s="11"/>
      <c r="O450" s="11"/>
    </row>
    <row r="451" customFormat="false" ht="15" hidden="false" customHeight="false" outlineLevel="0" collapsed="false">
      <c r="A451" s="11" t="s">
        <v>2583</v>
      </c>
      <c r="B451" s="11" t="s">
        <v>288</v>
      </c>
      <c r="C451" s="11" t="s">
        <v>287</v>
      </c>
      <c r="D451" s="38" t="n">
        <v>45925</v>
      </c>
      <c r="E451" s="38" t="n">
        <v>45955</v>
      </c>
      <c r="F451" s="37" t="n">
        <v>5950</v>
      </c>
      <c r="G451" s="37" t="n">
        <v>1190</v>
      </c>
      <c r="H451" s="37" t="n">
        <v>7140</v>
      </c>
      <c r="I451" s="11" t="s">
        <v>283</v>
      </c>
      <c r="J451" s="11"/>
      <c r="K451" s="11" t="s">
        <v>4152</v>
      </c>
      <c r="L451" s="38" t="n">
        <v>45988</v>
      </c>
      <c r="M451" s="11" t="n">
        <v>33</v>
      </c>
      <c r="N451" s="11"/>
      <c r="O451" s="11"/>
    </row>
    <row r="452" customFormat="false" ht="15" hidden="false" customHeight="false" outlineLevel="0" collapsed="false">
      <c r="A452" s="11" t="s">
        <v>2624</v>
      </c>
      <c r="B452" s="11" t="s">
        <v>332</v>
      </c>
      <c r="C452" s="11" t="s">
        <v>331</v>
      </c>
      <c r="D452" s="38" t="n">
        <v>45926</v>
      </c>
      <c r="E452" s="38" t="n">
        <v>45971</v>
      </c>
      <c r="F452" s="37" t="n">
        <v>5160</v>
      </c>
      <c r="G452" s="37" t="n">
        <v>1032</v>
      </c>
      <c r="H452" s="37" t="n">
        <v>6192</v>
      </c>
      <c r="I452" s="11" t="s">
        <v>283</v>
      </c>
      <c r="J452" s="11"/>
      <c r="K452" s="11" t="s">
        <v>4152</v>
      </c>
      <c r="L452" s="38" t="n">
        <v>45995</v>
      </c>
      <c r="M452" s="11" t="n">
        <v>24</v>
      </c>
      <c r="N452" s="11"/>
      <c r="O452" s="11"/>
    </row>
    <row r="453" customFormat="false" ht="15" hidden="false" customHeight="false" outlineLevel="0" collapsed="false">
      <c r="A453" s="11" t="s">
        <v>2505</v>
      </c>
      <c r="B453" s="11" t="s">
        <v>281</v>
      </c>
      <c r="C453" s="11" t="s">
        <v>280</v>
      </c>
      <c r="D453" s="38" t="n">
        <v>45926</v>
      </c>
      <c r="E453" s="38" t="n">
        <v>45971</v>
      </c>
      <c r="F453" s="37" t="n">
        <v>13540</v>
      </c>
      <c r="G453" s="37" t="n">
        <v>2708</v>
      </c>
      <c r="H453" s="37" t="n">
        <v>16248</v>
      </c>
      <c r="I453" s="11" t="s">
        <v>283</v>
      </c>
      <c r="J453" s="11"/>
      <c r="K453" s="11" t="s">
        <v>4152</v>
      </c>
      <c r="L453" s="38" t="n">
        <v>45971</v>
      </c>
      <c r="M453" s="11" t="n">
        <v>0</v>
      </c>
      <c r="N453" s="11"/>
      <c r="O453" s="11"/>
    </row>
    <row r="454" customFormat="false" ht="15" hidden="false" customHeight="false" outlineLevel="0" collapsed="false">
      <c r="A454" s="11" t="s">
        <v>2501</v>
      </c>
      <c r="B454" s="11" t="s">
        <v>281</v>
      </c>
      <c r="C454" s="11" t="s">
        <v>280</v>
      </c>
      <c r="D454" s="38" t="n">
        <v>45926</v>
      </c>
      <c r="E454" s="38" t="n">
        <v>45971</v>
      </c>
      <c r="F454" s="37" t="n">
        <v>10710</v>
      </c>
      <c r="G454" s="37" t="n">
        <v>2142</v>
      </c>
      <c r="H454" s="37" t="n">
        <v>12852</v>
      </c>
      <c r="I454" s="11" t="s">
        <v>283</v>
      </c>
      <c r="J454" s="11"/>
      <c r="K454" s="11" t="s">
        <v>4152</v>
      </c>
      <c r="L454" s="38" t="n">
        <v>45971</v>
      </c>
      <c r="M454" s="11" t="n">
        <v>0</v>
      </c>
      <c r="N454" s="11"/>
      <c r="O454" s="11"/>
    </row>
    <row r="455" customFormat="false" ht="15" hidden="false" customHeight="false" outlineLevel="0" collapsed="false">
      <c r="A455" s="11" t="s">
        <v>2464</v>
      </c>
      <c r="B455" s="11" t="s">
        <v>324</v>
      </c>
      <c r="C455" s="11" t="s">
        <v>323</v>
      </c>
      <c r="D455" s="38" t="n">
        <v>45929</v>
      </c>
      <c r="E455" s="38" t="n">
        <v>45959</v>
      </c>
      <c r="F455" s="37" t="n">
        <v>9150</v>
      </c>
      <c r="G455" s="37" t="n">
        <v>1830</v>
      </c>
      <c r="H455" s="37" t="n">
        <v>10980</v>
      </c>
      <c r="I455" s="11" t="s">
        <v>283</v>
      </c>
      <c r="J455" s="11"/>
      <c r="K455" s="11" t="s">
        <v>4152</v>
      </c>
      <c r="L455" s="38" t="n">
        <v>45964</v>
      </c>
      <c r="M455" s="11" t="n">
        <v>5</v>
      </c>
      <c r="N455" s="11"/>
      <c r="O455" s="11"/>
    </row>
    <row r="456" customFormat="false" ht="15" hidden="false" customHeight="false" outlineLevel="0" collapsed="false">
      <c r="A456" s="11" t="s">
        <v>2626</v>
      </c>
      <c r="B456" s="11" t="s">
        <v>299</v>
      </c>
      <c r="C456" s="11" t="s">
        <v>298</v>
      </c>
      <c r="D456" s="38" t="n">
        <v>45929</v>
      </c>
      <c r="E456" s="38" t="n">
        <v>45989</v>
      </c>
      <c r="F456" s="37" t="n">
        <v>12650</v>
      </c>
      <c r="G456" s="37" t="n">
        <v>0</v>
      </c>
      <c r="H456" s="37" t="n">
        <v>12650</v>
      </c>
      <c r="I456" s="11" t="s">
        <v>283</v>
      </c>
      <c r="J456" s="11"/>
      <c r="K456" s="11" t="s">
        <v>4152</v>
      </c>
      <c r="L456" s="38" t="n">
        <v>45996</v>
      </c>
      <c r="M456" s="11" t="n">
        <v>7</v>
      </c>
      <c r="N456" s="11"/>
      <c r="O456" s="11"/>
    </row>
    <row r="457" customFormat="false" ht="15" hidden="false" customHeight="false" outlineLevel="0" collapsed="false">
      <c r="A457" s="11" t="s">
        <v>2780</v>
      </c>
      <c r="B457" s="11" t="s">
        <v>332</v>
      </c>
      <c r="C457" s="11" t="s">
        <v>331</v>
      </c>
      <c r="D457" s="38" t="n">
        <v>45930</v>
      </c>
      <c r="E457" s="38" t="n">
        <v>45975</v>
      </c>
      <c r="F457" s="37" t="n">
        <v>7410</v>
      </c>
      <c r="G457" s="37" t="n">
        <v>1482</v>
      </c>
      <c r="H457" s="37" t="n">
        <v>8892</v>
      </c>
      <c r="I457" s="11" t="s">
        <v>283</v>
      </c>
      <c r="J457" s="11"/>
      <c r="K457" s="11" t="s">
        <v>4152</v>
      </c>
      <c r="L457" s="38" t="n">
        <v>46024</v>
      </c>
      <c r="M457" s="11" t="n">
        <v>49</v>
      </c>
      <c r="N457" s="11"/>
      <c r="O457" s="11"/>
    </row>
    <row r="458" customFormat="false" ht="15" hidden="false" customHeight="false" outlineLevel="0" collapsed="false">
      <c r="A458" s="11" t="s">
        <v>2528</v>
      </c>
      <c r="B458" s="11" t="s">
        <v>281</v>
      </c>
      <c r="C458" s="11" t="s">
        <v>280</v>
      </c>
      <c r="D458" s="38" t="n">
        <v>45930</v>
      </c>
      <c r="E458" s="38" t="n">
        <v>45975</v>
      </c>
      <c r="F458" s="37" t="n">
        <v>5260</v>
      </c>
      <c r="G458" s="37" t="n">
        <v>1052</v>
      </c>
      <c r="H458" s="37" t="n">
        <v>6312</v>
      </c>
      <c r="I458" s="11" t="s">
        <v>283</v>
      </c>
      <c r="J458" s="11"/>
      <c r="K458" s="11" t="s">
        <v>4152</v>
      </c>
      <c r="L458" s="38" t="n">
        <v>45975</v>
      </c>
      <c r="M458" s="11" t="n">
        <v>0</v>
      </c>
      <c r="N458" s="11"/>
      <c r="O458" s="11"/>
    </row>
    <row r="459" customFormat="false" ht="15" hidden="false" customHeight="false" outlineLevel="0" collapsed="false">
      <c r="A459" s="11" t="s">
        <v>2526</v>
      </c>
      <c r="B459" s="11" t="s">
        <v>281</v>
      </c>
      <c r="C459" s="11" t="s">
        <v>280</v>
      </c>
      <c r="D459" s="38" t="n">
        <v>45930</v>
      </c>
      <c r="E459" s="38" t="n">
        <v>45975</v>
      </c>
      <c r="F459" s="37" t="n">
        <v>7800</v>
      </c>
      <c r="G459" s="37" t="n">
        <v>1560</v>
      </c>
      <c r="H459" s="37" t="n">
        <v>9360</v>
      </c>
      <c r="I459" s="11" t="s">
        <v>283</v>
      </c>
      <c r="J459" s="11"/>
      <c r="K459" s="11" t="s">
        <v>4152</v>
      </c>
      <c r="L459" s="38" t="n">
        <v>45975</v>
      </c>
      <c r="M459" s="11" t="n">
        <v>0</v>
      </c>
      <c r="N459" s="11"/>
      <c r="O459" s="11"/>
    </row>
    <row r="460" customFormat="false" ht="15" hidden="false" customHeight="false" outlineLevel="0" collapsed="false">
      <c r="A460" s="11" t="s">
        <v>2577</v>
      </c>
      <c r="B460" s="11" t="s">
        <v>288</v>
      </c>
      <c r="C460" s="11" t="s">
        <v>287</v>
      </c>
      <c r="D460" s="38" t="n">
        <v>45931</v>
      </c>
      <c r="E460" s="38" t="n">
        <v>45961</v>
      </c>
      <c r="F460" s="37" t="n">
        <v>5650</v>
      </c>
      <c r="G460" s="37" t="n">
        <v>1130</v>
      </c>
      <c r="H460" s="37" t="n">
        <v>6780</v>
      </c>
      <c r="I460" s="11" t="s">
        <v>283</v>
      </c>
      <c r="J460" s="11"/>
      <c r="K460" s="11" t="s">
        <v>4152</v>
      </c>
      <c r="L460" s="38" t="n">
        <v>45988</v>
      </c>
      <c r="M460" s="11" t="n">
        <v>27</v>
      </c>
      <c r="N460" s="11"/>
      <c r="O460" s="11"/>
    </row>
    <row r="461" customFormat="false" ht="15" hidden="false" customHeight="false" outlineLevel="0" collapsed="false">
      <c r="A461" s="11" t="s">
        <v>2543</v>
      </c>
      <c r="B461" s="11" t="s">
        <v>324</v>
      </c>
      <c r="C461" s="11" t="s">
        <v>323</v>
      </c>
      <c r="D461" s="38" t="n">
        <v>45931</v>
      </c>
      <c r="E461" s="38" t="n">
        <v>45961</v>
      </c>
      <c r="F461" s="37" t="n">
        <v>5130</v>
      </c>
      <c r="G461" s="37" t="n">
        <v>1026</v>
      </c>
      <c r="H461" s="37" t="n">
        <v>6156</v>
      </c>
      <c r="I461" s="11" t="s">
        <v>283</v>
      </c>
      <c r="J461" s="11"/>
      <c r="K461" s="11" t="s">
        <v>4152</v>
      </c>
      <c r="L461" s="38" t="n">
        <v>45980</v>
      </c>
      <c r="M461" s="11" t="n">
        <v>19</v>
      </c>
      <c r="N461" s="11"/>
      <c r="O461" s="11"/>
    </row>
    <row r="462" customFormat="false" ht="15" hidden="false" customHeight="false" outlineLevel="0" collapsed="false">
      <c r="A462" s="11" t="s">
        <v>2587</v>
      </c>
      <c r="B462" s="11" t="s">
        <v>336</v>
      </c>
      <c r="C462" s="11" t="s">
        <v>335</v>
      </c>
      <c r="D462" s="38" t="n">
        <v>45931</v>
      </c>
      <c r="E462" s="38" t="n">
        <v>45976</v>
      </c>
      <c r="F462" s="37" t="n">
        <v>8790</v>
      </c>
      <c r="G462" s="37" t="n">
        <v>1758</v>
      </c>
      <c r="H462" s="37" t="n">
        <v>10548</v>
      </c>
      <c r="I462" s="11" t="s">
        <v>283</v>
      </c>
      <c r="J462" s="11"/>
      <c r="K462" s="11" t="s">
        <v>4152</v>
      </c>
      <c r="L462" s="38" t="n">
        <v>45988</v>
      </c>
      <c r="M462" s="11" t="n">
        <v>12</v>
      </c>
      <c r="N462" s="11"/>
      <c r="O462" s="11"/>
    </row>
    <row r="463" customFormat="false" ht="15" hidden="false" customHeight="false" outlineLevel="0" collapsed="false">
      <c r="A463" s="11" t="s">
        <v>2594</v>
      </c>
      <c r="B463" s="11" t="s">
        <v>332</v>
      </c>
      <c r="C463" s="11" t="s">
        <v>331</v>
      </c>
      <c r="D463" s="38" t="n">
        <v>45931</v>
      </c>
      <c r="E463" s="38" t="n">
        <v>45976</v>
      </c>
      <c r="F463" s="37" t="n">
        <v>11630</v>
      </c>
      <c r="G463" s="37" t="n">
        <v>2326</v>
      </c>
      <c r="H463" s="37" t="n">
        <v>13956</v>
      </c>
      <c r="I463" s="11" t="s">
        <v>283</v>
      </c>
      <c r="J463" s="11"/>
      <c r="K463" s="11" t="s">
        <v>4152</v>
      </c>
      <c r="L463" s="38" t="n">
        <v>45989</v>
      </c>
      <c r="M463" s="11" t="n">
        <v>13</v>
      </c>
      <c r="N463" s="11"/>
      <c r="O463" s="11"/>
    </row>
    <row r="464" customFormat="false" ht="15" hidden="false" customHeight="false" outlineLevel="0" collapsed="false">
      <c r="A464" s="11" t="s">
        <v>2475</v>
      </c>
      <c r="B464" s="11" t="s">
        <v>400</v>
      </c>
      <c r="C464" s="11" t="s">
        <v>399</v>
      </c>
      <c r="D464" s="38" t="n">
        <v>45931</v>
      </c>
      <c r="E464" s="38" t="n">
        <v>45961</v>
      </c>
      <c r="F464" s="37" t="n">
        <v>17390</v>
      </c>
      <c r="G464" s="37" t="n">
        <v>3478</v>
      </c>
      <c r="H464" s="37" t="n">
        <v>20868</v>
      </c>
      <c r="I464" s="11" t="s">
        <v>283</v>
      </c>
      <c r="J464" s="11"/>
      <c r="K464" s="11" t="s">
        <v>4152</v>
      </c>
      <c r="L464" s="38" t="n">
        <v>45965</v>
      </c>
      <c r="M464" s="11" t="n">
        <v>4</v>
      </c>
      <c r="N464" s="11"/>
      <c r="O464" s="11"/>
    </row>
    <row r="465" customFormat="false" ht="15" hidden="false" customHeight="false" outlineLevel="0" collapsed="false">
      <c r="A465" s="11" t="s">
        <v>2721</v>
      </c>
      <c r="B465" s="11" t="s">
        <v>328</v>
      </c>
      <c r="C465" s="11" t="s">
        <v>327</v>
      </c>
      <c r="D465" s="38" t="n">
        <v>45932</v>
      </c>
      <c r="E465" s="38" t="n">
        <v>45992</v>
      </c>
      <c r="F465" s="37" t="n">
        <v>11800</v>
      </c>
      <c r="G465" s="37" t="n">
        <v>2360</v>
      </c>
      <c r="H465" s="37" t="n">
        <v>14160</v>
      </c>
      <c r="I465" s="11" t="s">
        <v>283</v>
      </c>
      <c r="J465" s="11"/>
      <c r="K465" s="11" t="s">
        <v>4152</v>
      </c>
      <c r="L465" s="38" t="n">
        <v>46013</v>
      </c>
      <c r="M465" s="11" t="n">
        <v>21</v>
      </c>
      <c r="N465" s="11"/>
      <c r="O465" s="11"/>
    </row>
    <row r="466" customFormat="false" ht="15" hidden="false" customHeight="false" outlineLevel="0" collapsed="false">
      <c r="A466" s="11" t="s">
        <v>2537</v>
      </c>
      <c r="B466" s="11" t="s">
        <v>324</v>
      </c>
      <c r="C466" s="11" t="s">
        <v>323</v>
      </c>
      <c r="D466" s="38" t="n">
        <v>45932</v>
      </c>
      <c r="E466" s="38" t="n">
        <v>45962</v>
      </c>
      <c r="F466" s="37" t="n">
        <v>5800</v>
      </c>
      <c r="G466" s="37" t="n">
        <v>1160</v>
      </c>
      <c r="H466" s="37" t="n">
        <v>6960</v>
      </c>
      <c r="I466" s="11" t="s">
        <v>283</v>
      </c>
      <c r="J466" s="11"/>
      <c r="K466" s="11" t="s">
        <v>4152</v>
      </c>
      <c r="L466" s="38" t="n">
        <v>45978</v>
      </c>
      <c r="M466" s="11" t="n">
        <v>16</v>
      </c>
      <c r="N466" s="11"/>
      <c r="O466" s="11"/>
    </row>
    <row r="467" customFormat="false" ht="15" hidden="false" customHeight="false" outlineLevel="0" collapsed="false">
      <c r="A467" s="11" t="s">
        <v>2535</v>
      </c>
      <c r="B467" s="11" t="s">
        <v>281</v>
      </c>
      <c r="C467" s="11" t="s">
        <v>280</v>
      </c>
      <c r="D467" s="38" t="n">
        <v>45932</v>
      </c>
      <c r="E467" s="38" t="n">
        <v>45977</v>
      </c>
      <c r="F467" s="37" t="n">
        <v>9300</v>
      </c>
      <c r="G467" s="37" t="n">
        <v>1860</v>
      </c>
      <c r="H467" s="37" t="n">
        <v>11160</v>
      </c>
      <c r="I467" s="11" t="s">
        <v>283</v>
      </c>
      <c r="J467" s="11"/>
      <c r="K467" s="11" t="s">
        <v>4152</v>
      </c>
      <c r="L467" s="38" t="n">
        <v>45978</v>
      </c>
      <c r="M467" s="11" t="n">
        <v>1</v>
      </c>
      <c r="N467" s="11"/>
      <c r="O467" s="11"/>
    </row>
    <row r="468" customFormat="false" ht="15" hidden="false" customHeight="false" outlineLevel="0" collapsed="false">
      <c r="A468" s="11" t="s">
        <v>2541</v>
      </c>
      <c r="B468" s="11" t="s">
        <v>281</v>
      </c>
      <c r="C468" s="11" t="s">
        <v>280</v>
      </c>
      <c r="D468" s="38" t="n">
        <v>45933</v>
      </c>
      <c r="E468" s="38" t="n">
        <v>45978</v>
      </c>
      <c r="F468" s="37" t="n">
        <v>4970</v>
      </c>
      <c r="G468" s="37" t="n">
        <v>994</v>
      </c>
      <c r="H468" s="37" t="n">
        <v>5964</v>
      </c>
      <c r="I468" s="11" t="s">
        <v>283</v>
      </c>
      <c r="J468" s="11"/>
      <c r="K468" s="11" t="s">
        <v>4152</v>
      </c>
      <c r="L468" s="38" t="n">
        <v>45978</v>
      </c>
      <c r="M468" s="11" t="n">
        <v>0</v>
      </c>
      <c r="N468" s="11"/>
      <c r="O468" s="11"/>
    </row>
    <row r="469" customFormat="false" ht="15" hidden="false" customHeight="false" outlineLevel="0" collapsed="false">
      <c r="A469" s="11" t="s">
        <v>2719</v>
      </c>
      <c r="B469" s="11" t="s">
        <v>324</v>
      </c>
      <c r="C469" s="11" t="s">
        <v>323</v>
      </c>
      <c r="D469" s="38" t="n">
        <v>45933</v>
      </c>
      <c r="E469" s="38" t="n">
        <v>45963</v>
      </c>
      <c r="F469" s="37" t="n">
        <v>6150</v>
      </c>
      <c r="G469" s="37" t="n">
        <v>1230</v>
      </c>
      <c r="H469" s="37" t="n">
        <v>7380</v>
      </c>
      <c r="I469" s="11" t="s">
        <v>283</v>
      </c>
      <c r="J469" s="11"/>
      <c r="K469" s="11" t="s">
        <v>4152</v>
      </c>
      <c r="L469" s="38" t="n">
        <v>46013</v>
      </c>
      <c r="M469" s="11" t="n">
        <v>50</v>
      </c>
      <c r="N469" s="11"/>
      <c r="O469" s="11"/>
    </row>
    <row r="470" customFormat="false" ht="15" hidden="false" customHeight="false" outlineLevel="0" collapsed="false">
      <c r="A470" s="11" t="s">
        <v>2554</v>
      </c>
      <c r="B470" s="11" t="s">
        <v>332</v>
      </c>
      <c r="C470" s="11" t="s">
        <v>331</v>
      </c>
      <c r="D470" s="38" t="n">
        <v>45936</v>
      </c>
      <c r="E470" s="38" t="n">
        <v>45981</v>
      </c>
      <c r="F470" s="37" t="n">
        <v>13190</v>
      </c>
      <c r="G470" s="37" t="n">
        <v>2638</v>
      </c>
      <c r="H470" s="37" t="n">
        <v>15828</v>
      </c>
      <c r="I470" s="11" t="s">
        <v>283</v>
      </c>
      <c r="J470" s="11"/>
      <c r="K470" s="11" t="s">
        <v>4152</v>
      </c>
      <c r="L470" s="38" t="n">
        <v>45985</v>
      </c>
      <c r="M470" s="11" t="n">
        <v>4</v>
      </c>
      <c r="N470" s="11"/>
      <c r="O470" s="11"/>
    </row>
    <row r="471" customFormat="false" ht="15" hidden="false" customHeight="false" outlineLevel="0" collapsed="false">
      <c r="A471" s="11" t="s">
        <v>2684</v>
      </c>
      <c r="B471" s="11" t="s">
        <v>332</v>
      </c>
      <c r="C471" s="11" t="s">
        <v>331</v>
      </c>
      <c r="D471" s="38" t="n">
        <v>45936</v>
      </c>
      <c r="E471" s="38" t="n">
        <v>45981</v>
      </c>
      <c r="F471" s="37" t="n">
        <v>4170</v>
      </c>
      <c r="G471" s="37" t="n">
        <v>834</v>
      </c>
      <c r="H471" s="37" t="n">
        <v>5004</v>
      </c>
      <c r="I471" s="11" t="s">
        <v>283</v>
      </c>
      <c r="J471" s="11"/>
      <c r="K471" s="11" t="s">
        <v>4152</v>
      </c>
      <c r="L471" s="38" t="n">
        <v>46007</v>
      </c>
      <c r="M471" s="11" t="n">
        <v>26</v>
      </c>
      <c r="N471" s="11"/>
      <c r="O471" s="11"/>
    </row>
    <row r="472" customFormat="false" ht="15" hidden="false" customHeight="false" outlineLevel="0" collapsed="false">
      <c r="A472" s="11" t="s">
        <v>2644</v>
      </c>
      <c r="B472" s="11" t="s">
        <v>328</v>
      </c>
      <c r="C472" s="11" t="s">
        <v>327</v>
      </c>
      <c r="D472" s="38" t="n">
        <v>45936</v>
      </c>
      <c r="E472" s="38" t="n">
        <v>45996</v>
      </c>
      <c r="F472" s="37" t="n">
        <v>31050</v>
      </c>
      <c r="G472" s="37" t="n">
        <v>6210</v>
      </c>
      <c r="H472" s="37" t="n">
        <v>37260</v>
      </c>
      <c r="I472" s="11" t="s">
        <v>283</v>
      </c>
      <c r="J472" s="11"/>
      <c r="K472" s="11" t="s">
        <v>4152</v>
      </c>
      <c r="L472" s="38" t="n">
        <v>46000</v>
      </c>
      <c r="M472" s="11" t="n">
        <v>4</v>
      </c>
      <c r="N472" s="11"/>
      <c r="O472" s="11"/>
    </row>
    <row r="473" customFormat="false" ht="15" hidden="false" customHeight="false" outlineLevel="0" collapsed="false">
      <c r="A473" s="11" t="s">
        <v>2483</v>
      </c>
      <c r="B473" s="11" t="s">
        <v>288</v>
      </c>
      <c r="C473" s="11" t="s">
        <v>287</v>
      </c>
      <c r="D473" s="38" t="n">
        <v>45937</v>
      </c>
      <c r="E473" s="38" t="n">
        <v>45967</v>
      </c>
      <c r="F473" s="37" t="n">
        <v>2700</v>
      </c>
      <c r="G473" s="37" t="n">
        <v>540</v>
      </c>
      <c r="H473" s="37" t="n">
        <v>3240</v>
      </c>
      <c r="I473" s="11" t="s">
        <v>283</v>
      </c>
      <c r="J473" s="11"/>
      <c r="K473" s="11" t="s">
        <v>4152</v>
      </c>
      <c r="L473" s="38" t="n">
        <v>45967</v>
      </c>
      <c r="M473" s="11" t="n">
        <v>0</v>
      </c>
      <c r="N473" s="11"/>
      <c r="O473" s="11"/>
    </row>
    <row r="474" customFormat="false" ht="15" hidden="false" customHeight="false" outlineLevel="0" collapsed="false">
      <c r="A474" s="11" t="s">
        <v>2713</v>
      </c>
      <c r="B474" s="11" t="s">
        <v>328</v>
      </c>
      <c r="C474" s="11" t="s">
        <v>327</v>
      </c>
      <c r="D474" s="38" t="n">
        <v>45937</v>
      </c>
      <c r="E474" s="38" t="n">
        <v>45997</v>
      </c>
      <c r="F474" s="37" t="n">
        <v>9510</v>
      </c>
      <c r="G474" s="37" t="n">
        <v>1902</v>
      </c>
      <c r="H474" s="37" t="n">
        <v>11412</v>
      </c>
      <c r="I474" s="11" t="s">
        <v>283</v>
      </c>
      <c r="J474" s="11"/>
      <c r="K474" s="11" t="s">
        <v>4152</v>
      </c>
      <c r="L474" s="38" t="n">
        <v>46013</v>
      </c>
      <c r="M474" s="11" t="n">
        <v>16</v>
      </c>
      <c r="N474" s="11"/>
      <c r="O474" s="11"/>
    </row>
    <row r="475" customFormat="false" ht="15" hidden="false" customHeight="false" outlineLevel="0" collapsed="false">
      <c r="A475" s="11" t="s">
        <v>2847</v>
      </c>
      <c r="B475" s="11" t="s">
        <v>328</v>
      </c>
      <c r="C475" s="11" t="s">
        <v>327</v>
      </c>
      <c r="D475" s="38" t="n">
        <v>45937</v>
      </c>
      <c r="E475" s="38" t="n">
        <v>45997</v>
      </c>
      <c r="F475" s="37" t="n">
        <v>23870</v>
      </c>
      <c r="G475" s="37" t="n">
        <v>4774</v>
      </c>
      <c r="H475" s="37" t="n">
        <v>28644</v>
      </c>
      <c r="I475" s="11" t="s">
        <v>283</v>
      </c>
      <c r="J475" s="11"/>
      <c r="K475" s="11" t="s">
        <v>4152</v>
      </c>
      <c r="L475" s="38" t="n">
        <v>46036</v>
      </c>
      <c r="M475" s="11" t="n">
        <v>39</v>
      </c>
      <c r="N475" s="11"/>
      <c r="O475" s="11"/>
    </row>
    <row r="476" customFormat="false" ht="15" hidden="false" customHeight="false" outlineLevel="0" collapsed="false">
      <c r="A476" s="11" t="s">
        <v>2562</v>
      </c>
      <c r="B476" s="11" t="s">
        <v>281</v>
      </c>
      <c r="C476" s="11" t="s">
        <v>280</v>
      </c>
      <c r="D476" s="38" t="n">
        <v>45938</v>
      </c>
      <c r="E476" s="38" t="n">
        <v>45983</v>
      </c>
      <c r="F476" s="37" t="n">
        <v>7890</v>
      </c>
      <c r="G476" s="37" t="n">
        <v>1578</v>
      </c>
      <c r="H476" s="37" t="n">
        <v>9468</v>
      </c>
      <c r="I476" s="11" t="s">
        <v>283</v>
      </c>
      <c r="J476" s="11"/>
      <c r="K476" s="11" t="s">
        <v>4152</v>
      </c>
      <c r="L476" s="38" t="n">
        <v>45985</v>
      </c>
      <c r="M476" s="11" t="n">
        <v>2</v>
      </c>
      <c r="N476" s="11"/>
      <c r="O476" s="11"/>
    </row>
    <row r="477" customFormat="false" ht="15" hidden="false" customHeight="false" outlineLevel="0" collapsed="false">
      <c r="A477" s="11" t="s">
        <v>2638</v>
      </c>
      <c r="B477" s="11" t="s">
        <v>332</v>
      </c>
      <c r="C477" s="11" t="s">
        <v>331</v>
      </c>
      <c r="D477" s="38" t="n">
        <v>45940</v>
      </c>
      <c r="E477" s="38" t="n">
        <v>45985</v>
      </c>
      <c r="F477" s="37" t="n">
        <v>4960</v>
      </c>
      <c r="G477" s="37" t="n">
        <v>992</v>
      </c>
      <c r="H477" s="37" t="n">
        <v>5952</v>
      </c>
      <c r="I477" s="11" t="s">
        <v>283</v>
      </c>
      <c r="J477" s="11"/>
      <c r="K477" s="11" t="s">
        <v>4152</v>
      </c>
      <c r="L477" s="38" t="n">
        <v>45999</v>
      </c>
      <c r="M477" s="11" t="n">
        <v>14</v>
      </c>
      <c r="N477" s="11"/>
      <c r="O477" s="11"/>
    </row>
    <row r="478" customFormat="false" ht="15" hidden="false" customHeight="false" outlineLevel="0" collapsed="false">
      <c r="A478" s="11" t="s">
        <v>2707</v>
      </c>
      <c r="B478" s="11" t="s">
        <v>350</v>
      </c>
      <c r="C478" s="11" t="s">
        <v>349</v>
      </c>
      <c r="D478" s="38" t="n">
        <v>45940</v>
      </c>
      <c r="E478" s="38" t="n">
        <v>46000</v>
      </c>
      <c r="F478" s="37" t="n">
        <v>19930</v>
      </c>
      <c r="G478" s="37" t="n">
        <v>3986</v>
      </c>
      <c r="H478" s="37" t="n">
        <v>23916</v>
      </c>
      <c r="I478" s="11" t="s">
        <v>283</v>
      </c>
      <c r="J478" s="11"/>
      <c r="K478" s="11" t="s">
        <v>4152</v>
      </c>
      <c r="L478" s="38" t="n">
        <v>46010</v>
      </c>
      <c r="M478" s="11" t="n">
        <v>10</v>
      </c>
      <c r="N478" s="11"/>
      <c r="O478" s="11"/>
    </row>
    <row r="479" customFormat="false" ht="15" hidden="false" customHeight="false" outlineLevel="0" collapsed="false">
      <c r="A479" s="11" t="s">
        <v>2503</v>
      </c>
      <c r="B479" s="11" t="s">
        <v>400</v>
      </c>
      <c r="C479" s="11" t="s">
        <v>399</v>
      </c>
      <c r="D479" s="38" t="n">
        <v>45940</v>
      </c>
      <c r="E479" s="38" t="n">
        <v>45970</v>
      </c>
      <c r="F479" s="37" t="n">
        <v>18010</v>
      </c>
      <c r="G479" s="37" t="n">
        <v>3602</v>
      </c>
      <c r="H479" s="37" t="n">
        <v>21612</v>
      </c>
      <c r="I479" s="11" t="s">
        <v>283</v>
      </c>
      <c r="J479" s="11"/>
      <c r="K479" s="11" t="s">
        <v>4152</v>
      </c>
      <c r="L479" s="38" t="n">
        <v>45971</v>
      </c>
      <c r="M479" s="11" t="n">
        <v>1</v>
      </c>
      <c r="N479" s="11"/>
      <c r="O479" s="11"/>
    </row>
    <row r="480" customFormat="false" ht="15" hidden="false" customHeight="false" outlineLevel="0" collapsed="false">
      <c r="A480" s="11" t="s">
        <v>2495</v>
      </c>
      <c r="B480" s="11" t="s">
        <v>288</v>
      </c>
      <c r="C480" s="11" t="s">
        <v>287</v>
      </c>
      <c r="D480" s="38" t="n">
        <v>45940</v>
      </c>
      <c r="E480" s="38" t="n">
        <v>45970</v>
      </c>
      <c r="F480" s="37" t="n">
        <v>1590</v>
      </c>
      <c r="G480" s="37" t="n">
        <v>318</v>
      </c>
      <c r="H480" s="37" t="n">
        <v>1908</v>
      </c>
      <c r="I480" s="11" t="s">
        <v>283</v>
      </c>
      <c r="J480" s="11"/>
      <c r="K480" s="11" t="s">
        <v>4152</v>
      </c>
      <c r="L480" s="38" t="n">
        <v>45971</v>
      </c>
      <c r="M480" s="11" t="n">
        <v>1</v>
      </c>
      <c r="N480" s="11"/>
      <c r="O480" s="11"/>
    </row>
    <row r="481" customFormat="false" ht="15" hidden="false" customHeight="false" outlineLevel="0" collapsed="false">
      <c r="A481" s="11" t="s">
        <v>2558</v>
      </c>
      <c r="B481" s="11" t="s">
        <v>281</v>
      </c>
      <c r="C481" s="11" t="s">
        <v>280</v>
      </c>
      <c r="D481" s="38" t="n">
        <v>45940</v>
      </c>
      <c r="E481" s="38" t="n">
        <v>45985</v>
      </c>
      <c r="F481" s="37" t="n">
        <v>3560</v>
      </c>
      <c r="G481" s="37" t="n">
        <v>712</v>
      </c>
      <c r="H481" s="37" t="n">
        <v>4272</v>
      </c>
      <c r="I481" s="11" t="s">
        <v>283</v>
      </c>
      <c r="J481" s="11"/>
      <c r="K481" s="11" t="s">
        <v>4152</v>
      </c>
      <c r="L481" s="38" t="n">
        <v>45985</v>
      </c>
      <c r="M481" s="11" t="n">
        <v>0</v>
      </c>
      <c r="N481" s="11"/>
      <c r="O481" s="11"/>
    </row>
    <row r="482" customFormat="false" ht="15" hidden="false" customHeight="false" outlineLevel="0" collapsed="false">
      <c r="A482" s="11" t="s">
        <v>2510</v>
      </c>
      <c r="B482" s="11" t="s">
        <v>288</v>
      </c>
      <c r="C482" s="11" t="s">
        <v>287</v>
      </c>
      <c r="D482" s="38" t="n">
        <v>45940</v>
      </c>
      <c r="E482" s="38" t="n">
        <v>45970</v>
      </c>
      <c r="F482" s="37" t="n">
        <v>2520</v>
      </c>
      <c r="G482" s="37" t="n">
        <v>504</v>
      </c>
      <c r="H482" s="37" t="n">
        <v>3024</v>
      </c>
      <c r="I482" s="11" t="s">
        <v>283</v>
      </c>
      <c r="J482" s="11"/>
      <c r="K482" s="11" t="s">
        <v>4152</v>
      </c>
      <c r="L482" s="38" t="n">
        <v>45973</v>
      </c>
      <c r="M482" s="11" t="n">
        <v>3</v>
      </c>
      <c r="N482" s="11"/>
      <c r="O482" s="11"/>
    </row>
    <row r="483" customFormat="false" ht="15" hidden="false" customHeight="false" outlineLevel="0" collapsed="false">
      <c r="A483" s="11" t="s">
        <v>2699</v>
      </c>
      <c r="B483" s="11" t="s">
        <v>393</v>
      </c>
      <c r="C483" s="11" t="s">
        <v>392</v>
      </c>
      <c r="D483" s="38" t="n">
        <v>45940</v>
      </c>
      <c r="E483" s="38" t="n">
        <v>45990</v>
      </c>
      <c r="F483" s="37" t="n">
        <v>11890</v>
      </c>
      <c r="G483" s="37" t="n">
        <v>2378</v>
      </c>
      <c r="H483" s="37" t="n">
        <v>14268</v>
      </c>
      <c r="I483" s="11" t="s">
        <v>283</v>
      </c>
      <c r="J483" s="11"/>
      <c r="K483" s="11" t="s">
        <v>4152</v>
      </c>
      <c r="L483" s="38" t="n">
        <v>46009</v>
      </c>
      <c r="M483" s="11" t="n">
        <v>19</v>
      </c>
      <c r="N483" s="11"/>
      <c r="O483" s="11"/>
    </row>
    <row r="484" customFormat="false" ht="15" hidden="false" customHeight="false" outlineLevel="0" collapsed="false">
      <c r="A484" s="11" t="s">
        <v>2732</v>
      </c>
      <c r="B484" s="11" t="s">
        <v>350</v>
      </c>
      <c r="C484" s="11" t="s">
        <v>349</v>
      </c>
      <c r="D484" s="38" t="n">
        <v>45943</v>
      </c>
      <c r="E484" s="38" t="n">
        <v>46003</v>
      </c>
      <c r="F484" s="37" t="n">
        <v>12700</v>
      </c>
      <c r="G484" s="37" t="n">
        <v>2540</v>
      </c>
      <c r="H484" s="37" t="n">
        <v>15240</v>
      </c>
      <c r="I484" s="11" t="s">
        <v>283</v>
      </c>
      <c r="J484" s="11"/>
      <c r="K484" s="11" t="s">
        <v>4152</v>
      </c>
      <c r="L484" s="38" t="n">
        <v>46015</v>
      </c>
      <c r="M484" s="11" t="n">
        <v>12</v>
      </c>
      <c r="N484" s="11"/>
      <c r="O484" s="11"/>
    </row>
    <row r="485" customFormat="false" ht="15" hidden="false" customHeight="false" outlineLevel="0" collapsed="false">
      <c r="A485" s="11" t="s">
        <v>2628</v>
      </c>
      <c r="B485" s="11" t="s">
        <v>336</v>
      </c>
      <c r="C485" s="11" t="s">
        <v>335</v>
      </c>
      <c r="D485" s="38" t="n">
        <v>45944</v>
      </c>
      <c r="E485" s="38" t="n">
        <v>45989</v>
      </c>
      <c r="F485" s="37" t="n">
        <v>3670</v>
      </c>
      <c r="G485" s="37" t="n">
        <v>734</v>
      </c>
      <c r="H485" s="37" t="n">
        <v>4404</v>
      </c>
      <c r="I485" s="11" t="s">
        <v>283</v>
      </c>
      <c r="J485" s="11"/>
      <c r="K485" s="11" t="s">
        <v>4152</v>
      </c>
      <c r="L485" s="38" t="n">
        <v>45996</v>
      </c>
      <c r="M485" s="11" t="n">
        <v>7</v>
      </c>
      <c r="N485" s="11"/>
      <c r="O485" s="11"/>
    </row>
    <row r="486" customFormat="false" ht="15" hidden="false" customHeight="false" outlineLevel="0" collapsed="false">
      <c r="A486" s="11" t="s">
        <v>2730</v>
      </c>
      <c r="B486" s="11" t="s">
        <v>350</v>
      </c>
      <c r="C486" s="11" t="s">
        <v>349</v>
      </c>
      <c r="D486" s="38" t="n">
        <v>45944</v>
      </c>
      <c r="E486" s="38" t="n">
        <v>46004</v>
      </c>
      <c r="F486" s="37" t="n">
        <v>10530</v>
      </c>
      <c r="G486" s="37" t="n">
        <v>2106</v>
      </c>
      <c r="H486" s="37" t="n">
        <v>12636</v>
      </c>
      <c r="I486" s="11" t="s">
        <v>283</v>
      </c>
      <c r="J486" s="11"/>
      <c r="K486" s="11" t="s">
        <v>4152</v>
      </c>
      <c r="L486" s="38" t="n">
        <v>46015</v>
      </c>
      <c r="M486" s="11" t="n">
        <v>11</v>
      </c>
      <c r="N486" s="11"/>
      <c r="O486" s="11"/>
    </row>
    <row r="487" customFormat="false" ht="15" hidden="false" customHeight="false" outlineLevel="0" collapsed="false">
      <c r="A487" s="11" t="s">
        <v>2689</v>
      </c>
      <c r="B487" s="11" t="s">
        <v>393</v>
      </c>
      <c r="C487" s="11" t="s">
        <v>392</v>
      </c>
      <c r="D487" s="38" t="n">
        <v>45944</v>
      </c>
      <c r="E487" s="38" t="n">
        <v>45994</v>
      </c>
      <c r="F487" s="37" t="n">
        <v>10960</v>
      </c>
      <c r="G487" s="37" t="n">
        <v>2192</v>
      </c>
      <c r="H487" s="37" t="n">
        <v>13152</v>
      </c>
      <c r="I487" s="11" t="s">
        <v>283</v>
      </c>
      <c r="J487" s="11"/>
      <c r="K487" s="11" t="s">
        <v>4152</v>
      </c>
      <c r="L487" s="38" t="n">
        <v>46008</v>
      </c>
      <c r="M487" s="11" t="n">
        <v>14</v>
      </c>
      <c r="N487" s="11"/>
      <c r="O487" s="11"/>
    </row>
    <row r="488" customFormat="false" ht="15" hidden="false" customHeight="false" outlineLevel="0" collapsed="false">
      <c r="A488" s="11" t="s">
        <v>2539</v>
      </c>
      <c r="B488" s="11" t="s">
        <v>288</v>
      </c>
      <c r="C488" s="11" t="s">
        <v>287</v>
      </c>
      <c r="D488" s="38" t="n">
        <v>45944</v>
      </c>
      <c r="E488" s="38" t="n">
        <v>45974</v>
      </c>
      <c r="F488" s="37" t="n">
        <v>2080</v>
      </c>
      <c r="G488" s="37" t="n">
        <v>416</v>
      </c>
      <c r="H488" s="37" t="n">
        <v>2496</v>
      </c>
      <c r="I488" s="11" t="s">
        <v>283</v>
      </c>
      <c r="J488" s="11"/>
      <c r="K488" s="11" t="s">
        <v>4152</v>
      </c>
      <c r="L488" s="38" t="n">
        <v>45978</v>
      </c>
      <c r="M488" s="11" t="n">
        <v>4</v>
      </c>
      <c r="N488" s="11"/>
      <c r="O488" s="11"/>
    </row>
    <row r="489" customFormat="false" ht="15" hidden="false" customHeight="false" outlineLevel="0" collapsed="false">
      <c r="A489" s="11" t="s">
        <v>2633</v>
      </c>
      <c r="B489" s="11" t="s">
        <v>336</v>
      </c>
      <c r="C489" s="11" t="s">
        <v>335</v>
      </c>
      <c r="D489" s="38" t="n">
        <v>45945</v>
      </c>
      <c r="E489" s="38" t="n">
        <v>45990</v>
      </c>
      <c r="F489" s="37" t="n">
        <v>5560</v>
      </c>
      <c r="G489" s="37" t="n">
        <v>1112</v>
      </c>
      <c r="H489" s="37" t="n">
        <v>6672</v>
      </c>
      <c r="I489" s="11" t="s">
        <v>283</v>
      </c>
      <c r="J489" s="11"/>
      <c r="K489" s="11" t="s">
        <v>4152</v>
      </c>
      <c r="L489" s="38" t="n">
        <v>45996</v>
      </c>
      <c r="M489" s="11" t="n">
        <v>6</v>
      </c>
      <c r="N489" s="11"/>
      <c r="O489" s="11"/>
    </row>
    <row r="490" customFormat="false" ht="15" hidden="false" customHeight="false" outlineLevel="0" collapsed="false">
      <c r="A490" s="11" t="s">
        <v>2600</v>
      </c>
      <c r="B490" s="11" t="s">
        <v>281</v>
      </c>
      <c r="C490" s="11" t="s">
        <v>280</v>
      </c>
      <c r="D490" s="38" t="n">
        <v>45946</v>
      </c>
      <c r="E490" s="38" t="n">
        <v>45991</v>
      </c>
      <c r="F490" s="37" t="n">
        <v>7410</v>
      </c>
      <c r="G490" s="37" t="n">
        <v>1482</v>
      </c>
      <c r="H490" s="37" t="n">
        <v>8892</v>
      </c>
      <c r="I490" s="11" t="s">
        <v>283</v>
      </c>
      <c r="J490" s="11"/>
      <c r="K490" s="11" t="s">
        <v>4152</v>
      </c>
      <c r="L490" s="38" t="n">
        <v>45992</v>
      </c>
      <c r="M490" s="11" t="n">
        <v>1</v>
      </c>
      <c r="N490" s="11"/>
      <c r="O490" s="11"/>
    </row>
    <row r="491" customFormat="false" ht="15" hidden="false" customHeight="false" outlineLevel="0" collapsed="false">
      <c r="A491" s="11" t="s">
        <v>2682</v>
      </c>
      <c r="B491" s="11" t="s">
        <v>332</v>
      </c>
      <c r="C491" s="11" t="s">
        <v>331</v>
      </c>
      <c r="D491" s="38" t="n">
        <v>45946</v>
      </c>
      <c r="E491" s="38" t="n">
        <v>45991</v>
      </c>
      <c r="F491" s="37" t="n">
        <v>4040</v>
      </c>
      <c r="G491" s="37" t="n">
        <v>808</v>
      </c>
      <c r="H491" s="37" t="n">
        <v>4848</v>
      </c>
      <c r="I491" s="11" t="s">
        <v>283</v>
      </c>
      <c r="J491" s="11"/>
      <c r="K491" s="11" t="s">
        <v>4152</v>
      </c>
      <c r="L491" s="38" t="n">
        <v>46007</v>
      </c>
      <c r="M491" s="11" t="n">
        <v>16</v>
      </c>
      <c r="N491" s="11"/>
      <c r="O491" s="11"/>
    </row>
    <row r="492" customFormat="false" ht="15" hidden="false" customHeight="false" outlineLevel="0" collapsed="false">
      <c r="A492" s="11" t="s">
        <v>2604</v>
      </c>
      <c r="B492" s="11" t="s">
        <v>281</v>
      </c>
      <c r="C492" s="11" t="s">
        <v>280</v>
      </c>
      <c r="D492" s="38" t="n">
        <v>45947</v>
      </c>
      <c r="E492" s="38" t="n">
        <v>45992</v>
      </c>
      <c r="F492" s="37" t="n">
        <v>5270</v>
      </c>
      <c r="G492" s="37" t="n">
        <v>1054</v>
      </c>
      <c r="H492" s="37" t="n">
        <v>6324</v>
      </c>
      <c r="I492" s="11" t="s">
        <v>283</v>
      </c>
      <c r="J492" s="11"/>
      <c r="K492" s="11" t="s">
        <v>4152</v>
      </c>
      <c r="L492" s="38" t="n">
        <v>45992</v>
      </c>
      <c r="M492" s="11" t="n">
        <v>0</v>
      </c>
      <c r="N492" s="11"/>
      <c r="O492" s="11"/>
    </row>
    <row r="493" customFormat="false" ht="15" hidden="false" customHeight="false" outlineLevel="0" collapsed="false">
      <c r="A493" s="11" t="s">
        <v>2640</v>
      </c>
      <c r="B493" s="11" t="s">
        <v>336</v>
      </c>
      <c r="C493" s="11" t="s">
        <v>335</v>
      </c>
      <c r="D493" s="38" t="n">
        <v>45947</v>
      </c>
      <c r="E493" s="38" t="n">
        <v>45992</v>
      </c>
      <c r="F493" s="37" t="n">
        <v>5700</v>
      </c>
      <c r="G493" s="37" t="n">
        <v>1140</v>
      </c>
      <c r="H493" s="37" t="n">
        <v>6840</v>
      </c>
      <c r="I493" s="11" t="s">
        <v>283</v>
      </c>
      <c r="J493" s="11"/>
      <c r="K493" s="11" t="s">
        <v>4152</v>
      </c>
      <c r="L493" s="38" t="n">
        <v>45999</v>
      </c>
      <c r="M493" s="11" t="n">
        <v>7</v>
      </c>
      <c r="N493" s="11"/>
      <c r="O493" s="11"/>
    </row>
    <row r="494" customFormat="false" ht="15" hidden="false" customHeight="false" outlineLevel="0" collapsed="false">
      <c r="A494" s="11" t="s">
        <v>2746</v>
      </c>
      <c r="B494" s="11" t="s">
        <v>332</v>
      </c>
      <c r="C494" s="11" t="s">
        <v>331</v>
      </c>
      <c r="D494" s="38" t="n">
        <v>45947</v>
      </c>
      <c r="E494" s="38" t="n">
        <v>45992</v>
      </c>
      <c r="F494" s="37" t="n">
        <v>4910</v>
      </c>
      <c r="G494" s="37" t="n">
        <v>982</v>
      </c>
      <c r="H494" s="37" t="n">
        <v>5892</v>
      </c>
      <c r="I494" s="11" t="s">
        <v>283</v>
      </c>
      <c r="J494" s="11"/>
      <c r="K494" s="11" t="s">
        <v>4152</v>
      </c>
      <c r="L494" s="38" t="n">
        <v>46020</v>
      </c>
      <c r="M494" s="11" t="n">
        <v>28</v>
      </c>
      <c r="N494" s="11"/>
      <c r="O494" s="11"/>
    </row>
    <row r="495" customFormat="false" ht="15" hidden="false" customHeight="false" outlineLevel="0" collapsed="false">
      <c r="A495" s="11" t="s">
        <v>2642</v>
      </c>
      <c r="B495" s="11" t="s">
        <v>336</v>
      </c>
      <c r="C495" s="11" t="s">
        <v>335</v>
      </c>
      <c r="D495" s="38" t="n">
        <v>45947</v>
      </c>
      <c r="E495" s="38" t="n">
        <v>45992</v>
      </c>
      <c r="F495" s="37" t="n">
        <v>4800</v>
      </c>
      <c r="G495" s="37" t="n">
        <v>960</v>
      </c>
      <c r="H495" s="37" t="n">
        <v>5760</v>
      </c>
      <c r="I495" s="11" t="s">
        <v>283</v>
      </c>
      <c r="J495" s="11"/>
      <c r="K495" s="11" t="s">
        <v>4152</v>
      </c>
      <c r="L495" s="38" t="n">
        <v>45999</v>
      </c>
      <c r="M495" s="11" t="n">
        <v>7</v>
      </c>
      <c r="N495" s="11"/>
      <c r="O495" s="11"/>
    </row>
    <row r="496" customFormat="false" ht="15" hidden="false" customHeight="false" outlineLevel="0" collapsed="false">
      <c r="A496" s="11" t="s">
        <v>2709</v>
      </c>
      <c r="B496" s="11" t="s">
        <v>299</v>
      </c>
      <c r="C496" s="11" t="s">
        <v>298</v>
      </c>
      <c r="D496" s="38" t="n">
        <v>45950</v>
      </c>
      <c r="E496" s="38" t="n">
        <v>46010</v>
      </c>
      <c r="F496" s="37" t="n">
        <v>8320</v>
      </c>
      <c r="G496" s="37" t="n">
        <v>0</v>
      </c>
      <c r="H496" s="37" t="n">
        <v>8320</v>
      </c>
      <c r="I496" s="11" t="s">
        <v>283</v>
      </c>
      <c r="J496" s="11"/>
      <c r="K496" s="11" t="s">
        <v>4152</v>
      </c>
      <c r="L496" s="38" t="n">
        <v>46010</v>
      </c>
      <c r="M496" s="11" t="n">
        <v>0</v>
      </c>
      <c r="N496" s="11"/>
      <c r="O496" s="11"/>
    </row>
    <row r="497" customFormat="false" ht="15" hidden="false" customHeight="false" outlineLevel="0" collapsed="false">
      <c r="A497" s="11" t="s">
        <v>2784</v>
      </c>
      <c r="B497" s="11" t="s">
        <v>598</v>
      </c>
      <c r="C497" s="11" t="s">
        <v>597</v>
      </c>
      <c r="D497" s="38" t="n">
        <v>45950</v>
      </c>
      <c r="E497" s="38" t="n">
        <v>46010</v>
      </c>
      <c r="F497" s="37" t="n">
        <v>117000</v>
      </c>
      <c r="G497" s="37" t="n">
        <v>23400</v>
      </c>
      <c r="H497" s="37" t="n">
        <v>140400</v>
      </c>
      <c r="I497" s="11" t="s">
        <v>4215</v>
      </c>
      <c r="J497" s="11" t="s">
        <v>4213</v>
      </c>
      <c r="K497" s="11" t="s">
        <v>4152</v>
      </c>
      <c r="L497" s="38" t="n">
        <v>46024</v>
      </c>
      <c r="M497" s="11" t="n">
        <v>14</v>
      </c>
      <c r="N497" s="11"/>
      <c r="O497" s="11"/>
    </row>
    <row r="498" customFormat="false" ht="15" hidden="false" customHeight="false" outlineLevel="0" collapsed="false">
      <c r="A498" s="11" t="s">
        <v>2618</v>
      </c>
      <c r="B498" s="11" t="s">
        <v>281</v>
      </c>
      <c r="C498" s="11" t="s">
        <v>280</v>
      </c>
      <c r="D498" s="38" t="n">
        <v>45950</v>
      </c>
      <c r="E498" s="38" t="n">
        <v>45995</v>
      </c>
      <c r="F498" s="37" t="n">
        <v>9340</v>
      </c>
      <c r="G498" s="37" t="n">
        <v>1868</v>
      </c>
      <c r="H498" s="37" t="n">
        <v>11208</v>
      </c>
      <c r="I498" s="11" t="s">
        <v>283</v>
      </c>
      <c r="J498" s="11"/>
      <c r="K498" s="11" t="s">
        <v>4152</v>
      </c>
      <c r="L498" s="38" t="n">
        <v>45995</v>
      </c>
      <c r="M498" s="11" t="n">
        <v>0</v>
      </c>
      <c r="N498" s="11"/>
      <c r="O498" s="11"/>
    </row>
    <row r="499" customFormat="false" ht="15" hidden="false" customHeight="false" outlineLevel="0" collapsed="false">
      <c r="A499" s="11" t="s">
        <v>2800</v>
      </c>
      <c r="B499" s="11" t="s">
        <v>350</v>
      </c>
      <c r="C499" s="11" t="s">
        <v>349</v>
      </c>
      <c r="D499" s="38" t="n">
        <v>45951</v>
      </c>
      <c r="E499" s="38" t="n">
        <v>46011</v>
      </c>
      <c r="F499" s="37" t="n">
        <v>4880</v>
      </c>
      <c r="G499" s="37" t="n">
        <v>976</v>
      </c>
      <c r="H499" s="37" t="n">
        <v>5856</v>
      </c>
      <c r="I499" s="11" t="s">
        <v>283</v>
      </c>
      <c r="J499" s="11"/>
      <c r="K499" s="11" t="s">
        <v>4152</v>
      </c>
      <c r="L499" s="38" t="n">
        <v>46027</v>
      </c>
      <c r="M499" s="11" t="n">
        <v>16</v>
      </c>
      <c r="N499" s="11"/>
      <c r="O499" s="11"/>
    </row>
    <row r="500" customFormat="false" ht="15" hidden="false" customHeight="false" outlineLevel="0" collapsed="false">
      <c r="A500" s="11" t="s">
        <v>2723</v>
      </c>
      <c r="B500" s="11" t="s">
        <v>336</v>
      </c>
      <c r="C500" s="11" t="s">
        <v>335</v>
      </c>
      <c r="D500" s="38" t="n">
        <v>45951</v>
      </c>
      <c r="E500" s="38" t="n">
        <v>45996</v>
      </c>
      <c r="F500" s="37" t="n">
        <v>3540</v>
      </c>
      <c r="G500" s="37" t="n">
        <v>708</v>
      </c>
      <c r="H500" s="37" t="n">
        <v>4248</v>
      </c>
      <c r="I500" s="11" t="s">
        <v>283</v>
      </c>
      <c r="J500" s="11"/>
      <c r="K500" s="11" t="s">
        <v>4152</v>
      </c>
      <c r="L500" s="38" t="n">
        <v>46014</v>
      </c>
      <c r="M500" s="11" t="n">
        <v>18</v>
      </c>
      <c r="N500" s="11"/>
      <c r="O500" s="11"/>
    </row>
    <row r="501" customFormat="false" ht="15" hidden="false" customHeight="false" outlineLevel="0" collapsed="false">
      <c r="A501" s="11" t="s">
        <v>2744</v>
      </c>
      <c r="B501" s="11" t="s">
        <v>350</v>
      </c>
      <c r="C501" s="11" t="s">
        <v>349</v>
      </c>
      <c r="D501" s="38" t="n">
        <v>45951</v>
      </c>
      <c r="E501" s="38" t="n">
        <v>46011</v>
      </c>
      <c r="F501" s="37" t="n">
        <v>12180</v>
      </c>
      <c r="G501" s="37" t="n">
        <v>2436</v>
      </c>
      <c r="H501" s="37" t="n">
        <v>14616</v>
      </c>
      <c r="I501" s="11" t="s">
        <v>283</v>
      </c>
      <c r="J501" s="11"/>
      <c r="K501" s="11" t="s">
        <v>4152</v>
      </c>
      <c r="L501" s="38" t="n">
        <v>46020</v>
      </c>
      <c r="M501" s="11" t="n">
        <v>9</v>
      </c>
      <c r="N501" s="11"/>
      <c r="O501" s="11"/>
    </row>
    <row r="502" customFormat="false" ht="15" hidden="false" customHeight="false" outlineLevel="0" collapsed="false">
      <c r="A502" s="11" t="s">
        <v>2630</v>
      </c>
      <c r="B502" s="11" t="s">
        <v>281</v>
      </c>
      <c r="C502" s="11" t="s">
        <v>280</v>
      </c>
      <c r="D502" s="38" t="n">
        <v>45951</v>
      </c>
      <c r="E502" s="38" t="n">
        <v>45996</v>
      </c>
      <c r="F502" s="37" t="n">
        <v>9390</v>
      </c>
      <c r="G502" s="37" t="n">
        <v>1878</v>
      </c>
      <c r="H502" s="37" t="n">
        <v>11268</v>
      </c>
      <c r="I502" s="11" t="s">
        <v>283</v>
      </c>
      <c r="J502" s="11"/>
      <c r="K502" s="11" t="s">
        <v>4152</v>
      </c>
      <c r="L502" s="38" t="n">
        <v>45996</v>
      </c>
      <c r="M502" s="11" t="n">
        <v>0</v>
      </c>
      <c r="N502" s="11"/>
      <c r="O502" s="11"/>
    </row>
    <row r="503" customFormat="false" ht="15" hidden="false" customHeight="false" outlineLevel="0" collapsed="false">
      <c r="A503" s="11" t="s">
        <v>2734</v>
      </c>
      <c r="B503" s="11" t="s">
        <v>299</v>
      </c>
      <c r="C503" s="11" t="s">
        <v>298</v>
      </c>
      <c r="D503" s="38" t="n">
        <v>45952</v>
      </c>
      <c r="E503" s="38" t="n">
        <v>46012</v>
      </c>
      <c r="F503" s="37" t="n">
        <v>8700</v>
      </c>
      <c r="G503" s="37" t="n">
        <v>0</v>
      </c>
      <c r="H503" s="37" t="n">
        <v>8700</v>
      </c>
      <c r="I503" s="11" t="s">
        <v>283</v>
      </c>
      <c r="J503" s="11"/>
      <c r="K503" s="11" t="s">
        <v>4152</v>
      </c>
      <c r="L503" s="38" t="n">
        <v>46017</v>
      </c>
      <c r="M503" s="11" t="n">
        <v>5</v>
      </c>
      <c r="N503" s="11"/>
      <c r="O503" s="11"/>
    </row>
    <row r="504" customFormat="false" ht="15" hidden="false" customHeight="false" outlineLevel="0" collapsed="false">
      <c r="A504" s="11" t="s">
        <v>2665</v>
      </c>
      <c r="B504" s="11" t="s">
        <v>336</v>
      </c>
      <c r="C504" s="11" t="s">
        <v>335</v>
      </c>
      <c r="D504" s="38" t="n">
        <v>45952</v>
      </c>
      <c r="E504" s="38" t="n">
        <v>45997</v>
      </c>
      <c r="F504" s="37" t="n">
        <v>6880</v>
      </c>
      <c r="G504" s="37" t="n">
        <v>1376</v>
      </c>
      <c r="H504" s="37" t="n">
        <v>8256</v>
      </c>
      <c r="I504" s="11" t="s">
        <v>283</v>
      </c>
      <c r="J504" s="11"/>
      <c r="K504" s="11" t="s">
        <v>4152</v>
      </c>
      <c r="L504" s="38" t="n">
        <v>46006</v>
      </c>
      <c r="M504" s="11" t="n">
        <v>9</v>
      </c>
      <c r="N504" s="11"/>
      <c r="O504" s="11"/>
    </row>
    <row r="505" customFormat="false" ht="15" hidden="false" customHeight="false" outlineLevel="0" collapsed="false">
      <c r="A505" s="11" t="s">
        <v>2646</v>
      </c>
      <c r="B505" s="11" t="s">
        <v>336</v>
      </c>
      <c r="C505" s="11" t="s">
        <v>335</v>
      </c>
      <c r="D505" s="38" t="n">
        <v>45952</v>
      </c>
      <c r="E505" s="38" t="n">
        <v>45997</v>
      </c>
      <c r="F505" s="37" t="n">
        <v>9220</v>
      </c>
      <c r="G505" s="37" t="n">
        <v>1844</v>
      </c>
      <c r="H505" s="37" t="n">
        <v>11064</v>
      </c>
      <c r="I505" s="11" t="s">
        <v>283</v>
      </c>
      <c r="J505" s="11"/>
      <c r="K505" s="11" t="s">
        <v>4152</v>
      </c>
      <c r="L505" s="38" t="n">
        <v>46001</v>
      </c>
      <c r="M505" s="11" t="n">
        <v>4</v>
      </c>
      <c r="N505" s="11"/>
      <c r="O505" s="11"/>
    </row>
    <row r="506" customFormat="false" ht="15" hidden="false" customHeight="false" outlineLevel="0" collapsed="false">
      <c r="A506" s="11" t="s">
        <v>2591</v>
      </c>
      <c r="B506" s="11" t="s">
        <v>288</v>
      </c>
      <c r="C506" s="11" t="s">
        <v>287</v>
      </c>
      <c r="D506" s="38" t="n">
        <v>45952</v>
      </c>
      <c r="E506" s="38" t="n">
        <v>45982</v>
      </c>
      <c r="F506" s="37" t="n">
        <v>1860</v>
      </c>
      <c r="G506" s="37" t="n">
        <v>372</v>
      </c>
      <c r="H506" s="37" t="n">
        <v>2232</v>
      </c>
      <c r="I506" s="11" t="s">
        <v>283</v>
      </c>
      <c r="J506" s="11"/>
      <c r="K506" s="11" t="s">
        <v>4152</v>
      </c>
      <c r="L506" s="38" t="n">
        <v>45988</v>
      </c>
      <c r="M506" s="11" t="n">
        <v>6</v>
      </c>
      <c r="N506" s="11"/>
      <c r="O506" s="11"/>
    </row>
    <row r="507" customFormat="false" ht="15" hidden="false" customHeight="false" outlineLevel="0" collapsed="false">
      <c r="A507" s="11" t="s">
        <v>2705</v>
      </c>
      <c r="B507" s="11" t="s">
        <v>299</v>
      </c>
      <c r="C507" s="11" t="s">
        <v>298</v>
      </c>
      <c r="D507" s="38" t="n">
        <v>45952</v>
      </c>
      <c r="E507" s="38" t="n">
        <v>46012</v>
      </c>
      <c r="F507" s="37" t="n">
        <v>7870</v>
      </c>
      <c r="G507" s="37" t="n">
        <v>0</v>
      </c>
      <c r="H507" s="37" t="n">
        <v>7870</v>
      </c>
      <c r="I507" s="11" t="s">
        <v>283</v>
      </c>
      <c r="J507" s="11"/>
      <c r="K507" s="11" t="s">
        <v>4152</v>
      </c>
      <c r="L507" s="38" t="n">
        <v>46010</v>
      </c>
      <c r="M507" s="11" t="n">
        <v>-2</v>
      </c>
      <c r="N507" s="11"/>
      <c r="O507" s="11"/>
    </row>
    <row r="508" customFormat="false" ht="15" hidden="false" customHeight="false" outlineLevel="0" collapsed="false">
      <c r="A508" s="11" t="s">
        <v>2748</v>
      </c>
      <c r="B508" s="11" t="s">
        <v>288</v>
      </c>
      <c r="C508" s="11" t="s">
        <v>287</v>
      </c>
      <c r="D508" s="38" t="n">
        <v>45953</v>
      </c>
      <c r="E508" s="38" t="n">
        <v>45983</v>
      </c>
      <c r="F508" s="37" t="n">
        <v>4700</v>
      </c>
      <c r="G508" s="37" t="n">
        <v>940</v>
      </c>
      <c r="H508" s="37" t="n">
        <v>5640</v>
      </c>
      <c r="I508" s="11" t="s">
        <v>283</v>
      </c>
      <c r="J508" s="11"/>
      <c r="K508" s="11" t="s">
        <v>4152</v>
      </c>
      <c r="L508" s="38" t="n">
        <v>46020</v>
      </c>
      <c r="M508" s="11" t="n">
        <v>37</v>
      </c>
      <c r="N508" s="11"/>
      <c r="O508" s="11"/>
    </row>
    <row r="509" customFormat="false" ht="15" hidden="false" customHeight="false" outlineLevel="0" collapsed="false">
      <c r="A509" s="11" t="s">
        <v>2742</v>
      </c>
      <c r="B509" s="11" t="s">
        <v>350</v>
      </c>
      <c r="C509" s="11" t="s">
        <v>349</v>
      </c>
      <c r="D509" s="38" t="n">
        <v>45953</v>
      </c>
      <c r="E509" s="38" t="n">
        <v>46013</v>
      </c>
      <c r="F509" s="37" t="n">
        <v>17660</v>
      </c>
      <c r="G509" s="37" t="n">
        <v>3532</v>
      </c>
      <c r="H509" s="37" t="n">
        <v>21192</v>
      </c>
      <c r="I509" s="11" t="s">
        <v>283</v>
      </c>
      <c r="J509" s="11"/>
      <c r="K509" s="11" t="s">
        <v>4152</v>
      </c>
      <c r="L509" s="38" t="n">
        <v>46020</v>
      </c>
      <c r="M509" s="11" t="n">
        <v>7</v>
      </c>
      <c r="N509" s="11"/>
      <c r="O509" s="11"/>
    </row>
    <row r="510" customFormat="false" ht="15" hidden="false" customHeight="false" outlineLevel="0" collapsed="false">
      <c r="A510" s="11" t="s">
        <v>2852</v>
      </c>
      <c r="B510" s="11" t="s">
        <v>328</v>
      </c>
      <c r="C510" s="11" t="s">
        <v>327</v>
      </c>
      <c r="D510" s="38" t="n">
        <v>45954</v>
      </c>
      <c r="E510" s="38" t="n">
        <v>46014</v>
      </c>
      <c r="F510" s="37" t="n">
        <v>12120</v>
      </c>
      <c r="G510" s="37" t="n">
        <v>2424</v>
      </c>
      <c r="H510" s="37" t="n">
        <v>14544</v>
      </c>
      <c r="I510" s="11" t="s">
        <v>283</v>
      </c>
      <c r="J510" s="11"/>
      <c r="K510" s="11" t="s">
        <v>4152</v>
      </c>
      <c r="L510" s="38" t="n">
        <v>46037</v>
      </c>
      <c r="M510" s="11" t="n">
        <v>23</v>
      </c>
      <c r="N510" s="11"/>
      <c r="O510" s="11"/>
    </row>
    <row r="511" customFormat="false" ht="15" hidden="false" customHeight="false" outlineLevel="0" collapsed="false">
      <c r="A511" s="11" t="s">
        <v>2932</v>
      </c>
      <c r="B511" s="11" t="s">
        <v>328</v>
      </c>
      <c r="C511" s="11" t="s">
        <v>327</v>
      </c>
      <c r="D511" s="38" t="n">
        <v>45954</v>
      </c>
      <c r="E511" s="38" t="n">
        <v>46014</v>
      </c>
      <c r="F511" s="37" t="n">
        <v>8100</v>
      </c>
      <c r="G511" s="37" t="n">
        <v>1620</v>
      </c>
      <c r="H511" s="37" t="n">
        <v>9720</v>
      </c>
      <c r="I511" s="11" t="s">
        <v>283</v>
      </c>
      <c r="J511" s="11"/>
      <c r="K511" s="11" t="s">
        <v>4152</v>
      </c>
      <c r="L511" s="38" t="n">
        <v>46055</v>
      </c>
      <c r="M511" s="11" t="n">
        <v>41</v>
      </c>
      <c r="N511" s="11"/>
      <c r="O511" s="11"/>
    </row>
    <row r="512" customFormat="false" ht="15" hidden="false" customHeight="false" outlineLevel="0" collapsed="false">
      <c r="A512" s="11" t="s">
        <v>2570</v>
      </c>
      <c r="B512" s="11" t="s">
        <v>324</v>
      </c>
      <c r="C512" s="11" t="s">
        <v>323</v>
      </c>
      <c r="D512" s="38" t="n">
        <v>45954</v>
      </c>
      <c r="E512" s="38" t="n">
        <v>45984</v>
      </c>
      <c r="F512" s="37" t="n">
        <v>4940</v>
      </c>
      <c r="G512" s="37" t="n">
        <v>988</v>
      </c>
      <c r="H512" s="37" t="n">
        <v>5928</v>
      </c>
      <c r="I512" s="11" t="s">
        <v>283</v>
      </c>
      <c r="J512" s="11"/>
      <c r="K512" s="11" t="s">
        <v>4152</v>
      </c>
      <c r="L512" s="38" t="n">
        <v>45986</v>
      </c>
      <c r="M512" s="11" t="n">
        <v>2</v>
      </c>
      <c r="N512" s="11"/>
      <c r="O512" s="11"/>
    </row>
    <row r="513" customFormat="false" ht="15" hidden="false" customHeight="false" outlineLevel="0" collapsed="false">
      <c r="A513" s="11" t="s">
        <v>2656</v>
      </c>
      <c r="B513" s="11" t="s">
        <v>336</v>
      </c>
      <c r="C513" s="11" t="s">
        <v>335</v>
      </c>
      <c r="D513" s="38" t="n">
        <v>45954</v>
      </c>
      <c r="E513" s="38" t="n">
        <v>45999</v>
      </c>
      <c r="F513" s="37" t="n">
        <v>3620</v>
      </c>
      <c r="G513" s="37" t="n">
        <v>724</v>
      </c>
      <c r="H513" s="37" t="n">
        <v>4344</v>
      </c>
      <c r="I513" s="11" t="s">
        <v>283</v>
      </c>
      <c r="J513" s="11"/>
      <c r="K513" s="11" t="s">
        <v>4152</v>
      </c>
      <c r="L513" s="38" t="n">
        <v>46003</v>
      </c>
      <c r="M513" s="11" t="n">
        <v>4</v>
      </c>
      <c r="N513" s="11"/>
      <c r="O513" s="11"/>
    </row>
    <row r="514" customFormat="false" ht="15" hidden="false" customHeight="false" outlineLevel="0" collapsed="false">
      <c r="A514" s="11" t="s">
        <v>2636</v>
      </c>
      <c r="B514" s="11" t="s">
        <v>281</v>
      </c>
      <c r="C514" s="11" t="s">
        <v>280</v>
      </c>
      <c r="D514" s="38" t="n">
        <v>45954</v>
      </c>
      <c r="E514" s="38" t="n">
        <v>45999</v>
      </c>
      <c r="F514" s="37" t="n">
        <v>13800</v>
      </c>
      <c r="G514" s="37" t="n">
        <v>2760</v>
      </c>
      <c r="H514" s="37" t="n">
        <v>16560</v>
      </c>
      <c r="I514" s="11" t="s">
        <v>283</v>
      </c>
      <c r="J514" s="11"/>
      <c r="K514" s="11" t="s">
        <v>4152</v>
      </c>
      <c r="L514" s="38" t="n">
        <v>45999</v>
      </c>
      <c r="M514" s="11" t="n">
        <v>0</v>
      </c>
      <c r="N514" s="11"/>
      <c r="O514" s="11"/>
    </row>
    <row r="515" customFormat="false" ht="15" hidden="false" customHeight="false" outlineLevel="0" collapsed="false">
      <c r="A515" s="11" t="s">
        <v>2564</v>
      </c>
      <c r="B515" s="11" t="s">
        <v>288</v>
      </c>
      <c r="C515" s="11" t="s">
        <v>287</v>
      </c>
      <c r="D515" s="38" t="n">
        <v>45954</v>
      </c>
      <c r="E515" s="38" t="n">
        <v>45984</v>
      </c>
      <c r="F515" s="37" t="n">
        <v>2900</v>
      </c>
      <c r="G515" s="37" t="n">
        <v>580</v>
      </c>
      <c r="H515" s="37" t="n">
        <v>3480</v>
      </c>
      <c r="I515" s="11" t="s">
        <v>283</v>
      </c>
      <c r="J515" s="11"/>
      <c r="K515" s="11" t="s">
        <v>4152</v>
      </c>
      <c r="L515" s="38" t="n">
        <v>45985</v>
      </c>
      <c r="M515" s="11" t="n">
        <v>1</v>
      </c>
      <c r="N515" s="11"/>
      <c r="O515" s="11"/>
    </row>
    <row r="516" customFormat="false" ht="15" hidden="false" customHeight="false" outlineLevel="0" collapsed="false">
      <c r="A516" s="11" t="s">
        <v>2804</v>
      </c>
      <c r="B516" s="11" t="s">
        <v>393</v>
      </c>
      <c r="C516" s="11" t="s">
        <v>392</v>
      </c>
      <c r="D516" s="38" t="n">
        <v>45954</v>
      </c>
      <c r="E516" s="38" t="n">
        <v>46004</v>
      </c>
      <c r="F516" s="37" t="n">
        <v>5460</v>
      </c>
      <c r="G516" s="37" t="n">
        <v>1092</v>
      </c>
      <c r="H516" s="37" t="n">
        <v>6552</v>
      </c>
      <c r="I516" s="11" t="s">
        <v>283</v>
      </c>
      <c r="J516" s="11"/>
      <c r="K516" s="11" t="s">
        <v>4152</v>
      </c>
      <c r="L516" s="38" t="n">
        <v>46028</v>
      </c>
      <c r="M516" s="11" t="n">
        <v>24</v>
      </c>
      <c r="N516" s="11"/>
      <c r="O516" s="11"/>
    </row>
    <row r="517" customFormat="false" ht="15" hidden="false" customHeight="false" outlineLevel="0" collapsed="false">
      <c r="A517" s="11" t="s">
        <v>2610</v>
      </c>
      <c r="B517" s="11" t="s">
        <v>324</v>
      </c>
      <c r="C517" s="11" t="s">
        <v>323</v>
      </c>
      <c r="D517" s="38" t="n">
        <v>45957</v>
      </c>
      <c r="E517" s="38" t="n">
        <v>45987</v>
      </c>
      <c r="F517" s="37" t="n">
        <v>6290</v>
      </c>
      <c r="G517" s="37" t="n">
        <v>1258</v>
      </c>
      <c r="H517" s="37" t="n">
        <v>7548</v>
      </c>
      <c r="I517" s="11" t="s">
        <v>283</v>
      </c>
      <c r="J517" s="11"/>
      <c r="K517" s="11" t="s">
        <v>4152</v>
      </c>
      <c r="L517" s="38" t="n">
        <v>45993</v>
      </c>
      <c r="M517" s="11" t="n">
        <v>6</v>
      </c>
      <c r="N517" s="11"/>
      <c r="O517" s="11"/>
    </row>
    <row r="518" customFormat="false" ht="15" hidden="false" customHeight="false" outlineLevel="0" collapsed="false">
      <c r="A518" s="11" t="s">
        <v>2750</v>
      </c>
      <c r="B518" s="11" t="s">
        <v>299</v>
      </c>
      <c r="C518" s="11" t="s">
        <v>298</v>
      </c>
      <c r="D518" s="38" t="n">
        <v>45957</v>
      </c>
      <c r="E518" s="38" t="n">
        <v>46017</v>
      </c>
      <c r="F518" s="37" t="n">
        <v>4600</v>
      </c>
      <c r="G518" s="37" t="n">
        <v>0</v>
      </c>
      <c r="H518" s="37" t="n">
        <v>4600</v>
      </c>
      <c r="I518" s="11" t="s">
        <v>283</v>
      </c>
      <c r="J518" s="11"/>
      <c r="K518" s="11" t="s">
        <v>4152</v>
      </c>
      <c r="L518" s="38" t="n">
        <v>46020</v>
      </c>
      <c r="M518" s="11" t="n">
        <v>3</v>
      </c>
      <c r="N518" s="11"/>
      <c r="O518" s="11"/>
    </row>
    <row r="519" customFormat="false" ht="15" hidden="false" customHeight="false" outlineLevel="0" collapsed="false">
      <c r="A519" s="11" t="s">
        <v>2608</v>
      </c>
      <c r="B519" s="11" t="s">
        <v>288</v>
      </c>
      <c r="C519" s="11" t="s">
        <v>287</v>
      </c>
      <c r="D519" s="38" t="n">
        <v>45957</v>
      </c>
      <c r="E519" s="38" t="n">
        <v>45987</v>
      </c>
      <c r="F519" s="37" t="n">
        <v>4300</v>
      </c>
      <c r="G519" s="37" t="n">
        <v>860</v>
      </c>
      <c r="H519" s="37" t="n">
        <v>5160</v>
      </c>
      <c r="I519" s="11" t="s">
        <v>283</v>
      </c>
      <c r="J519" s="11"/>
      <c r="K519" s="11" t="s">
        <v>4152</v>
      </c>
      <c r="L519" s="38" t="n">
        <v>45992</v>
      </c>
      <c r="M519" s="11" t="n">
        <v>5</v>
      </c>
      <c r="N519" s="11"/>
      <c r="O519" s="11"/>
    </row>
    <row r="520" customFormat="false" ht="15" hidden="false" customHeight="false" outlineLevel="0" collapsed="false">
      <c r="A520" s="11" t="s">
        <v>2660</v>
      </c>
      <c r="B520" s="11" t="s">
        <v>281</v>
      </c>
      <c r="C520" s="11" t="s">
        <v>280</v>
      </c>
      <c r="D520" s="38" t="n">
        <v>45958</v>
      </c>
      <c r="E520" s="38" t="n">
        <v>46003</v>
      </c>
      <c r="F520" s="37" t="n">
        <v>6700</v>
      </c>
      <c r="G520" s="37" t="n">
        <v>1340</v>
      </c>
      <c r="H520" s="37" t="n">
        <v>8040</v>
      </c>
      <c r="I520" s="11" t="s">
        <v>283</v>
      </c>
      <c r="J520" s="11"/>
      <c r="K520" s="11" t="s">
        <v>4152</v>
      </c>
      <c r="L520" s="38" t="n">
        <v>46003</v>
      </c>
      <c r="M520" s="11" t="n">
        <v>0</v>
      </c>
      <c r="N520" s="11"/>
      <c r="O520" s="11"/>
    </row>
    <row r="521" customFormat="false" ht="15" hidden="false" customHeight="false" outlineLevel="0" collapsed="false">
      <c r="A521" s="11" t="s">
        <v>2697</v>
      </c>
      <c r="B521" s="11" t="s">
        <v>336</v>
      </c>
      <c r="C521" s="11" t="s">
        <v>335</v>
      </c>
      <c r="D521" s="38" t="n">
        <v>45958</v>
      </c>
      <c r="E521" s="38" t="n">
        <v>46003</v>
      </c>
      <c r="F521" s="37" t="n">
        <v>4730</v>
      </c>
      <c r="G521" s="37" t="n">
        <v>946</v>
      </c>
      <c r="H521" s="37" t="n">
        <v>5676</v>
      </c>
      <c r="I521" s="11" t="s">
        <v>283</v>
      </c>
      <c r="J521" s="11"/>
      <c r="K521" s="11" t="s">
        <v>4152</v>
      </c>
      <c r="L521" s="38" t="n">
        <v>46009</v>
      </c>
      <c r="M521" s="11" t="n">
        <v>6</v>
      </c>
      <c r="N521" s="11"/>
      <c r="O521" s="11"/>
    </row>
    <row r="522" customFormat="false" ht="15" hidden="false" customHeight="false" outlineLevel="0" collapsed="false">
      <c r="A522" s="11" t="s">
        <v>3018</v>
      </c>
      <c r="B522" s="11" t="s">
        <v>332</v>
      </c>
      <c r="C522" s="11" t="s">
        <v>331</v>
      </c>
      <c r="D522" s="38" t="n">
        <v>45960</v>
      </c>
      <c r="E522" s="38" t="n">
        <v>46005</v>
      </c>
      <c r="F522" s="37" t="n">
        <v>13750</v>
      </c>
      <c r="G522" s="37" t="n">
        <v>2750</v>
      </c>
      <c r="H522" s="37" t="n">
        <v>16500</v>
      </c>
      <c r="I522" s="11" t="s">
        <v>283</v>
      </c>
      <c r="J522" s="11"/>
      <c r="K522" s="11" t="s">
        <v>4152</v>
      </c>
      <c r="L522" s="38" t="n">
        <v>46073</v>
      </c>
      <c r="M522" s="11" t="n">
        <v>68</v>
      </c>
      <c r="N522" s="11"/>
      <c r="O522" s="11"/>
    </row>
    <row r="523" customFormat="false" ht="15" hidden="false" customHeight="false" outlineLevel="0" collapsed="false">
      <c r="A523" s="11" t="s">
        <v>2669</v>
      </c>
      <c r="B523" s="11" t="s">
        <v>281</v>
      </c>
      <c r="C523" s="11" t="s">
        <v>280</v>
      </c>
      <c r="D523" s="38" t="n">
        <v>45960</v>
      </c>
      <c r="E523" s="38" t="n">
        <v>46005</v>
      </c>
      <c r="F523" s="37" t="n">
        <v>7330</v>
      </c>
      <c r="G523" s="37" t="n">
        <v>1466</v>
      </c>
      <c r="H523" s="37" t="n">
        <v>8796</v>
      </c>
      <c r="I523" s="11" t="s">
        <v>283</v>
      </c>
      <c r="J523" s="11"/>
      <c r="K523" s="11" t="s">
        <v>4152</v>
      </c>
      <c r="L523" s="38" t="n">
        <v>46006</v>
      </c>
      <c r="M523" s="11" t="n">
        <v>1</v>
      </c>
      <c r="N523" s="11"/>
      <c r="O523" s="11"/>
    </row>
    <row r="524" customFormat="false" ht="15" hidden="false" customHeight="false" outlineLevel="0" collapsed="false">
      <c r="A524" s="11" t="s">
        <v>2793</v>
      </c>
      <c r="B524" s="11" t="s">
        <v>299</v>
      </c>
      <c r="C524" s="11" t="s">
        <v>298</v>
      </c>
      <c r="D524" s="38" t="n">
        <v>45960</v>
      </c>
      <c r="E524" s="38" t="n">
        <v>46020</v>
      </c>
      <c r="F524" s="37" t="n">
        <v>12990</v>
      </c>
      <c r="G524" s="37" t="n">
        <v>0</v>
      </c>
      <c r="H524" s="37" t="n">
        <v>12990</v>
      </c>
      <c r="I524" s="11" t="s">
        <v>283</v>
      </c>
      <c r="J524" s="11"/>
      <c r="K524" s="11" t="s">
        <v>4152</v>
      </c>
      <c r="L524" s="38" t="n">
        <v>46027</v>
      </c>
      <c r="M524" s="11" t="n">
        <v>7</v>
      </c>
      <c r="N524" s="11"/>
      <c r="O524" s="11"/>
    </row>
    <row r="525" customFormat="false" ht="15" hidden="false" customHeight="false" outlineLevel="0" collapsed="false">
      <c r="A525" s="11" t="s">
        <v>2884</v>
      </c>
      <c r="B525" s="11" t="s">
        <v>328</v>
      </c>
      <c r="C525" s="11" t="s">
        <v>327</v>
      </c>
      <c r="D525" s="38" t="n">
        <v>45961</v>
      </c>
      <c r="E525" s="38" t="n">
        <v>46021</v>
      </c>
      <c r="F525" s="37" t="n">
        <v>9780</v>
      </c>
      <c r="G525" s="37" t="n">
        <v>1956</v>
      </c>
      <c r="H525" s="37" t="n">
        <v>11736</v>
      </c>
      <c r="I525" s="11" t="s">
        <v>283</v>
      </c>
      <c r="J525" s="11"/>
      <c r="K525" s="11" t="s">
        <v>4152</v>
      </c>
      <c r="L525" s="38" t="n">
        <v>46044</v>
      </c>
      <c r="M525" s="11" t="n">
        <v>23</v>
      </c>
      <c r="N525" s="11"/>
      <c r="O525" s="11"/>
    </row>
    <row r="526" customFormat="false" ht="15" hidden="false" customHeight="false" outlineLevel="0" collapsed="false">
      <c r="A526" s="11" t="s">
        <v>2674</v>
      </c>
      <c r="B526" s="11" t="s">
        <v>336</v>
      </c>
      <c r="C526" s="11" t="s">
        <v>335</v>
      </c>
      <c r="D526" s="38" t="n">
        <v>45961</v>
      </c>
      <c r="E526" s="38" t="n">
        <v>46006</v>
      </c>
      <c r="F526" s="37" t="n">
        <v>7200</v>
      </c>
      <c r="G526" s="37" t="n">
        <v>1440</v>
      </c>
      <c r="H526" s="37" t="n">
        <v>8640</v>
      </c>
      <c r="I526" s="11" t="s">
        <v>283</v>
      </c>
      <c r="J526" s="11"/>
      <c r="K526" s="11" t="s">
        <v>4152</v>
      </c>
      <c r="L526" s="38" t="n">
        <v>46006</v>
      </c>
      <c r="M526" s="11" t="n">
        <v>0</v>
      </c>
      <c r="N526" s="11"/>
      <c r="O526" s="11"/>
    </row>
    <row r="527" customFormat="false" ht="15" hidden="false" customHeight="false" outlineLevel="0" collapsed="false">
      <c r="A527" s="11" t="s">
        <v>2960</v>
      </c>
      <c r="B527" s="11" t="s">
        <v>328</v>
      </c>
      <c r="C527" s="11" t="s">
        <v>327</v>
      </c>
      <c r="D527" s="38" t="n">
        <v>45961</v>
      </c>
      <c r="E527" s="38" t="n">
        <v>46021</v>
      </c>
      <c r="F527" s="37" t="n">
        <v>14140</v>
      </c>
      <c r="G527" s="37" t="n">
        <v>2828</v>
      </c>
      <c r="H527" s="37" t="n">
        <v>16968</v>
      </c>
      <c r="I527" s="11" t="s">
        <v>283</v>
      </c>
      <c r="J527" s="11"/>
      <c r="K527" s="11" t="s">
        <v>4152</v>
      </c>
      <c r="L527" s="38" t="n">
        <v>46062</v>
      </c>
      <c r="M527" s="11" t="n">
        <v>41</v>
      </c>
      <c r="N527" s="11"/>
      <c r="O527" s="11"/>
    </row>
    <row r="528" customFormat="false" ht="15" hidden="false" customHeight="false" outlineLevel="0" collapsed="false">
      <c r="A528" s="11" t="s">
        <v>2693</v>
      </c>
      <c r="B528" s="11" t="s">
        <v>281</v>
      </c>
      <c r="C528" s="11" t="s">
        <v>280</v>
      </c>
      <c r="D528" s="38" t="n">
        <v>45964</v>
      </c>
      <c r="E528" s="38" t="n">
        <v>46009</v>
      </c>
      <c r="F528" s="37" t="n">
        <v>5190</v>
      </c>
      <c r="G528" s="37" t="n">
        <v>1038</v>
      </c>
      <c r="H528" s="37" t="n">
        <v>6228</v>
      </c>
      <c r="I528" s="11" t="s">
        <v>283</v>
      </c>
      <c r="J528" s="11"/>
      <c r="K528" s="11" t="s">
        <v>4152</v>
      </c>
      <c r="L528" s="38" t="n">
        <v>46009</v>
      </c>
      <c r="M528" s="11" t="n">
        <v>0</v>
      </c>
      <c r="N528" s="11"/>
      <c r="O528" s="11"/>
    </row>
    <row r="529" customFormat="false" ht="15" hidden="false" customHeight="false" outlineLevel="0" collapsed="false">
      <c r="A529" s="11" t="s">
        <v>2736</v>
      </c>
      <c r="B529" s="11" t="s">
        <v>336</v>
      </c>
      <c r="C529" s="11" t="s">
        <v>335</v>
      </c>
      <c r="D529" s="38" t="n">
        <v>45964</v>
      </c>
      <c r="E529" s="38" t="n">
        <v>46009</v>
      </c>
      <c r="F529" s="37" t="n">
        <v>4670</v>
      </c>
      <c r="G529" s="37" t="n">
        <v>934</v>
      </c>
      <c r="H529" s="37" t="n">
        <v>5604</v>
      </c>
      <c r="I529" s="11" t="s">
        <v>283</v>
      </c>
      <c r="J529" s="11"/>
      <c r="K529" s="11" t="s">
        <v>4152</v>
      </c>
      <c r="L529" s="38" t="n">
        <v>46020</v>
      </c>
      <c r="M529" s="11" t="n">
        <v>11</v>
      </c>
      <c r="N529" s="11"/>
      <c r="O529" s="11"/>
    </row>
    <row r="530" customFormat="false" ht="15" hidden="false" customHeight="false" outlineLevel="0" collapsed="false">
      <c r="A530" s="11" t="s">
        <v>2856</v>
      </c>
      <c r="B530" s="11" t="s">
        <v>332</v>
      </c>
      <c r="C530" s="11" t="s">
        <v>331</v>
      </c>
      <c r="D530" s="38" t="n">
        <v>45964</v>
      </c>
      <c r="E530" s="38" t="n">
        <v>46009</v>
      </c>
      <c r="F530" s="37" t="n">
        <v>7080</v>
      </c>
      <c r="G530" s="37" t="n">
        <v>1416</v>
      </c>
      <c r="H530" s="37" t="n">
        <v>8496</v>
      </c>
      <c r="I530" s="11" t="s">
        <v>283</v>
      </c>
      <c r="J530" s="11"/>
      <c r="K530" s="11" t="s">
        <v>4152</v>
      </c>
      <c r="L530" s="38" t="n">
        <v>46037</v>
      </c>
      <c r="M530" s="11" t="n">
        <v>28</v>
      </c>
      <c r="N530" s="11"/>
      <c r="O530" s="11"/>
    </row>
    <row r="531" customFormat="false" ht="15" hidden="false" customHeight="false" outlineLevel="0" collapsed="false">
      <c r="A531" s="11" t="s">
        <v>2809</v>
      </c>
      <c r="B531" s="11" t="s">
        <v>350</v>
      </c>
      <c r="C531" s="11" t="s">
        <v>349</v>
      </c>
      <c r="D531" s="38" t="n">
        <v>45964</v>
      </c>
      <c r="E531" s="38" t="n">
        <v>46024</v>
      </c>
      <c r="F531" s="37" t="n">
        <v>10000</v>
      </c>
      <c r="G531" s="37" t="n">
        <v>2000</v>
      </c>
      <c r="H531" s="37" t="n">
        <v>12000</v>
      </c>
      <c r="I531" s="11" t="s">
        <v>283</v>
      </c>
      <c r="J531" s="11"/>
      <c r="K531" s="11" t="s">
        <v>4152</v>
      </c>
      <c r="L531" s="38" t="n">
        <v>46029</v>
      </c>
      <c r="M531" s="11" t="n">
        <v>5</v>
      </c>
      <c r="N531" s="11"/>
      <c r="O531" s="11"/>
    </row>
    <row r="532" customFormat="false" ht="15" hidden="false" customHeight="false" outlineLevel="0" collapsed="false">
      <c r="A532" s="11" t="s">
        <v>2703</v>
      </c>
      <c r="B532" s="11" t="s">
        <v>400</v>
      </c>
      <c r="C532" s="11" t="s">
        <v>399</v>
      </c>
      <c r="D532" s="38" t="n">
        <v>45964</v>
      </c>
      <c r="E532" s="38" t="n">
        <v>45994</v>
      </c>
      <c r="F532" s="37" t="n">
        <v>25620</v>
      </c>
      <c r="G532" s="37" t="n">
        <v>5124</v>
      </c>
      <c r="H532" s="37" t="n">
        <v>30744</v>
      </c>
      <c r="I532" s="11" t="s">
        <v>283</v>
      </c>
      <c r="J532" s="11"/>
      <c r="K532" s="11" t="s">
        <v>4152</v>
      </c>
      <c r="L532" s="38" t="n">
        <v>46010</v>
      </c>
      <c r="M532" s="11" t="n">
        <v>16</v>
      </c>
      <c r="N532" s="11"/>
      <c r="O532" s="11"/>
    </row>
    <row r="533" customFormat="false" ht="15" hidden="false" customHeight="false" outlineLevel="0" collapsed="false">
      <c r="A533" s="11" t="s">
        <v>2602</v>
      </c>
      <c r="B533" s="11" t="s">
        <v>324</v>
      </c>
      <c r="C533" s="11" t="s">
        <v>323</v>
      </c>
      <c r="D533" s="38" t="n">
        <v>45964</v>
      </c>
      <c r="E533" s="38" t="n">
        <v>45994</v>
      </c>
      <c r="F533" s="37" t="n">
        <v>6400</v>
      </c>
      <c r="G533" s="37" t="n">
        <v>1280</v>
      </c>
      <c r="H533" s="37" t="n">
        <v>7680</v>
      </c>
      <c r="I533" s="11" t="s">
        <v>283</v>
      </c>
      <c r="J533" s="11"/>
      <c r="K533" s="11" t="s">
        <v>4152</v>
      </c>
      <c r="L533" s="38" t="n">
        <v>45992</v>
      </c>
      <c r="M533" s="11" t="n">
        <v>-2</v>
      </c>
      <c r="N533" s="11"/>
      <c r="O533" s="11"/>
    </row>
    <row r="534" customFormat="false" ht="15" hidden="false" customHeight="false" outlineLevel="0" collapsed="false">
      <c r="A534" s="11" t="s">
        <v>2678</v>
      </c>
      <c r="B534" s="11" t="s">
        <v>400</v>
      </c>
      <c r="C534" s="11" t="s">
        <v>399</v>
      </c>
      <c r="D534" s="38" t="n">
        <v>45965</v>
      </c>
      <c r="E534" s="38" t="n">
        <v>45995</v>
      </c>
      <c r="F534" s="37" t="n">
        <v>9780</v>
      </c>
      <c r="G534" s="37" t="n">
        <v>1956</v>
      </c>
      <c r="H534" s="37" t="n">
        <v>11736</v>
      </c>
      <c r="I534" s="11" t="s">
        <v>283</v>
      </c>
      <c r="J534" s="11"/>
      <c r="K534" s="11" t="s">
        <v>4152</v>
      </c>
      <c r="L534" s="38" t="n">
        <v>46007</v>
      </c>
      <c r="M534" s="11" t="n">
        <v>12</v>
      </c>
      <c r="N534" s="11"/>
      <c r="O534" s="11"/>
    </row>
    <row r="535" customFormat="false" ht="15" hidden="false" customHeight="false" outlineLevel="0" collapsed="false">
      <c r="A535" s="11" t="s">
        <v>2845</v>
      </c>
      <c r="B535" s="11" t="s">
        <v>393</v>
      </c>
      <c r="C535" s="11" t="s">
        <v>392</v>
      </c>
      <c r="D535" s="38" t="n">
        <v>45966</v>
      </c>
      <c r="E535" s="38" t="n">
        <v>46016</v>
      </c>
      <c r="F535" s="37" t="n">
        <v>10740</v>
      </c>
      <c r="G535" s="37" t="n">
        <v>2148</v>
      </c>
      <c r="H535" s="37" t="n">
        <v>12888</v>
      </c>
      <c r="I535" s="11" t="s">
        <v>283</v>
      </c>
      <c r="J535" s="11"/>
      <c r="K535" s="11" t="s">
        <v>4152</v>
      </c>
      <c r="L535" s="38" t="n">
        <v>46036</v>
      </c>
      <c r="M535" s="11" t="n">
        <v>20</v>
      </c>
      <c r="N535" s="11"/>
      <c r="O535" s="11"/>
    </row>
    <row r="536" customFormat="false" ht="15" hidden="false" customHeight="false" outlineLevel="0" collapsed="false">
      <c r="A536" s="11" t="s">
        <v>2837</v>
      </c>
      <c r="B536" s="11" t="s">
        <v>393</v>
      </c>
      <c r="C536" s="11" t="s">
        <v>392</v>
      </c>
      <c r="D536" s="38" t="n">
        <v>45966</v>
      </c>
      <c r="E536" s="38" t="n">
        <v>46016</v>
      </c>
      <c r="F536" s="37" t="n">
        <v>8510</v>
      </c>
      <c r="G536" s="37" t="n">
        <v>1702</v>
      </c>
      <c r="H536" s="37" t="n">
        <v>10212</v>
      </c>
      <c r="I536" s="11" t="s">
        <v>283</v>
      </c>
      <c r="J536" s="11"/>
      <c r="K536" s="11" t="s">
        <v>4152</v>
      </c>
      <c r="L536" s="38" t="n">
        <v>46034</v>
      </c>
      <c r="M536" s="11" t="n">
        <v>18</v>
      </c>
      <c r="N536" s="11"/>
      <c r="O536" s="11"/>
    </row>
    <row r="537" customFormat="false" ht="15" hidden="false" customHeight="false" outlineLevel="0" collapsed="false">
      <c r="A537" s="11" t="s">
        <v>2650</v>
      </c>
      <c r="B537" s="11" t="s">
        <v>288</v>
      </c>
      <c r="C537" s="11" t="s">
        <v>287</v>
      </c>
      <c r="D537" s="38" t="n">
        <v>45966</v>
      </c>
      <c r="E537" s="38" t="n">
        <v>45996</v>
      </c>
      <c r="F537" s="37" t="n">
        <v>2740</v>
      </c>
      <c r="G537" s="37" t="n">
        <v>548</v>
      </c>
      <c r="H537" s="37" t="n">
        <v>3288</v>
      </c>
      <c r="I537" s="11" t="s">
        <v>283</v>
      </c>
      <c r="J537" s="11"/>
      <c r="K537" s="11" t="s">
        <v>4152</v>
      </c>
      <c r="L537" s="38" t="n">
        <v>46001</v>
      </c>
      <c r="M537" s="11" t="n">
        <v>5</v>
      </c>
      <c r="N537" s="11"/>
      <c r="O537" s="11"/>
    </row>
    <row r="538" customFormat="false" ht="15" hidden="false" customHeight="false" outlineLevel="0" collapsed="false">
      <c r="A538" s="11" t="s">
        <v>2715</v>
      </c>
      <c r="B538" s="11" t="s">
        <v>281</v>
      </c>
      <c r="C538" s="11" t="s">
        <v>280</v>
      </c>
      <c r="D538" s="38" t="n">
        <v>45967</v>
      </c>
      <c r="E538" s="38" t="n">
        <v>46012</v>
      </c>
      <c r="F538" s="37" t="n">
        <v>8720</v>
      </c>
      <c r="G538" s="37" t="n">
        <v>1744</v>
      </c>
      <c r="H538" s="37" t="n">
        <v>10464</v>
      </c>
      <c r="I538" s="11" t="s">
        <v>283</v>
      </c>
      <c r="J538" s="11"/>
      <c r="K538" s="11" t="s">
        <v>4152</v>
      </c>
      <c r="L538" s="38" t="n">
        <v>46013</v>
      </c>
      <c r="M538" s="11" t="n">
        <v>1</v>
      </c>
      <c r="N538" s="11"/>
      <c r="O538" s="11"/>
    </row>
    <row r="539" customFormat="false" ht="15" hidden="false" customHeight="false" outlineLevel="0" collapsed="false">
      <c r="A539" s="11" t="s">
        <v>2770</v>
      </c>
      <c r="B539" s="11" t="s">
        <v>336</v>
      </c>
      <c r="C539" s="11" t="s">
        <v>335</v>
      </c>
      <c r="D539" s="38" t="n">
        <v>45967</v>
      </c>
      <c r="E539" s="38" t="n">
        <v>46012</v>
      </c>
      <c r="F539" s="37" t="n">
        <v>7790</v>
      </c>
      <c r="G539" s="37" t="n">
        <v>1558</v>
      </c>
      <c r="H539" s="37" t="n">
        <v>9348</v>
      </c>
      <c r="I539" s="11" t="s">
        <v>283</v>
      </c>
      <c r="J539" s="11"/>
      <c r="K539" s="11" t="s">
        <v>4152</v>
      </c>
      <c r="L539" s="38" t="n">
        <v>46022</v>
      </c>
      <c r="M539" s="11" t="n">
        <v>10</v>
      </c>
      <c r="N539" s="11"/>
      <c r="O539" s="11"/>
    </row>
    <row r="540" customFormat="false" ht="15" hidden="false" customHeight="false" outlineLevel="0" collapsed="false">
      <c r="A540" s="11" t="s">
        <v>2658</v>
      </c>
      <c r="B540" s="11" t="s">
        <v>288</v>
      </c>
      <c r="C540" s="11" t="s">
        <v>287</v>
      </c>
      <c r="D540" s="38" t="n">
        <v>45968</v>
      </c>
      <c r="E540" s="38" t="n">
        <v>45998</v>
      </c>
      <c r="F540" s="37" t="n">
        <v>4990</v>
      </c>
      <c r="G540" s="37" t="n">
        <v>998</v>
      </c>
      <c r="H540" s="37" t="n">
        <v>5988</v>
      </c>
      <c r="I540" s="11" t="s">
        <v>283</v>
      </c>
      <c r="J540" s="11"/>
      <c r="K540" s="11" t="s">
        <v>4152</v>
      </c>
      <c r="L540" s="38" t="n">
        <v>46003</v>
      </c>
      <c r="M540" s="11" t="n">
        <v>5</v>
      </c>
      <c r="N540" s="11"/>
      <c r="O540" s="11"/>
    </row>
    <row r="541" customFormat="false" ht="15" hidden="false" customHeight="false" outlineLevel="0" collapsed="false">
      <c r="A541" s="11" t="s">
        <v>2671</v>
      </c>
      <c r="B541" s="11" t="s">
        <v>288</v>
      </c>
      <c r="C541" s="11" t="s">
        <v>287</v>
      </c>
      <c r="D541" s="38" t="n">
        <v>45968</v>
      </c>
      <c r="E541" s="38" t="n">
        <v>45998</v>
      </c>
      <c r="F541" s="37" t="n">
        <v>3090</v>
      </c>
      <c r="G541" s="37" t="n">
        <v>618</v>
      </c>
      <c r="H541" s="37" t="n">
        <v>3708</v>
      </c>
      <c r="I541" s="11" t="s">
        <v>283</v>
      </c>
      <c r="J541" s="11"/>
      <c r="K541" s="11" t="s">
        <v>4152</v>
      </c>
      <c r="L541" s="38" t="n">
        <v>46006</v>
      </c>
      <c r="M541" s="11" t="n">
        <v>8</v>
      </c>
      <c r="N541" s="11"/>
      <c r="O541" s="11"/>
    </row>
    <row r="542" customFormat="false" ht="15" hidden="false" customHeight="false" outlineLevel="0" collapsed="false">
      <c r="A542" s="11" t="s">
        <v>2860</v>
      </c>
      <c r="B542" s="11" t="s">
        <v>299</v>
      </c>
      <c r="C542" s="11" t="s">
        <v>298</v>
      </c>
      <c r="D542" s="38" t="n">
        <v>45968</v>
      </c>
      <c r="E542" s="38" t="n">
        <v>46028</v>
      </c>
      <c r="F542" s="37" t="n">
        <v>8400</v>
      </c>
      <c r="G542" s="37" t="n">
        <v>0</v>
      </c>
      <c r="H542" s="37" t="n">
        <v>8400</v>
      </c>
      <c r="I542" s="11" t="s">
        <v>283</v>
      </c>
      <c r="J542" s="11"/>
      <c r="K542" s="11" t="s">
        <v>4152</v>
      </c>
      <c r="L542" s="38" t="n">
        <v>46037</v>
      </c>
      <c r="M542" s="11" t="n">
        <v>9</v>
      </c>
      <c r="N542" s="11"/>
      <c r="O542" s="11"/>
    </row>
    <row r="543" customFormat="false" ht="15" hidden="false" customHeight="false" outlineLevel="0" collapsed="false">
      <c r="A543" s="11" t="s">
        <v>2711</v>
      </c>
      <c r="B543" s="11" t="s">
        <v>281</v>
      </c>
      <c r="C543" s="11" t="s">
        <v>280</v>
      </c>
      <c r="D543" s="38" t="n">
        <v>45968</v>
      </c>
      <c r="E543" s="38" t="n">
        <v>46013</v>
      </c>
      <c r="F543" s="37" t="n">
        <v>9790</v>
      </c>
      <c r="G543" s="37" t="n">
        <v>1958</v>
      </c>
      <c r="H543" s="37" t="n">
        <v>11748</v>
      </c>
      <c r="I543" s="11" t="s">
        <v>283</v>
      </c>
      <c r="J543" s="11"/>
      <c r="K543" s="11" t="s">
        <v>4152</v>
      </c>
      <c r="L543" s="38" t="n">
        <v>46013</v>
      </c>
      <c r="M543" s="11" t="n">
        <v>0</v>
      </c>
      <c r="N543" s="11"/>
      <c r="O543" s="11"/>
    </row>
    <row r="544" customFormat="false" ht="15" hidden="false" customHeight="false" outlineLevel="0" collapsed="false">
      <c r="A544" s="11" t="s">
        <v>2738</v>
      </c>
      <c r="B544" s="11" t="s">
        <v>336</v>
      </c>
      <c r="C544" s="11" t="s">
        <v>335</v>
      </c>
      <c r="D544" s="38" t="n">
        <v>45971</v>
      </c>
      <c r="E544" s="38" t="n">
        <v>46016</v>
      </c>
      <c r="F544" s="37" t="n">
        <v>6460</v>
      </c>
      <c r="G544" s="37" t="n">
        <v>1292</v>
      </c>
      <c r="H544" s="37" t="n">
        <v>7752</v>
      </c>
      <c r="I544" s="11" t="s">
        <v>283</v>
      </c>
      <c r="J544" s="11"/>
      <c r="K544" s="11" t="s">
        <v>4152</v>
      </c>
      <c r="L544" s="38" t="n">
        <v>46020</v>
      </c>
      <c r="M544" s="11" t="n">
        <v>4</v>
      </c>
      <c r="N544" s="11"/>
      <c r="O544" s="11"/>
    </row>
    <row r="545" customFormat="false" ht="15" hidden="false" customHeight="false" outlineLevel="0" collapsed="false">
      <c r="A545" s="11" t="s">
        <v>2775</v>
      </c>
      <c r="B545" s="11" t="s">
        <v>336</v>
      </c>
      <c r="C545" s="11" t="s">
        <v>335</v>
      </c>
      <c r="D545" s="38" t="n">
        <v>45971</v>
      </c>
      <c r="E545" s="38" t="n">
        <v>46016</v>
      </c>
      <c r="F545" s="37" t="n">
        <v>3100</v>
      </c>
      <c r="G545" s="37" t="n">
        <v>620</v>
      </c>
      <c r="H545" s="37" t="n">
        <v>3720</v>
      </c>
      <c r="I545" s="11" t="s">
        <v>283</v>
      </c>
      <c r="J545" s="11"/>
      <c r="K545" s="11" t="s">
        <v>4152</v>
      </c>
      <c r="L545" s="38" t="n">
        <v>46024</v>
      </c>
      <c r="M545" s="11" t="n">
        <v>8</v>
      </c>
      <c r="N545" s="11"/>
      <c r="O545" s="11"/>
    </row>
    <row r="546" customFormat="false" ht="15" hidden="false" customHeight="false" outlineLevel="0" collapsed="false">
      <c r="A546" s="11" t="s">
        <v>2680</v>
      </c>
      <c r="B546" s="11" t="s">
        <v>324</v>
      </c>
      <c r="C546" s="11" t="s">
        <v>323</v>
      </c>
      <c r="D546" s="38" t="n">
        <v>45971</v>
      </c>
      <c r="E546" s="38" t="n">
        <v>46001</v>
      </c>
      <c r="F546" s="37" t="n">
        <v>5370</v>
      </c>
      <c r="G546" s="37" t="n">
        <v>1074</v>
      </c>
      <c r="H546" s="37" t="n">
        <v>6444</v>
      </c>
      <c r="I546" s="11" t="s">
        <v>283</v>
      </c>
      <c r="J546" s="11"/>
      <c r="K546" s="11" t="s">
        <v>4152</v>
      </c>
      <c r="L546" s="38" t="n">
        <v>46007</v>
      </c>
      <c r="M546" s="11" t="n">
        <v>6</v>
      </c>
      <c r="N546" s="11"/>
      <c r="O546" s="11"/>
    </row>
    <row r="547" customFormat="false" ht="15" hidden="false" customHeight="false" outlineLevel="0" collapsed="false">
      <c r="A547" s="11" t="s">
        <v>2791</v>
      </c>
      <c r="B547" s="11" t="s">
        <v>299</v>
      </c>
      <c r="C547" s="11" t="s">
        <v>298</v>
      </c>
      <c r="D547" s="38" t="n">
        <v>45971</v>
      </c>
      <c r="E547" s="38" t="n">
        <v>46031</v>
      </c>
      <c r="F547" s="37" t="n">
        <v>14780</v>
      </c>
      <c r="G547" s="37" t="n">
        <v>0</v>
      </c>
      <c r="H547" s="37" t="n">
        <v>14780</v>
      </c>
      <c r="I547" s="11" t="s">
        <v>283</v>
      </c>
      <c r="J547" s="11"/>
      <c r="K547" s="11" t="s">
        <v>4152</v>
      </c>
      <c r="L547" s="38" t="n">
        <v>46027</v>
      </c>
      <c r="M547" s="11" t="n">
        <v>-4</v>
      </c>
      <c r="N547" s="11"/>
      <c r="O547" s="11"/>
    </row>
    <row r="548" customFormat="false" ht="15" hidden="false" customHeight="false" outlineLevel="0" collapsed="false">
      <c r="A548" s="11" t="s">
        <v>2843</v>
      </c>
      <c r="B548" s="11" t="s">
        <v>332</v>
      </c>
      <c r="C548" s="11" t="s">
        <v>331</v>
      </c>
      <c r="D548" s="38" t="n">
        <v>45971</v>
      </c>
      <c r="E548" s="38" t="n">
        <v>46016</v>
      </c>
      <c r="F548" s="37" t="n">
        <v>4120</v>
      </c>
      <c r="G548" s="37" t="n">
        <v>824</v>
      </c>
      <c r="H548" s="37" t="n">
        <v>4944</v>
      </c>
      <c r="I548" s="11" t="s">
        <v>283</v>
      </c>
      <c r="J548" s="11"/>
      <c r="K548" s="11" t="s">
        <v>4152</v>
      </c>
      <c r="L548" s="38" t="n">
        <v>46035</v>
      </c>
      <c r="M548" s="11" t="n">
        <v>19</v>
      </c>
      <c r="N548" s="11"/>
      <c r="O548" s="11"/>
    </row>
    <row r="549" customFormat="false" ht="15" hidden="false" customHeight="false" outlineLevel="0" collapsed="false">
      <c r="A549" s="11" t="s">
        <v>2740</v>
      </c>
      <c r="B549" s="11" t="s">
        <v>281</v>
      </c>
      <c r="C549" s="11" t="s">
        <v>280</v>
      </c>
      <c r="D549" s="38" t="n">
        <v>45973</v>
      </c>
      <c r="E549" s="38" t="n">
        <v>46018</v>
      </c>
      <c r="F549" s="37" t="n">
        <v>6170</v>
      </c>
      <c r="G549" s="37" t="n">
        <v>1234</v>
      </c>
      <c r="H549" s="37" t="n">
        <v>7404</v>
      </c>
      <c r="I549" s="11" t="s">
        <v>283</v>
      </c>
      <c r="J549" s="11"/>
      <c r="K549" s="11" t="s">
        <v>4152</v>
      </c>
      <c r="L549" s="38" t="n">
        <v>46020</v>
      </c>
      <c r="M549" s="11" t="n">
        <v>2</v>
      </c>
      <c r="N549" s="11"/>
      <c r="O549" s="11"/>
    </row>
    <row r="550" customFormat="false" ht="15" hidden="false" customHeight="false" outlineLevel="0" collapsed="false">
      <c r="A550" s="11" t="s">
        <v>2835</v>
      </c>
      <c r="B550" s="11" t="s">
        <v>350</v>
      </c>
      <c r="C550" s="11" t="s">
        <v>349</v>
      </c>
      <c r="D550" s="38" t="n">
        <v>45974</v>
      </c>
      <c r="E550" s="38" t="n">
        <v>46034</v>
      </c>
      <c r="F550" s="37" t="n">
        <v>15310</v>
      </c>
      <c r="G550" s="37" t="n">
        <v>3062</v>
      </c>
      <c r="H550" s="37" t="n">
        <v>18372</v>
      </c>
      <c r="I550" s="11" t="s">
        <v>283</v>
      </c>
      <c r="J550" s="11"/>
      <c r="K550" s="11" t="s">
        <v>4152</v>
      </c>
      <c r="L550" s="38" t="n">
        <v>46034</v>
      </c>
      <c r="M550" s="11" t="n">
        <v>0</v>
      </c>
      <c r="N550" s="11"/>
      <c r="O550" s="11"/>
    </row>
    <row r="551" customFormat="false" ht="15" hidden="false" customHeight="false" outlineLevel="0" collapsed="false">
      <c r="A551" s="11" t="s">
        <v>2902</v>
      </c>
      <c r="B551" s="11" t="s">
        <v>328</v>
      </c>
      <c r="C551" s="11" t="s">
        <v>327</v>
      </c>
      <c r="D551" s="38" t="n">
        <v>45974</v>
      </c>
      <c r="E551" s="38" t="n">
        <v>46034</v>
      </c>
      <c r="F551" s="37" t="n">
        <v>6090</v>
      </c>
      <c r="G551" s="37" t="n">
        <v>1218</v>
      </c>
      <c r="H551" s="37" t="n">
        <v>7308</v>
      </c>
      <c r="I551" s="11" t="s">
        <v>283</v>
      </c>
      <c r="J551" s="11"/>
      <c r="K551" s="11" t="s">
        <v>4152</v>
      </c>
      <c r="L551" s="38" t="n">
        <v>46048</v>
      </c>
      <c r="M551" s="11" t="n">
        <v>14</v>
      </c>
      <c r="N551" s="11"/>
      <c r="O551" s="11"/>
    </row>
    <row r="552" customFormat="false" ht="15" hidden="false" customHeight="false" outlineLevel="0" collapsed="false">
      <c r="A552" s="11" t="s">
        <v>2778</v>
      </c>
      <c r="B552" s="11" t="s">
        <v>336</v>
      </c>
      <c r="C552" s="11" t="s">
        <v>335</v>
      </c>
      <c r="D552" s="38" t="n">
        <v>45974</v>
      </c>
      <c r="E552" s="38" t="n">
        <v>46019</v>
      </c>
      <c r="F552" s="37" t="n">
        <v>4570</v>
      </c>
      <c r="G552" s="37" t="n">
        <v>914</v>
      </c>
      <c r="H552" s="37" t="n">
        <v>5484</v>
      </c>
      <c r="I552" s="11" t="s">
        <v>283</v>
      </c>
      <c r="J552" s="11"/>
      <c r="K552" s="11" t="s">
        <v>4152</v>
      </c>
      <c r="L552" s="38" t="n">
        <v>46024</v>
      </c>
      <c r="M552" s="11" t="n">
        <v>5</v>
      </c>
      <c r="N552" s="11"/>
      <c r="O552" s="11"/>
    </row>
    <row r="553" customFormat="false" ht="15" hidden="false" customHeight="false" outlineLevel="0" collapsed="false">
      <c r="A553" s="11" t="s">
        <v>2676</v>
      </c>
      <c r="B553" s="11" t="s">
        <v>324</v>
      </c>
      <c r="C553" s="11" t="s">
        <v>323</v>
      </c>
      <c r="D553" s="38" t="n">
        <v>45975</v>
      </c>
      <c r="E553" s="38" t="n">
        <v>46005</v>
      </c>
      <c r="F553" s="37" t="n">
        <v>13980</v>
      </c>
      <c r="G553" s="37" t="n">
        <v>2796</v>
      </c>
      <c r="H553" s="37" t="n">
        <v>16776</v>
      </c>
      <c r="I553" s="11" t="s">
        <v>283</v>
      </c>
      <c r="J553" s="11"/>
      <c r="K553" s="11" t="s">
        <v>4152</v>
      </c>
      <c r="L553" s="38" t="n">
        <v>46006</v>
      </c>
      <c r="M553" s="11" t="n">
        <v>1</v>
      </c>
      <c r="N553" s="11"/>
      <c r="O553" s="11"/>
    </row>
    <row r="554" customFormat="false" ht="15" hidden="false" customHeight="false" outlineLevel="0" collapsed="false">
      <c r="A554" s="11" t="s">
        <v>2875</v>
      </c>
      <c r="B554" s="11" t="s">
        <v>299</v>
      </c>
      <c r="C554" s="11" t="s">
        <v>298</v>
      </c>
      <c r="D554" s="38" t="n">
        <v>45975</v>
      </c>
      <c r="E554" s="38" t="n">
        <v>46035</v>
      </c>
      <c r="F554" s="37" t="n">
        <v>8650</v>
      </c>
      <c r="G554" s="37" t="n">
        <v>0</v>
      </c>
      <c r="H554" s="37" t="n">
        <v>8650</v>
      </c>
      <c r="I554" s="11" t="s">
        <v>283</v>
      </c>
      <c r="J554" s="11"/>
      <c r="K554" s="11" t="s">
        <v>4152</v>
      </c>
      <c r="L554" s="38" t="n">
        <v>46041</v>
      </c>
      <c r="M554" s="11" t="n">
        <v>6</v>
      </c>
      <c r="N554" s="11"/>
      <c r="O554" s="11"/>
    </row>
    <row r="555" customFormat="false" ht="15" hidden="false" customHeight="false" outlineLevel="0" collapsed="false">
      <c r="A555" s="11" t="s">
        <v>2904</v>
      </c>
      <c r="B555" s="11" t="s">
        <v>350</v>
      </c>
      <c r="C555" s="11" t="s">
        <v>349</v>
      </c>
      <c r="D555" s="38" t="n">
        <v>45975</v>
      </c>
      <c r="E555" s="38" t="n">
        <v>46035</v>
      </c>
      <c r="F555" s="37" t="n">
        <v>8280</v>
      </c>
      <c r="G555" s="37" t="n">
        <v>1656</v>
      </c>
      <c r="H555" s="37" t="n">
        <v>9936</v>
      </c>
      <c r="I555" s="11" t="s">
        <v>283</v>
      </c>
      <c r="J555" s="11"/>
      <c r="K555" s="11" t="s">
        <v>4152</v>
      </c>
      <c r="L555" s="38" t="n">
        <v>46049</v>
      </c>
      <c r="M555" s="11" t="n">
        <v>14</v>
      </c>
      <c r="N555" s="11"/>
      <c r="O555" s="11"/>
    </row>
    <row r="556" customFormat="false" ht="15" hidden="false" customHeight="false" outlineLevel="0" collapsed="false">
      <c r="A556" s="11" t="s">
        <v>3001</v>
      </c>
      <c r="B556" s="11" t="s">
        <v>393</v>
      </c>
      <c r="C556" s="11" t="s">
        <v>392</v>
      </c>
      <c r="D556" s="38" t="n">
        <v>45975</v>
      </c>
      <c r="E556" s="38" t="n">
        <v>46025</v>
      </c>
      <c r="F556" s="37" t="n">
        <v>9060</v>
      </c>
      <c r="G556" s="37" t="n">
        <v>1812</v>
      </c>
      <c r="H556" s="37" t="n">
        <v>10872</v>
      </c>
      <c r="I556" s="11" t="s">
        <v>283</v>
      </c>
      <c r="J556" s="11"/>
      <c r="K556" s="11" t="s">
        <v>4152</v>
      </c>
      <c r="L556" s="38" t="n">
        <v>46070</v>
      </c>
      <c r="M556" s="11" t="n">
        <v>45</v>
      </c>
      <c r="N556" s="11"/>
      <c r="O556" s="11"/>
    </row>
    <row r="557" customFormat="false" ht="15" hidden="false" customHeight="false" outlineLevel="0" collapsed="false">
      <c r="A557" s="11" t="s">
        <v>2798</v>
      </c>
      <c r="B557" s="11" t="s">
        <v>336</v>
      </c>
      <c r="C557" s="11" t="s">
        <v>335</v>
      </c>
      <c r="D557" s="38" t="n">
        <v>45975</v>
      </c>
      <c r="E557" s="38" t="n">
        <v>46020</v>
      </c>
      <c r="F557" s="37" t="n">
        <v>4050</v>
      </c>
      <c r="G557" s="37" t="n">
        <v>810</v>
      </c>
      <c r="H557" s="37" t="n">
        <v>4860</v>
      </c>
      <c r="I557" s="11" t="s">
        <v>283</v>
      </c>
      <c r="J557" s="11"/>
      <c r="K557" s="11" t="s">
        <v>4152</v>
      </c>
      <c r="L557" s="38" t="n">
        <v>46027</v>
      </c>
      <c r="M557" s="11" t="n">
        <v>7</v>
      </c>
      <c r="N557" s="11"/>
      <c r="O557" s="11"/>
    </row>
    <row r="558" customFormat="false" ht="15" hidden="false" customHeight="false" outlineLevel="0" collapsed="false">
      <c r="A558" s="11" t="s">
        <v>2754</v>
      </c>
      <c r="B558" s="11" t="s">
        <v>281</v>
      </c>
      <c r="C558" s="11" t="s">
        <v>280</v>
      </c>
      <c r="D558" s="38" t="n">
        <v>45975</v>
      </c>
      <c r="E558" s="38" t="n">
        <v>46020</v>
      </c>
      <c r="F558" s="37" t="n">
        <v>8890</v>
      </c>
      <c r="G558" s="37" t="n">
        <v>1778</v>
      </c>
      <c r="H558" s="37" t="n">
        <v>10668</v>
      </c>
      <c r="I558" s="11" t="s">
        <v>283</v>
      </c>
      <c r="J558" s="11"/>
      <c r="K558" s="11" t="s">
        <v>4152</v>
      </c>
      <c r="L558" s="38" t="n">
        <v>46020</v>
      </c>
      <c r="M558" s="11" t="n">
        <v>0</v>
      </c>
      <c r="N558" s="11"/>
      <c r="O558" s="11"/>
    </row>
    <row r="559" customFormat="false" ht="15" hidden="false" customHeight="false" outlineLevel="0" collapsed="false">
      <c r="A559" s="11" t="s">
        <v>2752</v>
      </c>
      <c r="B559" s="11" t="s">
        <v>281</v>
      </c>
      <c r="C559" s="11" t="s">
        <v>280</v>
      </c>
      <c r="D559" s="38" t="n">
        <v>45975</v>
      </c>
      <c r="E559" s="38" t="n">
        <v>46020</v>
      </c>
      <c r="F559" s="37" t="n">
        <v>3900</v>
      </c>
      <c r="G559" s="37" t="n">
        <v>780</v>
      </c>
      <c r="H559" s="37" t="n">
        <v>4680</v>
      </c>
      <c r="I559" s="11" t="s">
        <v>283</v>
      </c>
      <c r="J559" s="11"/>
      <c r="K559" s="11" t="s">
        <v>4152</v>
      </c>
      <c r="L559" s="38" t="n">
        <v>46020</v>
      </c>
      <c r="M559" s="11" t="n">
        <v>0</v>
      </c>
      <c r="N559" s="11"/>
      <c r="O559" s="11"/>
    </row>
    <row r="560" customFormat="false" ht="15" hidden="false" customHeight="false" outlineLevel="0" collapsed="false">
      <c r="A560" s="11" t="s">
        <v>2772</v>
      </c>
      <c r="B560" s="11" t="s">
        <v>281</v>
      </c>
      <c r="C560" s="11" t="s">
        <v>280</v>
      </c>
      <c r="D560" s="38" t="n">
        <v>45978</v>
      </c>
      <c r="E560" s="38" t="n">
        <v>46023</v>
      </c>
      <c r="F560" s="37" t="n">
        <v>3580</v>
      </c>
      <c r="G560" s="37" t="n">
        <v>716</v>
      </c>
      <c r="H560" s="37" t="n">
        <v>4296</v>
      </c>
      <c r="I560" s="11" t="s">
        <v>283</v>
      </c>
      <c r="J560" s="11"/>
      <c r="K560" s="11" t="s">
        <v>4152</v>
      </c>
      <c r="L560" s="38" t="n">
        <v>46024</v>
      </c>
      <c r="M560" s="11" t="n">
        <v>1</v>
      </c>
      <c r="N560" s="11"/>
      <c r="O560" s="11"/>
    </row>
    <row r="561" customFormat="false" ht="15" hidden="false" customHeight="false" outlineLevel="0" collapsed="false">
      <c r="A561" s="11" t="s">
        <v>2701</v>
      </c>
      <c r="B561" s="11" t="s">
        <v>288</v>
      </c>
      <c r="C561" s="11" t="s">
        <v>287</v>
      </c>
      <c r="D561" s="38" t="n">
        <v>45978</v>
      </c>
      <c r="E561" s="38" t="n">
        <v>46008</v>
      </c>
      <c r="F561" s="37" t="n">
        <v>6610</v>
      </c>
      <c r="G561" s="37" t="n">
        <v>1322</v>
      </c>
      <c r="H561" s="37" t="n">
        <v>7932</v>
      </c>
      <c r="I561" s="11" t="s">
        <v>283</v>
      </c>
      <c r="J561" s="11"/>
      <c r="K561" s="11" t="s">
        <v>4152</v>
      </c>
      <c r="L561" s="38" t="n">
        <v>46010</v>
      </c>
      <c r="M561" s="11" t="n">
        <v>2</v>
      </c>
      <c r="N561" s="11"/>
      <c r="O561" s="11"/>
    </row>
    <row r="562" customFormat="false" ht="15" hidden="false" customHeight="false" outlineLevel="0" collapsed="false">
      <c r="A562" s="11" t="s">
        <v>2898</v>
      </c>
      <c r="B562" s="11" t="s">
        <v>332</v>
      </c>
      <c r="C562" s="11" t="s">
        <v>331</v>
      </c>
      <c r="D562" s="38" t="n">
        <v>45978</v>
      </c>
      <c r="E562" s="38" t="n">
        <v>46023</v>
      </c>
      <c r="F562" s="37" t="n">
        <v>11610</v>
      </c>
      <c r="G562" s="37" t="n">
        <v>2322</v>
      </c>
      <c r="H562" s="37" t="n">
        <v>13932</v>
      </c>
      <c r="I562" s="11" t="s">
        <v>283</v>
      </c>
      <c r="J562" s="11"/>
      <c r="K562" s="11" t="s">
        <v>4152</v>
      </c>
      <c r="L562" s="38" t="n">
        <v>46048</v>
      </c>
      <c r="M562" s="11" t="n">
        <v>25</v>
      </c>
      <c r="N562" s="11"/>
      <c r="O562" s="11"/>
    </row>
    <row r="563" customFormat="false" ht="15" hidden="false" customHeight="false" outlineLevel="0" collapsed="false">
      <c r="A563" s="11" t="s">
        <v>2782</v>
      </c>
      <c r="B563" s="11" t="s">
        <v>811</v>
      </c>
      <c r="C563" s="11" t="s">
        <v>810</v>
      </c>
      <c r="D563" s="38" t="n">
        <v>45978</v>
      </c>
      <c r="E563" s="38" t="n">
        <v>46023</v>
      </c>
      <c r="F563" s="37" t="n">
        <v>36000</v>
      </c>
      <c r="G563" s="37" t="n">
        <v>7200</v>
      </c>
      <c r="H563" s="37" t="n">
        <v>43200</v>
      </c>
      <c r="I563" s="11" t="s">
        <v>4216</v>
      </c>
      <c r="J563" s="11" t="s">
        <v>4217</v>
      </c>
      <c r="K563" s="11" t="s">
        <v>4152</v>
      </c>
      <c r="L563" s="38" t="n">
        <v>46024</v>
      </c>
      <c r="M563" s="11" t="n">
        <v>1</v>
      </c>
      <c r="N563" s="11"/>
      <c r="O563" s="11"/>
    </row>
    <row r="564" customFormat="false" ht="15" hidden="false" customHeight="false" outlineLevel="0" collapsed="false">
      <c r="A564" s="11" t="s">
        <v>2717</v>
      </c>
      <c r="B564" s="11" t="s">
        <v>288</v>
      </c>
      <c r="C564" s="11" t="s">
        <v>287</v>
      </c>
      <c r="D564" s="38" t="n">
        <v>45978</v>
      </c>
      <c r="E564" s="38" t="n">
        <v>46008</v>
      </c>
      <c r="F564" s="37" t="n">
        <v>6720</v>
      </c>
      <c r="G564" s="37" t="n">
        <v>1344</v>
      </c>
      <c r="H564" s="37" t="n">
        <v>8064</v>
      </c>
      <c r="I564" s="11" t="s">
        <v>283</v>
      </c>
      <c r="J564" s="11"/>
      <c r="K564" s="11" t="s">
        <v>4152</v>
      </c>
      <c r="L564" s="38" t="n">
        <v>46013</v>
      </c>
      <c r="M564" s="11" t="n">
        <v>5</v>
      </c>
      <c r="N564" s="11"/>
      <c r="O564" s="11"/>
    </row>
    <row r="565" customFormat="false" ht="15" hidden="false" customHeight="false" outlineLevel="0" collapsed="false">
      <c r="A565" s="11" t="s">
        <v>2984</v>
      </c>
      <c r="B565" s="11" t="s">
        <v>328</v>
      </c>
      <c r="C565" s="11" t="s">
        <v>327</v>
      </c>
      <c r="D565" s="38" t="n">
        <v>45979</v>
      </c>
      <c r="E565" s="38" t="n">
        <v>46039</v>
      </c>
      <c r="F565" s="37" t="n">
        <v>10300</v>
      </c>
      <c r="G565" s="37" t="n">
        <v>2060</v>
      </c>
      <c r="H565" s="37" t="n">
        <v>12360</v>
      </c>
      <c r="I565" s="11" t="s">
        <v>283</v>
      </c>
      <c r="J565" s="11"/>
      <c r="K565" s="11" t="s">
        <v>4152</v>
      </c>
      <c r="L565" s="38" t="n">
        <v>46069</v>
      </c>
      <c r="M565" s="11" t="n">
        <v>30</v>
      </c>
      <c r="N565" s="11"/>
      <c r="O565" s="11"/>
    </row>
    <row r="566" customFormat="false" ht="15" hidden="false" customHeight="false" outlineLevel="0" collapsed="false">
      <c r="A566" s="11" t="s">
        <v>2858</v>
      </c>
      <c r="B566" s="11" t="s">
        <v>336</v>
      </c>
      <c r="C566" s="11" t="s">
        <v>335</v>
      </c>
      <c r="D566" s="38" t="n">
        <v>45980</v>
      </c>
      <c r="E566" s="38" t="n">
        <v>46025</v>
      </c>
      <c r="F566" s="37" t="n">
        <v>5460</v>
      </c>
      <c r="G566" s="37" t="n">
        <v>1092</v>
      </c>
      <c r="H566" s="37" t="n">
        <v>6552</v>
      </c>
      <c r="I566" s="11" t="s">
        <v>283</v>
      </c>
      <c r="J566" s="11"/>
      <c r="K566" s="11" t="s">
        <v>4152</v>
      </c>
      <c r="L566" s="38" t="n">
        <v>46037</v>
      </c>
      <c r="M566" s="11" t="n">
        <v>12</v>
      </c>
      <c r="N566" s="11"/>
      <c r="O566" s="11"/>
    </row>
    <row r="567" customFormat="false" ht="15" hidden="false" customHeight="false" outlineLevel="0" collapsed="false">
      <c r="A567" s="11" t="s">
        <v>2795</v>
      </c>
      <c r="B567" s="11" t="s">
        <v>281</v>
      </c>
      <c r="C567" s="11" t="s">
        <v>280</v>
      </c>
      <c r="D567" s="38" t="n">
        <v>45980</v>
      </c>
      <c r="E567" s="38" t="n">
        <v>46025</v>
      </c>
      <c r="F567" s="37" t="n">
        <v>5680</v>
      </c>
      <c r="G567" s="37" t="n">
        <v>1136</v>
      </c>
      <c r="H567" s="37" t="n">
        <v>6816</v>
      </c>
      <c r="I567" s="11" t="s">
        <v>283</v>
      </c>
      <c r="J567" s="11"/>
      <c r="K567" s="11" t="s">
        <v>4152</v>
      </c>
      <c r="L567" s="38" t="n">
        <v>46027</v>
      </c>
      <c r="M567" s="11" t="n">
        <v>2</v>
      </c>
      <c r="N567" s="11"/>
      <c r="O567" s="11"/>
    </row>
    <row r="568" customFormat="false" ht="15" hidden="false" customHeight="false" outlineLevel="0" collapsed="false">
      <c r="A568" s="11" t="s">
        <v>2811</v>
      </c>
      <c r="B568" s="11" t="s">
        <v>336</v>
      </c>
      <c r="C568" s="11" t="s">
        <v>335</v>
      </c>
      <c r="D568" s="38" t="n">
        <v>45981</v>
      </c>
      <c r="E568" s="38" t="n">
        <v>46026</v>
      </c>
      <c r="F568" s="37" t="n">
        <v>11210</v>
      </c>
      <c r="G568" s="37" t="n">
        <v>2242</v>
      </c>
      <c r="H568" s="37" t="n">
        <v>13452</v>
      </c>
      <c r="I568" s="11" t="s">
        <v>283</v>
      </c>
      <c r="J568" s="11"/>
      <c r="K568" s="11" t="s">
        <v>4152</v>
      </c>
      <c r="L568" s="38" t="n">
        <v>46029</v>
      </c>
      <c r="M568" s="11" t="n">
        <v>3</v>
      </c>
      <c r="N568" s="11"/>
      <c r="O568" s="11"/>
    </row>
    <row r="569" customFormat="false" ht="15" hidden="false" customHeight="false" outlineLevel="0" collapsed="false">
      <c r="A569" s="11" t="s">
        <v>2930</v>
      </c>
      <c r="B569" s="11" t="s">
        <v>328</v>
      </c>
      <c r="C569" s="11" t="s">
        <v>327</v>
      </c>
      <c r="D569" s="38" t="n">
        <v>45981</v>
      </c>
      <c r="E569" s="38" t="n">
        <v>46041</v>
      </c>
      <c r="F569" s="37" t="n">
        <v>24920</v>
      </c>
      <c r="G569" s="37" t="n">
        <v>4984</v>
      </c>
      <c r="H569" s="37" t="n">
        <v>29904</v>
      </c>
      <c r="I569" s="11" t="s">
        <v>283</v>
      </c>
      <c r="J569" s="11"/>
      <c r="K569" s="11" t="s">
        <v>4152</v>
      </c>
      <c r="L569" s="38" t="n">
        <v>46055</v>
      </c>
      <c r="M569" s="11" t="n">
        <v>14</v>
      </c>
      <c r="N569" s="11"/>
      <c r="O569" s="11"/>
    </row>
    <row r="570" customFormat="false" ht="15" hidden="false" customHeight="false" outlineLevel="0" collapsed="false">
      <c r="A570" s="11" t="s">
        <v>2863</v>
      </c>
      <c r="B570" s="11" t="s">
        <v>336</v>
      </c>
      <c r="C570" s="11" t="s">
        <v>335</v>
      </c>
      <c r="D570" s="38" t="n">
        <v>45981</v>
      </c>
      <c r="E570" s="38" t="n">
        <v>46026</v>
      </c>
      <c r="F570" s="37" t="n">
        <v>5380</v>
      </c>
      <c r="G570" s="37" t="n">
        <v>1076</v>
      </c>
      <c r="H570" s="37" t="n">
        <v>6456</v>
      </c>
      <c r="I570" s="11" t="s">
        <v>283</v>
      </c>
      <c r="J570" s="11"/>
      <c r="K570" s="11" t="s">
        <v>4152</v>
      </c>
      <c r="L570" s="38" t="n">
        <v>46038</v>
      </c>
      <c r="M570" s="11" t="n">
        <v>12</v>
      </c>
      <c r="N570" s="11"/>
      <c r="O570" s="11"/>
    </row>
    <row r="571" customFormat="false" ht="15" hidden="false" customHeight="false" outlineLevel="0" collapsed="false">
      <c r="A571" s="11" t="s">
        <v>2667</v>
      </c>
      <c r="B571" s="11" t="s">
        <v>324</v>
      </c>
      <c r="C571" s="11" t="s">
        <v>323</v>
      </c>
      <c r="D571" s="38" t="n">
        <v>45982</v>
      </c>
      <c r="E571" s="38" t="n">
        <v>46012</v>
      </c>
      <c r="F571" s="37" t="n">
        <v>2570</v>
      </c>
      <c r="G571" s="37" t="n">
        <v>514</v>
      </c>
      <c r="H571" s="37" t="n">
        <v>3084</v>
      </c>
      <c r="I571" s="11" t="s">
        <v>283</v>
      </c>
      <c r="J571" s="11"/>
      <c r="K571" s="11" t="s">
        <v>4152</v>
      </c>
      <c r="L571" s="38" t="n">
        <v>46006</v>
      </c>
      <c r="M571" s="11" t="n">
        <v>-6</v>
      </c>
      <c r="N571" s="11"/>
      <c r="O571" s="11"/>
    </row>
    <row r="572" customFormat="false" ht="15" hidden="false" customHeight="false" outlineLevel="0" collapsed="false">
      <c r="A572" s="11" t="s">
        <v>2915</v>
      </c>
      <c r="B572" s="11" t="s">
        <v>350</v>
      </c>
      <c r="C572" s="11" t="s">
        <v>349</v>
      </c>
      <c r="D572" s="38" t="n">
        <v>45982</v>
      </c>
      <c r="E572" s="38" t="n">
        <v>46042</v>
      </c>
      <c r="F572" s="37" t="n">
        <v>15360</v>
      </c>
      <c r="G572" s="37" t="n">
        <v>3072</v>
      </c>
      <c r="H572" s="37" t="n">
        <v>18432</v>
      </c>
      <c r="I572" s="11" t="s">
        <v>283</v>
      </c>
      <c r="J572" s="11"/>
      <c r="K572" s="11" t="s">
        <v>4152</v>
      </c>
      <c r="L572" s="38" t="n">
        <v>46051</v>
      </c>
      <c r="M572" s="11" t="n">
        <v>9</v>
      </c>
      <c r="N572" s="11"/>
      <c r="O572" s="11"/>
    </row>
    <row r="573" customFormat="false" ht="15" hidden="false" customHeight="false" outlineLevel="0" collapsed="false">
      <c r="A573" s="11" t="s">
        <v>2867</v>
      </c>
      <c r="B573" s="11" t="s">
        <v>332</v>
      </c>
      <c r="C573" s="11" t="s">
        <v>331</v>
      </c>
      <c r="D573" s="38" t="n">
        <v>45982</v>
      </c>
      <c r="E573" s="38" t="n">
        <v>46027</v>
      </c>
      <c r="F573" s="37" t="n">
        <v>12050</v>
      </c>
      <c r="G573" s="37" t="n">
        <v>2410</v>
      </c>
      <c r="H573" s="37" t="n">
        <v>14460</v>
      </c>
      <c r="I573" s="11" t="s">
        <v>283</v>
      </c>
      <c r="J573" s="11"/>
      <c r="K573" s="11" t="s">
        <v>4152</v>
      </c>
      <c r="L573" s="38" t="n">
        <v>46041</v>
      </c>
      <c r="M573" s="11" t="n">
        <v>14</v>
      </c>
      <c r="N573" s="11"/>
      <c r="O573" s="11"/>
    </row>
    <row r="574" customFormat="false" ht="15" hidden="false" customHeight="false" outlineLevel="0" collapsed="false">
      <c r="A574" s="11" t="s">
        <v>2920</v>
      </c>
      <c r="B574" s="11" t="s">
        <v>350</v>
      </c>
      <c r="C574" s="11" t="s">
        <v>349</v>
      </c>
      <c r="D574" s="38" t="n">
        <v>45982</v>
      </c>
      <c r="E574" s="38" t="n">
        <v>46042</v>
      </c>
      <c r="F574" s="37" t="n">
        <v>8270</v>
      </c>
      <c r="G574" s="37" t="n">
        <v>1654</v>
      </c>
      <c r="H574" s="37" t="n">
        <v>9924</v>
      </c>
      <c r="I574" s="11" t="s">
        <v>283</v>
      </c>
      <c r="J574" s="11"/>
      <c r="K574" s="11" t="s">
        <v>4152</v>
      </c>
      <c r="L574" s="38" t="n">
        <v>46052</v>
      </c>
      <c r="M574" s="11" t="n">
        <v>10</v>
      </c>
      <c r="N574" s="11"/>
      <c r="O574" s="11"/>
    </row>
    <row r="575" customFormat="false" ht="15" hidden="false" customHeight="false" outlineLevel="0" collapsed="false">
      <c r="A575" s="11" t="s">
        <v>2787</v>
      </c>
      <c r="B575" s="11" t="s">
        <v>281</v>
      </c>
      <c r="C575" s="11" t="s">
        <v>280</v>
      </c>
      <c r="D575" s="38" t="n">
        <v>45982</v>
      </c>
      <c r="E575" s="38" t="n">
        <v>46027</v>
      </c>
      <c r="F575" s="37" t="n">
        <v>5820</v>
      </c>
      <c r="G575" s="37" t="n">
        <v>1164</v>
      </c>
      <c r="H575" s="37" t="n">
        <v>6984</v>
      </c>
      <c r="I575" s="11" t="s">
        <v>283</v>
      </c>
      <c r="J575" s="11"/>
      <c r="K575" s="11" t="s">
        <v>4152</v>
      </c>
      <c r="L575" s="38" t="n">
        <v>46027</v>
      </c>
      <c r="M575" s="11" t="n">
        <v>0</v>
      </c>
      <c r="N575" s="11"/>
      <c r="O575" s="11"/>
    </row>
    <row r="576" customFormat="false" ht="15" hidden="false" customHeight="false" outlineLevel="0" collapsed="false">
      <c r="A576" s="11" t="s">
        <v>2953</v>
      </c>
      <c r="B576" s="11" t="s">
        <v>350</v>
      </c>
      <c r="C576" s="11" t="s">
        <v>349</v>
      </c>
      <c r="D576" s="38" t="n">
        <v>45982</v>
      </c>
      <c r="E576" s="38" t="n">
        <v>46042</v>
      </c>
      <c r="F576" s="37" t="n">
        <v>11100</v>
      </c>
      <c r="G576" s="37" t="n">
        <v>2220</v>
      </c>
      <c r="H576" s="37" t="n">
        <v>13320</v>
      </c>
      <c r="I576" s="11" t="s">
        <v>283</v>
      </c>
      <c r="J576" s="11"/>
      <c r="K576" s="11" t="s">
        <v>4152</v>
      </c>
      <c r="L576" s="38" t="n">
        <v>46059</v>
      </c>
      <c r="M576" s="11" t="n">
        <v>17</v>
      </c>
      <c r="N576" s="11"/>
      <c r="O576" s="11"/>
    </row>
    <row r="577" customFormat="false" ht="15" hidden="false" customHeight="false" outlineLevel="0" collapsed="false">
      <c r="A577" s="11" t="s">
        <v>2894</v>
      </c>
      <c r="B577" s="11" t="s">
        <v>332</v>
      </c>
      <c r="C577" s="11" t="s">
        <v>331</v>
      </c>
      <c r="D577" s="38" t="n">
        <v>45985</v>
      </c>
      <c r="E577" s="38" t="n">
        <v>46030</v>
      </c>
      <c r="F577" s="37" t="n">
        <v>12350</v>
      </c>
      <c r="G577" s="37" t="n">
        <v>2470</v>
      </c>
      <c r="H577" s="37" t="n">
        <v>14820</v>
      </c>
      <c r="I577" s="11" t="s">
        <v>283</v>
      </c>
      <c r="J577" s="11"/>
      <c r="K577" s="11" t="s">
        <v>4152</v>
      </c>
      <c r="L577" s="38" t="n">
        <v>46048</v>
      </c>
      <c r="M577" s="11" t="n">
        <v>18</v>
      </c>
      <c r="N577" s="11"/>
      <c r="O577" s="11"/>
    </row>
    <row r="578" customFormat="false" ht="15" hidden="false" customHeight="false" outlineLevel="0" collapsed="false">
      <c r="A578" s="11" t="s">
        <v>2822</v>
      </c>
      <c r="B578" s="11" t="s">
        <v>336</v>
      </c>
      <c r="C578" s="11" t="s">
        <v>335</v>
      </c>
      <c r="D578" s="38" t="n">
        <v>45985</v>
      </c>
      <c r="E578" s="38" t="n">
        <v>46030</v>
      </c>
      <c r="F578" s="37" t="n">
        <v>3880</v>
      </c>
      <c r="G578" s="37" t="n">
        <v>776</v>
      </c>
      <c r="H578" s="37" t="n">
        <v>4656</v>
      </c>
      <c r="I578" s="11" t="s">
        <v>283</v>
      </c>
      <c r="J578" s="11"/>
      <c r="K578" s="11" t="s">
        <v>4152</v>
      </c>
      <c r="L578" s="38" t="n">
        <v>46031</v>
      </c>
      <c r="M578" s="11" t="n">
        <v>1</v>
      </c>
      <c r="N578" s="11"/>
      <c r="O578" s="11"/>
    </row>
    <row r="579" customFormat="false" ht="15" hidden="false" customHeight="false" outlineLevel="0" collapsed="false">
      <c r="A579" s="11" t="s">
        <v>2992</v>
      </c>
      <c r="B579" s="11" t="s">
        <v>336</v>
      </c>
      <c r="C579" s="11" t="s">
        <v>335</v>
      </c>
      <c r="D579" s="38" t="n">
        <v>45985</v>
      </c>
      <c r="E579" s="38" t="n">
        <v>46030</v>
      </c>
      <c r="F579" s="37" t="n">
        <v>7150</v>
      </c>
      <c r="G579" s="37" t="n">
        <v>1430</v>
      </c>
      <c r="H579" s="37" t="n">
        <v>8580</v>
      </c>
      <c r="I579" s="11" t="s">
        <v>283</v>
      </c>
      <c r="J579" s="11"/>
      <c r="K579" s="11" t="s">
        <v>4152</v>
      </c>
      <c r="L579" s="38" t="n">
        <v>46069</v>
      </c>
      <c r="M579" s="11" t="n">
        <v>39</v>
      </c>
      <c r="N579" s="11"/>
      <c r="O579" s="11"/>
    </row>
    <row r="580" customFormat="false" ht="15" hidden="false" customHeight="false" outlineLevel="0" collapsed="false">
      <c r="A580" s="11" t="s">
        <v>2928</v>
      </c>
      <c r="B580" s="11" t="s">
        <v>350</v>
      </c>
      <c r="C580" s="11" t="s">
        <v>349</v>
      </c>
      <c r="D580" s="38" t="n">
        <v>45987</v>
      </c>
      <c r="E580" s="38" t="n">
        <v>46047</v>
      </c>
      <c r="F580" s="37" t="n">
        <v>9560</v>
      </c>
      <c r="G580" s="37" t="n">
        <v>1912</v>
      </c>
      <c r="H580" s="37" t="n">
        <v>11472</v>
      </c>
      <c r="I580" s="11" t="s">
        <v>283</v>
      </c>
      <c r="J580" s="11"/>
      <c r="K580" s="11" t="s">
        <v>4152</v>
      </c>
      <c r="L580" s="38" t="n">
        <v>46055</v>
      </c>
      <c r="M580" s="11" t="n">
        <v>8</v>
      </c>
      <c r="N580" s="11"/>
      <c r="O580" s="11"/>
    </row>
    <row r="581" customFormat="false" ht="15" hidden="false" customHeight="false" outlineLevel="0" collapsed="false">
      <c r="A581" s="11" t="s">
        <v>3067</v>
      </c>
      <c r="B581" s="11" t="s">
        <v>328</v>
      </c>
      <c r="C581" s="11" t="s">
        <v>327</v>
      </c>
      <c r="D581" s="38" t="n">
        <v>45987</v>
      </c>
      <c r="E581" s="38" t="n">
        <v>46047</v>
      </c>
      <c r="F581" s="37" t="n">
        <v>24550</v>
      </c>
      <c r="G581" s="37" t="n">
        <v>4910</v>
      </c>
      <c r="H581" s="37" t="n">
        <v>29460</v>
      </c>
      <c r="I581" s="11" t="s">
        <v>283</v>
      </c>
      <c r="J581" s="11"/>
      <c r="K581" s="11" t="s">
        <v>4152</v>
      </c>
      <c r="L581" s="38" t="n">
        <v>46084</v>
      </c>
      <c r="M581" s="11" t="n">
        <v>37</v>
      </c>
      <c r="N581" s="11"/>
      <c r="O581" s="11"/>
    </row>
    <row r="582" customFormat="false" ht="15" hidden="false" customHeight="false" outlineLevel="0" collapsed="false">
      <c r="A582" s="11" t="s">
        <v>2832</v>
      </c>
      <c r="B582" s="11" t="s">
        <v>281</v>
      </c>
      <c r="C582" s="11" t="s">
        <v>280</v>
      </c>
      <c r="D582" s="38" t="n">
        <v>45988</v>
      </c>
      <c r="E582" s="38" t="n">
        <v>46033</v>
      </c>
      <c r="F582" s="37" t="n">
        <v>5720</v>
      </c>
      <c r="G582" s="37" t="n">
        <v>1144</v>
      </c>
      <c r="H582" s="37" t="n">
        <v>6864</v>
      </c>
      <c r="I582" s="11" t="s">
        <v>283</v>
      </c>
      <c r="J582" s="11"/>
      <c r="K582" s="11" t="s">
        <v>4152</v>
      </c>
      <c r="L582" s="38" t="n">
        <v>46034</v>
      </c>
      <c r="M582" s="11" t="n">
        <v>1</v>
      </c>
      <c r="N582" s="11"/>
      <c r="O582" s="11"/>
    </row>
    <row r="583" customFormat="false" ht="15" hidden="false" customHeight="false" outlineLevel="0" collapsed="false">
      <c r="A583" s="11" t="s">
        <v>2824</v>
      </c>
      <c r="B583" s="11" t="s">
        <v>281</v>
      </c>
      <c r="C583" s="11" t="s">
        <v>280</v>
      </c>
      <c r="D583" s="38" t="n">
        <v>45988</v>
      </c>
      <c r="E583" s="38" t="n">
        <v>46033</v>
      </c>
      <c r="F583" s="37" t="n">
        <v>5400</v>
      </c>
      <c r="G583" s="37" t="n">
        <v>1080</v>
      </c>
      <c r="H583" s="37" t="n">
        <v>6480</v>
      </c>
      <c r="I583" s="11" t="s">
        <v>283</v>
      </c>
      <c r="J583" s="11"/>
      <c r="K583" s="11" t="s">
        <v>4152</v>
      </c>
      <c r="L583" s="38" t="n">
        <v>46034</v>
      </c>
      <c r="M583" s="11" t="n">
        <v>1</v>
      </c>
      <c r="N583" s="11"/>
      <c r="O583" s="11"/>
    </row>
    <row r="584" customFormat="false" ht="15" hidden="false" customHeight="false" outlineLevel="0" collapsed="false">
      <c r="A584" s="11" t="s">
        <v>2924</v>
      </c>
      <c r="B584" s="11" t="s">
        <v>299</v>
      </c>
      <c r="C584" s="11" t="s">
        <v>298</v>
      </c>
      <c r="D584" s="38" t="n">
        <v>45989</v>
      </c>
      <c r="E584" s="38" t="n">
        <v>46049</v>
      </c>
      <c r="F584" s="37" t="n">
        <v>10640</v>
      </c>
      <c r="G584" s="37" t="n">
        <v>0</v>
      </c>
      <c r="H584" s="37" t="n">
        <v>10640</v>
      </c>
      <c r="I584" s="11" t="s">
        <v>283</v>
      </c>
      <c r="J584" s="11"/>
      <c r="K584" s="11" t="s">
        <v>4152</v>
      </c>
      <c r="L584" s="38" t="n">
        <v>46055</v>
      </c>
      <c r="M584" s="11" t="n">
        <v>6</v>
      </c>
      <c r="N584" s="11"/>
      <c r="O584" s="11"/>
    </row>
    <row r="585" customFormat="false" ht="15" hidden="false" customHeight="false" outlineLevel="0" collapsed="false">
      <c r="A585" s="11" t="s">
        <v>2999</v>
      </c>
      <c r="B585" s="11" t="s">
        <v>332</v>
      </c>
      <c r="C585" s="11" t="s">
        <v>331</v>
      </c>
      <c r="D585" s="38" t="n">
        <v>45989</v>
      </c>
      <c r="E585" s="38" t="n">
        <v>46034</v>
      </c>
      <c r="F585" s="37" t="n">
        <v>9430</v>
      </c>
      <c r="G585" s="37" t="n">
        <v>1886</v>
      </c>
      <c r="H585" s="37" t="n">
        <v>11316</v>
      </c>
      <c r="I585" s="11" t="s">
        <v>283</v>
      </c>
      <c r="J585" s="11"/>
      <c r="K585" s="11" t="s">
        <v>4152</v>
      </c>
      <c r="L585" s="38" t="n">
        <v>46070</v>
      </c>
      <c r="M585" s="11" t="n">
        <v>36</v>
      </c>
      <c r="N585" s="11"/>
      <c r="O585" s="11"/>
    </row>
    <row r="586" customFormat="false" ht="15" hidden="false" customHeight="false" outlineLevel="0" collapsed="false">
      <c r="A586" s="11" t="s">
        <v>2756</v>
      </c>
      <c r="B586" s="11" t="s">
        <v>288</v>
      </c>
      <c r="C586" s="11" t="s">
        <v>287</v>
      </c>
      <c r="D586" s="38" t="n">
        <v>45989</v>
      </c>
      <c r="E586" s="38" t="n">
        <v>46019</v>
      </c>
      <c r="F586" s="37" t="n">
        <v>2210</v>
      </c>
      <c r="G586" s="37" t="n">
        <v>442</v>
      </c>
      <c r="H586" s="37" t="n">
        <v>2652</v>
      </c>
      <c r="I586" s="11" t="s">
        <v>283</v>
      </c>
      <c r="J586" s="11"/>
      <c r="K586" s="11" t="s">
        <v>4152</v>
      </c>
      <c r="L586" s="38" t="n">
        <v>46021</v>
      </c>
      <c r="M586" s="11" t="n">
        <v>2</v>
      </c>
      <c r="N586" s="11"/>
      <c r="O586" s="11"/>
    </row>
    <row r="587" customFormat="false" ht="15" hidden="false" customHeight="false" outlineLevel="0" collapsed="false">
      <c r="A587" s="11" t="s">
        <v>2826</v>
      </c>
      <c r="B587" s="11" t="s">
        <v>281</v>
      </c>
      <c r="C587" s="11" t="s">
        <v>280</v>
      </c>
      <c r="D587" s="38" t="n">
        <v>45989</v>
      </c>
      <c r="E587" s="38" t="n">
        <v>46034</v>
      </c>
      <c r="F587" s="37" t="n">
        <v>6120</v>
      </c>
      <c r="G587" s="37" t="n">
        <v>1224</v>
      </c>
      <c r="H587" s="37" t="n">
        <v>7344</v>
      </c>
      <c r="I587" s="11" t="s">
        <v>283</v>
      </c>
      <c r="J587" s="11"/>
      <c r="K587" s="11" t="s">
        <v>4152</v>
      </c>
      <c r="L587" s="38" t="n">
        <v>46034</v>
      </c>
      <c r="M587" s="11" t="n">
        <v>0</v>
      </c>
      <c r="N587" s="11"/>
      <c r="O587" s="11"/>
    </row>
    <row r="588" customFormat="false" ht="15" hidden="false" customHeight="false" outlineLevel="0" collapsed="false">
      <c r="A588" s="11" t="s">
        <v>2828</v>
      </c>
      <c r="B588" s="11" t="s">
        <v>281</v>
      </c>
      <c r="C588" s="11" t="s">
        <v>280</v>
      </c>
      <c r="D588" s="38" t="n">
        <v>45989</v>
      </c>
      <c r="E588" s="38" t="n">
        <v>46034</v>
      </c>
      <c r="F588" s="37" t="n">
        <v>9980</v>
      </c>
      <c r="G588" s="37" t="n">
        <v>1996</v>
      </c>
      <c r="H588" s="37" t="n">
        <v>11976</v>
      </c>
      <c r="I588" s="11" t="s">
        <v>283</v>
      </c>
      <c r="J588" s="11"/>
      <c r="K588" s="11" t="s">
        <v>4152</v>
      </c>
      <c r="L588" s="38" t="n">
        <v>46034</v>
      </c>
      <c r="M588" s="11" t="n">
        <v>0</v>
      </c>
      <c r="N588" s="11"/>
      <c r="O588" s="11"/>
    </row>
    <row r="589" customFormat="false" ht="15" hidden="false" customHeight="false" outlineLevel="0" collapsed="false">
      <c r="A589" s="11" t="s">
        <v>2982</v>
      </c>
      <c r="B589" s="11" t="s">
        <v>328</v>
      </c>
      <c r="C589" s="11" t="s">
        <v>327</v>
      </c>
      <c r="D589" s="38" t="n">
        <v>45989</v>
      </c>
      <c r="E589" s="38" t="n">
        <v>46049</v>
      </c>
      <c r="F589" s="37" t="n">
        <v>26490</v>
      </c>
      <c r="G589" s="37" t="n">
        <v>5298</v>
      </c>
      <c r="H589" s="37" t="n">
        <v>31788</v>
      </c>
      <c r="I589" s="11" t="s">
        <v>283</v>
      </c>
      <c r="J589" s="11"/>
      <c r="K589" s="11" t="s">
        <v>4152</v>
      </c>
      <c r="L589" s="38" t="n">
        <v>46066</v>
      </c>
      <c r="M589" s="11" t="n">
        <v>17</v>
      </c>
      <c r="N589" s="11"/>
      <c r="O589" s="11"/>
    </row>
    <row r="590" customFormat="false" ht="15" hidden="false" customHeight="false" outlineLevel="0" collapsed="false">
      <c r="A590" s="11" t="s">
        <v>3032</v>
      </c>
      <c r="B590" s="11" t="s">
        <v>328</v>
      </c>
      <c r="C590" s="11" t="s">
        <v>327</v>
      </c>
      <c r="D590" s="38" t="n">
        <v>45989</v>
      </c>
      <c r="E590" s="38" t="n">
        <v>46049</v>
      </c>
      <c r="F590" s="37" t="n">
        <v>28000</v>
      </c>
      <c r="G590" s="37" t="n">
        <v>5600</v>
      </c>
      <c r="H590" s="37" t="n">
        <v>33600</v>
      </c>
      <c r="I590" s="11" t="s">
        <v>283</v>
      </c>
      <c r="J590" s="11"/>
      <c r="K590" s="11" t="s">
        <v>4152</v>
      </c>
      <c r="L590" s="38" t="n">
        <v>46078</v>
      </c>
      <c r="M590" s="11" t="n">
        <v>29</v>
      </c>
      <c r="N590" s="11"/>
      <c r="O590" s="11"/>
    </row>
    <row r="591" customFormat="false" ht="15" hidden="false" customHeight="false" outlineLevel="0" collapsed="false">
      <c r="A591" s="11" t="s">
        <v>2802</v>
      </c>
      <c r="B591" s="11" t="s">
        <v>288</v>
      </c>
      <c r="C591" s="11" t="s">
        <v>287</v>
      </c>
      <c r="D591" s="38" t="n">
        <v>45989</v>
      </c>
      <c r="E591" s="38" t="n">
        <v>46019</v>
      </c>
      <c r="F591" s="37" t="n">
        <v>1960</v>
      </c>
      <c r="G591" s="37" t="n">
        <v>392</v>
      </c>
      <c r="H591" s="37" t="n">
        <v>2352</v>
      </c>
      <c r="I591" s="11" t="s">
        <v>283</v>
      </c>
      <c r="J591" s="11"/>
      <c r="K591" s="11" t="s">
        <v>4152</v>
      </c>
      <c r="L591" s="38" t="n">
        <v>46028</v>
      </c>
      <c r="M591" s="11" t="n">
        <v>9</v>
      </c>
      <c r="N591" s="11"/>
      <c r="O591" s="11"/>
    </row>
    <row r="592" customFormat="false" ht="15" hidden="false" customHeight="false" outlineLevel="0" collapsed="false">
      <c r="A592" s="11" t="s">
        <v>2951</v>
      </c>
      <c r="B592" s="11" t="s">
        <v>299</v>
      </c>
      <c r="C592" s="11" t="s">
        <v>298</v>
      </c>
      <c r="D592" s="38" t="n">
        <v>45992</v>
      </c>
      <c r="E592" s="38" t="n">
        <v>46052</v>
      </c>
      <c r="F592" s="37" t="n">
        <v>9120</v>
      </c>
      <c r="G592" s="37" t="n">
        <v>0</v>
      </c>
      <c r="H592" s="37" t="n">
        <v>9120</v>
      </c>
      <c r="I592" s="11" t="s">
        <v>283</v>
      </c>
      <c r="J592" s="11"/>
      <c r="K592" s="11" t="s">
        <v>4152</v>
      </c>
      <c r="L592" s="38" t="n">
        <v>46058</v>
      </c>
      <c r="M592" s="11" t="n">
        <v>6</v>
      </c>
      <c r="N592" s="11"/>
      <c r="O592" s="11"/>
    </row>
    <row r="593" customFormat="false" ht="15" hidden="false" customHeight="false" outlineLevel="0" collapsed="false">
      <c r="A593" s="11" t="s">
        <v>2938</v>
      </c>
      <c r="B593" s="11" t="s">
        <v>324</v>
      </c>
      <c r="C593" s="11" t="s">
        <v>323</v>
      </c>
      <c r="D593" s="38" t="n">
        <v>45992</v>
      </c>
      <c r="E593" s="38" t="n">
        <v>46022</v>
      </c>
      <c r="F593" s="37" t="n">
        <v>3030</v>
      </c>
      <c r="G593" s="37" t="n">
        <v>606</v>
      </c>
      <c r="H593" s="37" t="n">
        <v>3636</v>
      </c>
      <c r="I593" s="11" t="s">
        <v>283</v>
      </c>
      <c r="J593" s="11"/>
      <c r="K593" s="11" t="s">
        <v>4152</v>
      </c>
      <c r="L593" s="38" t="n">
        <v>46057</v>
      </c>
      <c r="M593" s="11" t="n">
        <v>35</v>
      </c>
      <c r="N593" s="11"/>
      <c r="O593" s="11"/>
    </row>
    <row r="594" customFormat="false" ht="15" hidden="false" customHeight="false" outlineLevel="0" collapsed="false">
      <c r="A594" s="11" t="s">
        <v>2900</v>
      </c>
      <c r="B594" s="11" t="s">
        <v>350</v>
      </c>
      <c r="C594" s="11" t="s">
        <v>349</v>
      </c>
      <c r="D594" s="38" t="n">
        <v>45992</v>
      </c>
      <c r="E594" s="38" t="n">
        <v>46052</v>
      </c>
      <c r="F594" s="37" t="n">
        <v>9650</v>
      </c>
      <c r="G594" s="37" t="n">
        <v>1930</v>
      </c>
      <c r="H594" s="37" t="n">
        <v>11580</v>
      </c>
      <c r="I594" s="11" t="s">
        <v>283</v>
      </c>
      <c r="J594" s="11"/>
      <c r="K594" s="11" t="s">
        <v>4152</v>
      </c>
      <c r="L594" s="38" t="n">
        <v>46048</v>
      </c>
      <c r="M594" s="11" t="n">
        <v>-4</v>
      </c>
      <c r="N594" s="11"/>
      <c r="O594" s="11"/>
    </row>
    <row r="595" customFormat="false" ht="15" hidden="false" customHeight="false" outlineLevel="0" collapsed="false">
      <c r="A595" s="11" t="s">
        <v>2841</v>
      </c>
      <c r="B595" s="11" t="s">
        <v>324</v>
      </c>
      <c r="C595" s="11" t="s">
        <v>323</v>
      </c>
      <c r="D595" s="38" t="n">
        <v>45993</v>
      </c>
      <c r="E595" s="38" t="n">
        <v>46023</v>
      </c>
      <c r="F595" s="37" t="n">
        <v>3500</v>
      </c>
      <c r="G595" s="37" t="n">
        <v>700</v>
      </c>
      <c r="H595" s="37" t="n">
        <v>4200</v>
      </c>
      <c r="I595" s="11" t="s">
        <v>283</v>
      </c>
      <c r="J595" s="11"/>
      <c r="K595" s="11" t="s">
        <v>4152</v>
      </c>
      <c r="L595" s="38" t="n">
        <v>46035</v>
      </c>
      <c r="M595" s="11" t="n">
        <v>12</v>
      </c>
      <c r="N595" s="11"/>
      <c r="O595" s="11"/>
    </row>
    <row r="596" customFormat="false" ht="15" hidden="false" customHeight="false" outlineLevel="0" collapsed="false">
      <c r="A596" s="11" t="s">
        <v>2986</v>
      </c>
      <c r="B596" s="11" t="s">
        <v>393</v>
      </c>
      <c r="C596" s="11" t="s">
        <v>392</v>
      </c>
      <c r="D596" s="38" t="n">
        <v>45993</v>
      </c>
      <c r="E596" s="38" t="n">
        <v>46043</v>
      </c>
      <c r="F596" s="37" t="n">
        <v>10880</v>
      </c>
      <c r="G596" s="37" t="n">
        <v>2176</v>
      </c>
      <c r="H596" s="37" t="n">
        <v>13056</v>
      </c>
      <c r="I596" s="11" t="s">
        <v>283</v>
      </c>
      <c r="J596" s="11"/>
      <c r="K596" s="11" t="s">
        <v>4152</v>
      </c>
      <c r="L596" s="38" t="n">
        <v>46069</v>
      </c>
      <c r="M596" s="11" t="n">
        <v>26</v>
      </c>
      <c r="N596" s="11"/>
      <c r="O596" s="11"/>
    </row>
    <row r="597" customFormat="false" ht="15" hidden="false" customHeight="false" outlineLevel="0" collapsed="false">
      <c r="A597" s="11" t="s">
        <v>2964</v>
      </c>
      <c r="B597" s="11" t="s">
        <v>328</v>
      </c>
      <c r="C597" s="11" t="s">
        <v>327</v>
      </c>
      <c r="D597" s="38" t="n">
        <v>45995</v>
      </c>
      <c r="E597" s="38" t="n">
        <v>46055</v>
      </c>
      <c r="F597" s="37" t="n">
        <v>14550</v>
      </c>
      <c r="G597" s="37" t="n">
        <v>2910</v>
      </c>
      <c r="H597" s="37" t="n">
        <v>17460</v>
      </c>
      <c r="I597" s="11" t="s">
        <v>283</v>
      </c>
      <c r="J597" s="11"/>
      <c r="K597" s="11" t="s">
        <v>4152</v>
      </c>
      <c r="L597" s="38" t="n">
        <v>46062</v>
      </c>
      <c r="M597" s="11" t="n">
        <v>7</v>
      </c>
      <c r="N597" s="11"/>
      <c r="O597" s="11"/>
    </row>
    <row r="598" customFormat="false" ht="15" hidden="false" customHeight="false" outlineLevel="0" collapsed="false">
      <c r="A598" s="11" t="s">
        <v>2873</v>
      </c>
      <c r="B598" s="11" t="s">
        <v>281</v>
      </c>
      <c r="C598" s="11" t="s">
        <v>280</v>
      </c>
      <c r="D598" s="38" t="n">
        <v>45995</v>
      </c>
      <c r="E598" s="38" t="n">
        <v>46040</v>
      </c>
      <c r="F598" s="37" t="n">
        <v>7540</v>
      </c>
      <c r="G598" s="37" t="n">
        <v>1508</v>
      </c>
      <c r="H598" s="37" t="n">
        <v>9048</v>
      </c>
      <c r="I598" s="11" t="s">
        <v>283</v>
      </c>
      <c r="J598" s="11"/>
      <c r="K598" s="11" t="s">
        <v>4152</v>
      </c>
      <c r="L598" s="38" t="n">
        <v>46041</v>
      </c>
      <c r="M598" s="11" t="n">
        <v>1</v>
      </c>
      <c r="N598" s="11"/>
      <c r="O598" s="11"/>
    </row>
    <row r="599" customFormat="false" ht="15" hidden="false" customHeight="false" outlineLevel="0" collapsed="false">
      <c r="A599" s="11" t="s">
        <v>3081</v>
      </c>
      <c r="B599" s="11" t="s">
        <v>393</v>
      </c>
      <c r="C599" s="11" t="s">
        <v>392</v>
      </c>
      <c r="D599" s="38" t="n">
        <v>45996</v>
      </c>
      <c r="E599" s="38" t="n">
        <v>46046</v>
      </c>
      <c r="F599" s="37" t="n">
        <v>12720</v>
      </c>
      <c r="G599" s="37" t="n">
        <v>2544</v>
      </c>
      <c r="H599" s="37" t="n">
        <v>15264</v>
      </c>
      <c r="I599" s="11" t="s">
        <v>283</v>
      </c>
      <c r="J599" s="11"/>
      <c r="K599" s="11" t="s">
        <v>4152</v>
      </c>
      <c r="L599" s="38" t="n">
        <v>46086</v>
      </c>
      <c r="M599" s="11" t="n">
        <v>40</v>
      </c>
      <c r="N599" s="11"/>
      <c r="O599" s="11"/>
    </row>
    <row r="600" customFormat="false" ht="15" hidden="false" customHeight="false" outlineLevel="0" collapsed="false">
      <c r="A600" s="11" t="s">
        <v>2789</v>
      </c>
      <c r="B600" s="11" t="s">
        <v>288</v>
      </c>
      <c r="C600" s="11" t="s">
        <v>287</v>
      </c>
      <c r="D600" s="38" t="n">
        <v>45996</v>
      </c>
      <c r="E600" s="38" t="n">
        <v>46026</v>
      </c>
      <c r="F600" s="37" t="n">
        <v>4520</v>
      </c>
      <c r="G600" s="37" t="n">
        <v>904</v>
      </c>
      <c r="H600" s="37" t="n">
        <v>5424</v>
      </c>
      <c r="I600" s="11" t="s">
        <v>283</v>
      </c>
      <c r="J600" s="11"/>
      <c r="K600" s="11" t="s">
        <v>4152</v>
      </c>
      <c r="L600" s="38" t="n">
        <v>46027</v>
      </c>
      <c r="M600" s="11" t="n">
        <v>1</v>
      </c>
      <c r="N600" s="11"/>
      <c r="O600" s="11"/>
    </row>
    <row r="601" customFormat="false" ht="15" hidden="false" customHeight="false" outlineLevel="0" collapsed="false">
      <c r="A601" s="11" t="s">
        <v>2865</v>
      </c>
      <c r="B601" s="11" t="s">
        <v>281</v>
      </c>
      <c r="C601" s="11" t="s">
        <v>280</v>
      </c>
      <c r="D601" s="38" t="n">
        <v>45996</v>
      </c>
      <c r="E601" s="38" t="n">
        <v>46041</v>
      </c>
      <c r="F601" s="37" t="n">
        <v>10030</v>
      </c>
      <c r="G601" s="37" t="n">
        <v>2006</v>
      </c>
      <c r="H601" s="37" t="n">
        <v>12036</v>
      </c>
      <c r="I601" s="11" t="s">
        <v>283</v>
      </c>
      <c r="J601" s="11"/>
      <c r="K601" s="11" t="s">
        <v>4152</v>
      </c>
      <c r="L601" s="38" t="n">
        <v>46041</v>
      </c>
      <c r="M601" s="11" t="n">
        <v>0</v>
      </c>
      <c r="N601" s="11"/>
      <c r="O601" s="11"/>
    </row>
    <row r="602" customFormat="false" ht="15" hidden="false" customHeight="false" outlineLevel="0" collapsed="false">
      <c r="A602" s="11" t="s">
        <v>2807</v>
      </c>
      <c r="B602" s="11" t="s">
        <v>288</v>
      </c>
      <c r="C602" s="11" t="s">
        <v>287</v>
      </c>
      <c r="D602" s="38" t="n">
        <v>45996</v>
      </c>
      <c r="E602" s="38" t="n">
        <v>46026</v>
      </c>
      <c r="F602" s="37" t="n">
        <v>7380</v>
      </c>
      <c r="G602" s="37" t="n">
        <v>1476</v>
      </c>
      <c r="H602" s="37" t="n">
        <v>8856</v>
      </c>
      <c r="I602" s="11" t="s">
        <v>283</v>
      </c>
      <c r="J602" s="11"/>
      <c r="K602" s="11" t="s">
        <v>4152</v>
      </c>
      <c r="L602" s="38" t="n">
        <v>46029</v>
      </c>
      <c r="M602" s="11" t="n">
        <v>3</v>
      </c>
      <c r="N602" s="11"/>
      <c r="O602" s="11"/>
    </row>
    <row r="603" customFormat="false" ht="15" hidden="false" customHeight="false" outlineLevel="0" collapsed="false">
      <c r="A603" s="11" t="s">
        <v>2972</v>
      </c>
      <c r="B603" s="11" t="s">
        <v>350</v>
      </c>
      <c r="C603" s="11" t="s">
        <v>349</v>
      </c>
      <c r="D603" s="38" t="n">
        <v>45996</v>
      </c>
      <c r="E603" s="38" t="n">
        <v>46056</v>
      </c>
      <c r="F603" s="37" t="n">
        <v>24810</v>
      </c>
      <c r="G603" s="37" t="n">
        <v>4962</v>
      </c>
      <c r="H603" s="37" t="n">
        <v>29772</v>
      </c>
      <c r="I603" s="11" t="s">
        <v>283</v>
      </c>
      <c r="J603" s="11"/>
      <c r="K603" s="11" t="s">
        <v>4152</v>
      </c>
      <c r="L603" s="38" t="n">
        <v>46062</v>
      </c>
      <c r="M603" s="11" t="n">
        <v>6</v>
      </c>
      <c r="N603" s="11"/>
      <c r="O603" s="11"/>
    </row>
    <row r="604" customFormat="false" ht="15" hidden="false" customHeight="false" outlineLevel="0" collapsed="false">
      <c r="A604" s="11" t="s">
        <v>3016</v>
      </c>
      <c r="B604" s="11" t="s">
        <v>328</v>
      </c>
      <c r="C604" s="11" t="s">
        <v>327</v>
      </c>
      <c r="D604" s="38" t="n">
        <v>45996</v>
      </c>
      <c r="E604" s="38" t="n">
        <v>46056</v>
      </c>
      <c r="F604" s="37" t="n">
        <v>10270</v>
      </c>
      <c r="G604" s="37" t="n">
        <v>2054</v>
      </c>
      <c r="H604" s="37" t="n">
        <v>12324</v>
      </c>
      <c r="I604" s="11" t="s">
        <v>283</v>
      </c>
      <c r="J604" s="11"/>
      <c r="K604" s="11" t="s">
        <v>4152</v>
      </c>
      <c r="L604" s="38" t="n">
        <v>46073</v>
      </c>
      <c r="M604" s="11" t="n">
        <v>17</v>
      </c>
      <c r="N604" s="11"/>
      <c r="O604" s="11"/>
    </row>
    <row r="605" customFormat="false" ht="15" hidden="false" customHeight="false" outlineLevel="0" collapsed="false">
      <c r="A605" s="11" t="s">
        <v>2909</v>
      </c>
      <c r="B605" s="11" t="s">
        <v>332</v>
      </c>
      <c r="C605" s="11" t="s">
        <v>331</v>
      </c>
      <c r="D605" s="38" t="n">
        <v>45996</v>
      </c>
      <c r="E605" s="38" t="n">
        <v>46041</v>
      </c>
      <c r="F605" s="37" t="n">
        <v>15090</v>
      </c>
      <c r="G605" s="37" t="n">
        <v>3018</v>
      </c>
      <c r="H605" s="37" t="n">
        <v>18108</v>
      </c>
      <c r="I605" s="11" t="s">
        <v>283</v>
      </c>
      <c r="J605" s="11"/>
      <c r="K605" s="11" t="s">
        <v>4152</v>
      </c>
      <c r="L605" s="38" t="n">
        <v>46051</v>
      </c>
      <c r="M605" s="11" t="n">
        <v>10</v>
      </c>
      <c r="N605" s="11"/>
      <c r="O605" s="11"/>
    </row>
    <row r="606" customFormat="false" ht="15" hidden="false" customHeight="false" outlineLevel="0" collapsed="false">
      <c r="A606" s="11" t="s">
        <v>2869</v>
      </c>
      <c r="B606" s="11" t="s">
        <v>281</v>
      </c>
      <c r="C606" s="11" t="s">
        <v>280</v>
      </c>
      <c r="D606" s="38" t="n">
        <v>45996</v>
      </c>
      <c r="E606" s="38" t="n">
        <v>46041</v>
      </c>
      <c r="F606" s="37" t="n">
        <v>11250</v>
      </c>
      <c r="G606" s="37" t="n">
        <v>2250</v>
      </c>
      <c r="H606" s="37" t="n">
        <v>13500</v>
      </c>
      <c r="I606" s="11" t="s">
        <v>283</v>
      </c>
      <c r="J606" s="11"/>
      <c r="K606" s="11" t="s">
        <v>4152</v>
      </c>
      <c r="L606" s="38" t="n">
        <v>46041</v>
      </c>
      <c r="M606" s="11" t="n">
        <v>0</v>
      </c>
      <c r="N606" s="11"/>
      <c r="O606" s="11"/>
    </row>
    <row r="607" customFormat="false" ht="15" hidden="false" customHeight="false" outlineLevel="0" collapsed="false">
      <c r="A607" s="11" t="s">
        <v>2890</v>
      </c>
      <c r="B607" s="11" t="s">
        <v>281</v>
      </c>
      <c r="C607" s="11" t="s">
        <v>280</v>
      </c>
      <c r="D607" s="38" t="n">
        <v>45999</v>
      </c>
      <c r="E607" s="38" t="n">
        <v>46044</v>
      </c>
      <c r="F607" s="37" t="n">
        <v>10080</v>
      </c>
      <c r="G607" s="37" t="n">
        <v>2016</v>
      </c>
      <c r="H607" s="37" t="n">
        <v>12096</v>
      </c>
      <c r="I607" s="11" t="s">
        <v>283</v>
      </c>
      <c r="J607" s="11"/>
      <c r="K607" s="11" t="s">
        <v>4152</v>
      </c>
      <c r="L607" s="38" t="n">
        <v>46044</v>
      </c>
      <c r="M607" s="11" t="n">
        <v>0</v>
      </c>
      <c r="N607" s="11"/>
      <c r="O607" s="11"/>
    </row>
    <row r="608" customFormat="false" ht="15" hidden="false" customHeight="false" outlineLevel="0" collapsed="false">
      <c r="A608" s="11" t="s">
        <v>2888</v>
      </c>
      <c r="B608" s="11" t="s">
        <v>281</v>
      </c>
      <c r="C608" s="11" t="s">
        <v>280</v>
      </c>
      <c r="D608" s="38" t="n">
        <v>45999</v>
      </c>
      <c r="E608" s="38" t="n">
        <v>46044</v>
      </c>
      <c r="F608" s="37" t="n">
        <v>7260</v>
      </c>
      <c r="G608" s="37" t="n">
        <v>1452</v>
      </c>
      <c r="H608" s="37" t="n">
        <v>8712</v>
      </c>
      <c r="I608" s="11" t="s">
        <v>283</v>
      </c>
      <c r="J608" s="11"/>
      <c r="K608" s="11" t="s">
        <v>4152</v>
      </c>
      <c r="L608" s="38" t="n">
        <v>46044</v>
      </c>
      <c r="M608" s="11" t="n">
        <v>0</v>
      </c>
      <c r="N608" s="11"/>
      <c r="O608" s="11"/>
    </row>
    <row r="609" customFormat="false" ht="15" hidden="false" customHeight="false" outlineLevel="0" collapsed="false">
      <c r="A609" s="11" t="s">
        <v>2896</v>
      </c>
      <c r="B609" s="11" t="s">
        <v>336</v>
      </c>
      <c r="C609" s="11" t="s">
        <v>335</v>
      </c>
      <c r="D609" s="38" t="n">
        <v>45999</v>
      </c>
      <c r="E609" s="38" t="n">
        <v>46044</v>
      </c>
      <c r="F609" s="37" t="n">
        <v>6990</v>
      </c>
      <c r="G609" s="37" t="n">
        <v>1398</v>
      </c>
      <c r="H609" s="37" t="n">
        <v>8388</v>
      </c>
      <c r="I609" s="11" t="s">
        <v>283</v>
      </c>
      <c r="J609" s="11"/>
      <c r="K609" s="11" t="s">
        <v>4152</v>
      </c>
      <c r="L609" s="38" t="n">
        <v>46048</v>
      </c>
      <c r="M609" s="11" t="n">
        <v>4</v>
      </c>
      <c r="N609" s="11"/>
      <c r="O609" s="11"/>
    </row>
    <row r="610" customFormat="false" ht="15" hidden="false" customHeight="false" outlineLevel="0" collapsed="false">
      <c r="A610" s="11" t="s">
        <v>2830</v>
      </c>
      <c r="B610" s="11" t="s">
        <v>288</v>
      </c>
      <c r="C610" s="11" t="s">
        <v>287</v>
      </c>
      <c r="D610" s="38" t="n">
        <v>46000</v>
      </c>
      <c r="E610" s="38" t="n">
        <v>46030</v>
      </c>
      <c r="F610" s="37" t="n">
        <v>2560</v>
      </c>
      <c r="G610" s="37" t="n">
        <v>512</v>
      </c>
      <c r="H610" s="37" t="n">
        <v>3072</v>
      </c>
      <c r="I610" s="11" t="s">
        <v>283</v>
      </c>
      <c r="J610" s="11"/>
      <c r="K610" s="11" t="s">
        <v>4152</v>
      </c>
      <c r="L610" s="38" t="n">
        <v>46034</v>
      </c>
      <c r="M610" s="11" t="n">
        <v>4</v>
      </c>
      <c r="N610" s="11"/>
      <c r="O610" s="11"/>
    </row>
    <row r="611" customFormat="false" ht="15" hidden="false" customHeight="false" outlineLevel="0" collapsed="false">
      <c r="A611" s="11" t="s">
        <v>2877</v>
      </c>
      <c r="B611" s="11" t="s">
        <v>336</v>
      </c>
      <c r="C611" s="11" t="s">
        <v>335</v>
      </c>
      <c r="D611" s="38" t="n">
        <v>46002</v>
      </c>
      <c r="E611" s="38" t="n">
        <v>46047</v>
      </c>
      <c r="F611" s="37" t="n">
        <v>2270</v>
      </c>
      <c r="G611" s="37" t="n">
        <v>454</v>
      </c>
      <c r="H611" s="37" t="n">
        <v>2724</v>
      </c>
      <c r="I611" s="11" t="s">
        <v>283</v>
      </c>
      <c r="J611" s="11"/>
      <c r="K611" s="11" t="s">
        <v>4152</v>
      </c>
      <c r="L611" s="38" t="n">
        <v>46042</v>
      </c>
      <c r="M611" s="11" t="n">
        <v>-5</v>
      </c>
      <c r="N611" s="11"/>
      <c r="O611" s="11"/>
    </row>
    <row r="612" customFormat="false" ht="15" hidden="false" customHeight="false" outlineLevel="0" collapsed="false">
      <c r="A612" s="11" t="s">
        <v>2839</v>
      </c>
      <c r="B612" s="11" t="s">
        <v>400</v>
      </c>
      <c r="C612" s="11" t="s">
        <v>399</v>
      </c>
      <c r="D612" s="38" t="n">
        <v>46003</v>
      </c>
      <c r="E612" s="38" t="n">
        <v>46033</v>
      </c>
      <c r="F612" s="37" t="n">
        <v>12280</v>
      </c>
      <c r="G612" s="37" t="n">
        <v>2456</v>
      </c>
      <c r="H612" s="37" t="n">
        <v>14736</v>
      </c>
      <c r="I612" s="11" t="s">
        <v>283</v>
      </c>
      <c r="J612" s="11"/>
      <c r="K612" s="11" t="s">
        <v>4152</v>
      </c>
      <c r="L612" s="38" t="n">
        <v>46035</v>
      </c>
      <c r="M612" s="11" t="n">
        <v>2</v>
      </c>
      <c r="N612" s="11"/>
      <c r="O612" s="11"/>
    </row>
    <row r="613" customFormat="false" ht="15" hidden="false" customHeight="false" outlineLevel="0" collapsed="false">
      <c r="A613" s="11" t="s">
        <v>3052</v>
      </c>
      <c r="B613" s="11" t="s">
        <v>328</v>
      </c>
      <c r="C613" s="11" t="s">
        <v>327</v>
      </c>
      <c r="D613" s="38" t="n">
        <v>46003</v>
      </c>
      <c r="E613" s="38" t="n">
        <v>46063</v>
      </c>
      <c r="F613" s="37" t="n">
        <v>16030</v>
      </c>
      <c r="G613" s="37" t="n">
        <v>3206</v>
      </c>
      <c r="H613" s="37" t="n">
        <v>19236</v>
      </c>
      <c r="I613" s="11" t="s">
        <v>283</v>
      </c>
      <c r="J613" s="11"/>
      <c r="K613" s="11" t="s">
        <v>4152</v>
      </c>
      <c r="L613" s="38" t="n">
        <v>46080</v>
      </c>
      <c r="M613" s="11" t="n">
        <v>17</v>
      </c>
      <c r="N613" s="11"/>
      <c r="O613" s="11"/>
    </row>
    <row r="614" customFormat="false" ht="15" hidden="false" customHeight="false" outlineLevel="0" collapsed="false">
      <c r="A614" s="11" t="s">
        <v>3095</v>
      </c>
      <c r="B614" s="11" t="s">
        <v>328</v>
      </c>
      <c r="C614" s="11" t="s">
        <v>327</v>
      </c>
      <c r="D614" s="38" t="n">
        <v>46003</v>
      </c>
      <c r="E614" s="38" t="n">
        <v>46063</v>
      </c>
      <c r="F614" s="37" t="n">
        <v>26990</v>
      </c>
      <c r="G614" s="37" t="n">
        <v>5398</v>
      </c>
      <c r="H614" s="37" t="n">
        <v>32388</v>
      </c>
      <c r="I614" s="11" t="s">
        <v>283</v>
      </c>
      <c r="J614" s="11"/>
      <c r="K614" s="11" t="s">
        <v>4152</v>
      </c>
      <c r="L614" s="38" t="n">
        <v>46090</v>
      </c>
      <c r="M614" s="11" t="n">
        <v>27</v>
      </c>
      <c r="N614" s="11"/>
      <c r="O614" s="11"/>
    </row>
    <row r="615" customFormat="false" ht="15" hidden="false" customHeight="false" outlineLevel="0" collapsed="false">
      <c r="A615" s="11" t="s">
        <v>3036</v>
      </c>
      <c r="B615" s="11" t="s">
        <v>336</v>
      </c>
      <c r="C615" s="11" t="s">
        <v>335</v>
      </c>
      <c r="D615" s="38" t="n">
        <v>46003</v>
      </c>
      <c r="E615" s="38" t="n">
        <v>46048</v>
      </c>
      <c r="F615" s="37" t="n">
        <v>7570</v>
      </c>
      <c r="G615" s="37" t="n">
        <v>1514</v>
      </c>
      <c r="H615" s="37" t="n">
        <v>9084</v>
      </c>
      <c r="I615" s="11" t="s">
        <v>283</v>
      </c>
      <c r="J615" s="11"/>
      <c r="K615" s="11" t="s">
        <v>4152</v>
      </c>
      <c r="L615" s="38" t="n">
        <v>46078</v>
      </c>
      <c r="M615" s="11" t="n">
        <v>30</v>
      </c>
      <c r="N615" s="11"/>
      <c r="O615" s="11"/>
    </row>
    <row r="616" customFormat="false" ht="15" hidden="false" customHeight="false" outlineLevel="0" collapsed="false">
      <c r="A616" s="11" t="s">
        <v>2945</v>
      </c>
      <c r="B616" s="11" t="s">
        <v>336</v>
      </c>
      <c r="C616" s="11" t="s">
        <v>335</v>
      </c>
      <c r="D616" s="38" t="n">
        <v>46003</v>
      </c>
      <c r="E616" s="38" t="n">
        <v>46048</v>
      </c>
      <c r="F616" s="37" t="n">
        <v>1120</v>
      </c>
      <c r="G616" s="37" t="n">
        <v>224</v>
      </c>
      <c r="H616" s="37" t="n">
        <v>1344</v>
      </c>
      <c r="I616" s="11" t="s">
        <v>283</v>
      </c>
      <c r="J616" s="11"/>
      <c r="K616" s="11" t="s">
        <v>4152</v>
      </c>
      <c r="L616" s="38" t="n">
        <v>46058</v>
      </c>
      <c r="M616" s="11" t="n">
        <v>10</v>
      </c>
      <c r="N616" s="11"/>
      <c r="O616" s="11"/>
    </row>
    <row r="617" customFormat="false" ht="15" hidden="false" customHeight="false" outlineLevel="0" collapsed="false">
      <c r="A617" s="11" t="s">
        <v>2957</v>
      </c>
      <c r="B617" s="11" t="s">
        <v>336</v>
      </c>
      <c r="C617" s="11" t="s">
        <v>335</v>
      </c>
      <c r="D617" s="38" t="n">
        <v>46003</v>
      </c>
      <c r="E617" s="38" t="n">
        <v>46048</v>
      </c>
      <c r="F617" s="37" t="n">
        <v>8520</v>
      </c>
      <c r="G617" s="37" t="n">
        <v>1704</v>
      </c>
      <c r="H617" s="37" t="n">
        <v>10224</v>
      </c>
      <c r="I617" s="11" t="s">
        <v>283</v>
      </c>
      <c r="J617" s="11"/>
      <c r="K617" s="11" t="s">
        <v>4152</v>
      </c>
      <c r="L617" s="38" t="n">
        <v>46062</v>
      </c>
      <c r="M617" s="11" t="n">
        <v>14</v>
      </c>
      <c r="N617" s="11"/>
      <c r="O617" s="11"/>
    </row>
    <row r="618" customFormat="false" ht="15" hidden="false" customHeight="false" outlineLevel="0" collapsed="false">
      <c r="A618" s="11" t="s">
        <v>2988</v>
      </c>
      <c r="B618" s="11" t="s">
        <v>299</v>
      </c>
      <c r="C618" s="11" t="s">
        <v>298</v>
      </c>
      <c r="D618" s="38" t="n">
        <v>46006</v>
      </c>
      <c r="E618" s="38" t="n">
        <v>46066</v>
      </c>
      <c r="F618" s="37" t="n">
        <v>6210</v>
      </c>
      <c r="G618" s="37" t="n">
        <v>0</v>
      </c>
      <c r="H618" s="37" t="n">
        <v>6210</v>
      </c>
      <c r="I618" s="11" t="s">
        <v>283</v>
      </c>
      <c r="J618" s="11"/>
      <c r="K618" s="11" t="s">
        <v>4152</v>
      </c>
      <c r="L618" s="38" t="n">
        <v>46069</v>
      </c>
      <c r="M618" s="11" t="n">
        <v>3</v>
      </c>
      <c r="N618" s="11"/>
      <c r="O618" s="11"/>
    </row>
    <row r="619" customFormat="false" ht="15" hidden="false" customHeight="false" outlineLevel="0" collapsed="false">
      <c r="A619" s="11" t="s">
        <v>3004</v>
      </c>
      <c r="B619" s="11" t="s">
        <v>299</v>
      </c>
      <c r="C619" s="11" t="s">
        <v>298</v>
      </c>
      <c r="D619" s="38" t="n">
        <v>46007</v>
      </c>
      <c r="E619" s="38" t="n">
        <v>46067</v>
      </c>
      <c r="F619" s="37" t="n">
        <v>4990</v>
      </c>
      <c r="G619" s="37" t="n">
        <v>0</v>
      </c>
      <c r="H619" s="37" t="n">
        <v>4990</v>
      </c>
      <c r="I619" s="11" t="s">
        <v>283</v>
      </c>
      <c r="J619" s="11"/>
      <c r="K619" s="11" t="s">
        <v>4152</v>
      </c>
      <c r="L619" s="38" t="n">
        <v>46071</v>
      </c>
      <c r="M619" s="11" t="n">
        <v>4</v>
      </c>
      <c r="N619" s="11"/>
      <c r="O619" s="11"/>
    </row>
    <row r="620" customFormat="false" ht="15" hidden="false" customHeight="false" outlineLevel="0" collapsed="false">
      <c r="A620" s="11" t="s">
        <v>3118</v>
      </c>
      <c r="B620" s="11" t="s">
        <v>350</v>
      </c>
      <c r="C620" s="11" t="s">
        <v>349</v>
      </c>
      <c r="D620" s="38" t="n">
        <v>46009</v>
      </c>
      <c r="E620" s="38" t="n">
        <v>46069</v>
      </c>
      <c r="F620" s="37" t="n">
        <v>19830</v>
      </c>
      <c r="G620" s="37" t="n">
        <v>3966</v>
      </c>
      <c r="H620" s="37" t="n">
        <v>23796</v>
      </c>
      <c r="I620" s="11" t="s">
        <v>283</v>
      </c>
      <c r="J620" s="11"/>
      <c r="K620" s="11" t="s">
        <v>4152</v>
      </c>
      <c r="L620" s="38" t="n">
        <v>46093</v>
      </c>
      <c r="M620" s="11" t="n">
        <v>24</v>
      </c>
      <c r="N620" s="11"/>
      <c r="O620" s="11"/>
    </row>
    <row r="621" customFormat="false" ht="15" hidden="false" customHeight="false" outlineLevel="0" collapsed="false">
      <c r="A621" s="11" t="s">
        <v>2970</v>
      </c>
      <c r="B621" s="11" t="s">
        <v>336</v>
      </c>
      <c r="C621" s="11" t="s">
        <v>335</v>
      </c>
      <c r="D621" s="38" t="n">
        <v>46010</v>
      </c>
      <c r="E621" s="38" t="n">
        <v>46055</v>
      </c>
      <c r="F621" s="37" t="n">
        <v>4720</v>
      </c>
      <c r="G621" s="37" t="n">
        <v>944</v>
      </c>
      <c r="H621" s="37" t="n">
        <v>5664</v>
      </c>
      <c r="I621" s="11" t="s">
        <v>283</v>
      </c>
      <c r="J621" s="11"/>
      <c r="K621" s="11" t="s">
        <v>4152</v>
      </c>
      <c r="L621" s="38" t="n">
        <v>46062</v>
      </c>
      <c r="M621" s="11" t="n">
        <v>7</v>
      </c>
      <c r="N621" s="11"/>
      <c r="O621" s="11"/>
    </row>
    <row r="622" customFormat="false" ht="15" hidden="false" customHeight="false" outlineLevel="0" collapsed="false">
      <c r="A622" s="11" t="s">
        <v>2990</v>
      </c>
      <c r="B622" s="11" t="s">
        <v>332</v>
      </c>
      <c r="C622" s="11" t="s">
        <v>331</v>
      </c>
      <c r="D622" s="38" t="n">
        <v>46010</v>
      </c>
      <c r="E622" s="38" t="n">
        <v>46055</v>
      </c>
      <c r="F622" s="37" t="n">
        <v>8200</v>
      </c>
      <c r="G622" s="37" t="n">
        <v>1640</v>
      </c>
      <c r="H622" s="37" t="n">
        <v>9840</v>
      </c>
      <c r="I622" s="11" t="s">
        <v>283</v>
      </c>
      <c r="J622" s="11"/>
      <c r="K622" s="11" t="s">
        <v>4152</v>
      </c>
      <c r="L622" s="38" t="n">
        <v>46069</v>
      </c>
      <c r="M622" s="11" t="n">
        <v>14</v>
      </c>
      <c r="N622" s="11"/>
      <c r="O622" s="11"/>
    </row>
    <row r="623" customFormat="false" ht="15" hidden="false" customHeight="false" outlineLevel="0" collapsed="false">
      <c r="A623" s="11" t="s">
        <v>2879</v>
      </c>
      <c r="B623" s="11" t="s">
        <v>288</v>
      </c>
      <c r="C623" s="11" t="s">
        <v>287</v>
      </c>
      <c r="D623" s="38" t="n">
        <v>46010</v>
      </c>
      <c r="E623" s="38" t="n">
        <v>46040</v>
      </c>
      <c r="F623" s="37" t="n">
        <v>3650</v>
      </c>
      <c r="G623" s="37" t="n">
        <v>730</v>
      </c>
      <c r="H623" s="37" t="n">
        <v>4380</v>
      </c>
      <c r="I623" s="11" t="s">
        <v>283</v>
      </c>
      <c r="J623" s="11"/>
      <c r="K623" s="11" t="s">
        <v>4152</v>
      </c>
      <c r="L623" s="38" t="n">
        <v>46042</v>
      </c>
      <c r="M623" s="11" t="n">
        <v>2</v>
      </c>
      <c r="N623" s="11"/>
      <c r="O623" s="11"/>
    </row>
    <row r="624" customFormat="false" ht="15" hidden="false" customHeight="false" outlineLevel="0" collapsed="false">
      <c r="A624" s="11" t="s">
        <v>3158</v>
      </c>
      <c r="B624" s="11" t="s">
        <v>328</v>
      </c>
      <c r="C624" s="11" t="s">
        <v>327</v>
      </c>
      <c r="D624" s="38" t="n">
        <v>46010</v>
      </c>
      <c r="E624" s="38" t="n">
        <v>46070</v>
      </c>
      <c r="F624" s="37" t="n">
        <v>16510</v>
      </c>
      <c r="G624" s="37" t="n">
        <v>3302</v>
      </c>
      <c r="H624" s="37" t="n">
        <v>19812</v>
      </c>
      <c r="I624" s="11" t="s">
        <v>283</v>
      </c>
      <c r="J624" s="11"/>
      <c r="K624" s="11" t="s">
        <v>4152</v>
      </c>
      <c r="L624" s="38" t="n">
        <v>46104</v>
      </c>
      <c r="M624" s="11" t="n">
        <v>34</v>
      </c>
      <c r="N624" s="11"/>
      <c r="O624" s="11"/>
    </row>
    <row r="625" customFormat="false" ht="15" hidden="false" customHeight="false" outlineLevel="0" collapsed="false">
      <c r="A625" s="11" t="s">
        <v>3022</v>
      </c>
      <c r="B625" s="11" t="s">
        <v>332</v>
      </c>
      <c r="C625" s="11" t="s">
        <v>331</v>
      </c>
      <c r="D625" s="38" t="n">
        <v>46010</v>
      </c>
      <c r="E625" s="38" t="n">
        <v>46055</v>
      </c>
      <c r="F625" s="37" t="n">
        <v>7880</v>
      </c>
      <c r="G625" s="37" t="n">
        <v>1576</v>
      </c>
      <c r="H625" s="37" t="n">
        <v>9456</v>
      </c>
      <c r="I625" s="11" t="s">
        <v>283</v>
      </c>
      <c r="J625" s="11"/>
      <c r="K625" s="11" t="s">
        <v>4152</v>
      </c>
      <c r="L625" s="38" t="n">
        <v>46076</v>
      </c>
      <c r="M625" s="11" t="n">
        <v>21</v>
      </c>
      <c r="N625" s="11"/>
      <c r="O625" s="11"/>
    </row>
    <row r="626" customFormat="false" ht="15" hidden="false" customHeight="false" outlineLevel="0" collapsed="false">
      <c r="A626" s="11" t="s">
        <v>2882</v>
      </c>
      <c r="B626" s="11" t="s">
        <v>324</v>
      </c>
      <c r="C626" s="11" t="s">
        <v>323</v>
      </c>
      <c r="D626" s="38" t="n">
        <v>46010</v>
      </c>
      <c r="E626" s="38" t="n">
        <v>46040</v>
      </c>
      <c r="F626" s="37" t="n">
        <v>2110</v>
      </c>
      <c r="G626" s="37" t="n">
        <v>422</v>
      </c>
      <c r="H626" s="37" t="n">
        <v>2532</v>
      </c>
      <c r="I626" s="11" t="s">
        <v>283</v>
      </c>
      <c r="J626" s="11"/>
      <c r="K626" s="11" t="s">
        <v>4152</v>
      </c>
      <c r="L626" s="38" t="n">
        <v>46043</v>
      </c>
      <c r="M626" s="11" t="n">
        <v>3</v>
      </c>
      <c r="N626" s="11"/>
      <c r="O626" s="11"/>
    </row>
    <row r="627" customFormat="false" ht="15" hidden="false" customHeight="false" outlineLevel="0" collapsed="false">
      <c r="A627" s="11" t="s">
        <v>2980</v>
      </c>
      <c r="B627" s="11" t="s">
        <v>336</v>
      </c>
      <c r="C627" s="11" t="s">
        <v>335</v>
      </c>
      <c r="D627" s="38" t="n">
        <v>46013</v>
      </c>
      <c r="E627" s="38" t="n">
        <v>46058</v>
      </c>
      <c r="F627" s="37" t="n">
        <v>2500</v>
      </c>
      <c r="G627" s="37" t="n">
        <v>500</v>
      </c>
      <c r="H627" s="37" t="n">
        <v>3000</v>
      </c>
      <c r="I627" s="11" t="s">
        <v>283</v>
      </c>
      <c r="J627" s="11"/>
      <c r="K627" s="11" t="s">
        <v>4152</v>
      </c>
      <c r="L627" s="38" t="n">
        <v>46066</v>
      </c>
      <c r="M627" s="11" t="n">
        <v>8</v>
      </c>
      <c r="N627" s="11"/>
      <c r="O627" s="11"/>
    </row>
    <row r="628" customFormat="false" ht="15" hidden="false" customHeight="false" outlineLevel="0" collapsed="false">
      <c r="A628" s="11" t="s">
        <v>2975</v>
      </c>
      <c r="B628" s="11" t="s">
        <v>336</v>
      </c>
      <c r="C628" s="11" t="s">
        <v>335</v>
      </c>
      <c r="D628" s="38" t="n">
        <v>46013</v>
      </c>
      <c r="E628" s="38" t="n">
        <v>46058</v>
      </c>
      <c r="F628" s="37" t="n">
        <v>8100</v>
      </c>
      <c r="G628" s="37" t="n">
        <v>1620</v>
      </c>
      <c r="H628" s="37" t="n">
        <v>9720</v>
      </c>
      <c r="I628" s="11" t="s">
        <v>283</v>
      </c>
      <c r="J628" s="11"/>
      <c r="K628" s="11" t="s">
        <v>4152</v>
      </c>
      <c r="L628" s="38" t="n">
        <v>46063</v>
      </c>
      <c r="M628" s="11" t="n">
        <v>5</v>
      </c>
      <c r="N628" s="11"/>
      <c r="O628" s="11"/>
    </row>
    <row r="629" customFormat="false" ht="15" hidden="false" customHeight="false" outlineLevel="0" collapsed="false">
      <c r="A629" s="11" t="s">
        <v>2955</v>
      </c>
      <c r="B629" s="11" t="s">
        <v>281</v>
      </c>
      <c r="C629" s="11" t="s">
        <v>280</v>
      </c>
      <c r="D629" s="38" t="n">
        <v>46014</v>
      </c>
      <c r="E629" s="38" t="n">
        <v>46059</v>
      </c>
      <c r="F629" s="37" t="n">
        <v>6750</v>
      </c>
      <c r="G629" s="37" t="n">
        <v>1350</v>
      </c>
      <c r="H629" s="37" t="n">
        <v>8100</v>
      </c>
      <c r="I629" s="11" t="s">
        <v>283</v>
      </c>
      <c r="J629" s="11"/>
      <c r="K629" s="11" t="s">
        <v>4152</v>
      </c>
      <c r="L629" s="38" t="n">
        <v>46059</v>
      </c>
      <c r="M629" s="11" t="n">
        <v>0</v>
      </c>
      <c r="N629" s="11"/>
      <c r="O629" s="11"/>
    </row>
    <row r="630" customFormat="false" ht="15" hidden="false" customHeight="false" outlineLevel="0" collapsed="false">
      <c r="A630" s="11" t="s">
        <v>2934</v>
      </c>
      <c r="B630" s="11" t="s">
        <v>324</v>
      </c>
      <c r="C630" s="11" t="s">
        <v>323</v>
      </c>
      <c r="D630" s="38" t="n">
        <v>46014</v>
      </c>
      <c r="E630" s="38" t="n">
        <v>46044</v>
      </c>
      <c r="F630" s="37" t="n">
        <v>5110</v>
      </c>
      <c r="G630" s="37" t="n">
        <v>1022</v>
      </c>
      <c r="H630" s="37" t="n">
        <v>6132</v>
      </c>
      <c r="I630" s="11" t="s">
        <v>283</v>
      </c>
      <c r="J630" s="11"/>
      <c r="K630" s="11" t="s">
        <v>4152</v>
      </c>
      <c r="L630" s="38" t="n">
        <v>46055</v>
      </c>
      <c r="M630" s="11" t="n">
        <v>11</v>
      </c>
      <c r="N630" s="11"/>
      <c r="O630" s="11"/>
    </row>
    <row r="631" customFormat="false" ht="15" hidden="false" customHeight="false" outlineLevel="0" collapsed="false">
      <c r="A631" s="11" t="s">
        <v>3056</v>
      </c>
      <c r="B631" s="11" t="s">
        <v>299</v>
      </c>
      <c r="C631" s="11" t="s">
        <v>298</v>
      </c>
      <c r="D631" s="38" t="n">
        <v>46015</v>
      </c>
      <c r="E631" s="38" t="n">
        <v>46075</v>
      </c>
      <c r="F631" s="37" t="n">
        <v>15090</v>
      </c>
      <c r="G631" s="37" t="n">
        <v>0</v>
      </c>
      <c r="H631" s="37" t="n">
        <v>15090</v>
      </c>
      <c r="I631" s="11" t="s">
        <v>283</v>
      </c>
      <c r="J631" s="11"/>
      <c r="K631" s="11" t="s">
        <v>4152</v>
      </c>
      <c r="L631" s="38" t="n">
        <v>46080</v>
      </c>
      <c r="M631" s="11" t="n">
        <v>5</v>
      </c>
      <c r="N631" s="11"/>
      <c r="O631" s="11"/>
    </row>
    <row r="632" customFormat="false" ht="15" hidden="false" customHeight="false" outlineLevel="0" collapsed="false">
      <c r="A632" s="11" t="s">
        <v>2962</v>
      </c>
      <c r="B632" s="11" t="s">
        <v>281</v>
      </c>
      <c r="C632" s="11" t="s">
        <v>280</v>
      </c>
      <c r="D632" s="38" t="n">
        <v>46015</v>
      </c>
      <c r="E632" s="38" t="n">
        <v>46060</v>
      </c>
      <c r="F632" s="37" t="n">
        <v>5460</v>
      </c>
      <c r="G632" s="37" t="n">
        <v>1092</v>
      </c>
      <c r="H632" s="37" t="n">
        <v>6552</v>
      </c>
      <c r="I632" s="11" t="s">
        <v>283</v>
      </c>
      <c r="J632" s="11"/>
      <c r="K632" s="11" t="s">
        <v>4152</v>
      </c>
      <c r="L632" s="38" t="n">
        <v>46062</v>
      </c>
      <c r="M632" s="11" t="n">
        <v>2</v>
      </c>
      <c r="N632" s="11"/>
      <c r="O632" s="11"/>
    </row>
    <row r="633" customFormat="false" ht="15" hidden="false" customHeight="false" outlineLevel="0" collapsed="false">
      <c r="A633" s="11" t="s">
        <v>2871</v>
      </c>
      <c r="B633" s="11" t="s">
        <v>288</v>
      </c>
      <c r="C633" s="11" t="s">
        <v>287</v>
      </c>
      <c r="D633" s="38" t="n">
        <v>46015</v>
      </c>
      <c r="E633" s="38" t="n">
        <v>46045</v>
      </c>
      <c r="F633" s="37" t="n">
        <v>5480</v>
      </c>
      <c r="G633" s="37" t="n">
        <v>1096</v>
      </c>
      <c r="H633" s="37" t="n">
        <v>6576</v>
      </c>
      <c r="I633" s="11" t="s">
        <v>283</v>
      </c>
      <c r="J633" s="11"/>
      <c r="K633" s="11" t="s">
        <v>4152</v>
      </c>
      <c r="L633" s="38" t="n">
        <v>46041</v>
      </c>
      <c r="M633" s="11" t="n">
        <v>-4</v>
      </c>
      <c r="N633" s="11"/>
      <c r="O633" s="11"/>
    </row>
    <row r="634" customFormat="false" ht="15" hidden="false" customHeight="false" outlineLevel="0" collapsed="false">
      <c r="A634" s="11" t="s">
        <v>2966</v>
      </c>
      <c r="B634" s="11" t="s">
        <v>281</v>
      </c>
      <c r="C634" s="11" t="s">
        <v>280</v>
      </c>
      <c r="D634" s="38" t="n">
        <v>46015</v>
      </c>
      <c r="E634" s="38" t="n">
        <v>46060</v>
      </c>
      <c r="F634" s="37" t="n">
        <v>4370</v>
      </c>
      <c r="G634" s="37" t="n">
        <v>874</v>
      </c>
      <c r="H634" s="37" t="n">
        <v>5244</v>
      </c>
      <c r="I634" s="11" t="s">
        <v>283</v>
      </c>
      <c r="J634" s="11"/>
      <c r="K634" s="11" t="s">
        <v>4152</v>
      </c>
      <c r="L634" s="38" t="n">
        <v>46062</v>
      </c>
      <c r="M634" s="11" t="n">
        <v>2</v>
      </c>
      <c r="N634" s="11"/>
      <c r="O634" s="11"/>
    </row>
    <row r="635" customFormat="false" ht="15" hidden="false" customHeight="false" outlineLevel="0" collapsed="false">
      <c r="A635" s="11" t="s">
        <v>3126</v>
      </c>
      <c r="B635" s="11" t="s">
        <v>328</v>
      </c>
      <c r="C635" s="11" t="s">
        <v>327</v>
      </c>
      <c r="D635" s="38" t="n">
        <v>46017</v>
      </c>
      <c r="E635" s="38" t="n">
        <v>46077</v>
      </c>
      <c r="F635" s="37" t="n">
        <v>15960</v>
      </c>
      <c r="G635" s="37" t="n">
        <v>3192</v>
      </c>
      <c r="H635" s="37" t="n">
        <v>19152</v>
      </c>
      <c r="I635" s="11" t="s">
        <v>283</v>
      </c>
      <c r="J635" s="11"/>
      <c r="K635" s="11" t="s">
        <v>4152</v>
      </c>
      <c r="L635" s="38" t="n">
        <v>46097</v>
      </c>
      <c r="M635" s="11" t="n">
        <v>20</v>
      </c>
      <c r="N635" s="11"/>
      <c r="O635" s="11"/>
    </row>
    <row r="636" customFormat="false" ht="15" hidden="false" customHeight="false" outlineLevel="0" collapsed="false">
      <c r="A636" s="11" t="s">
        <v>2968</v>
      </c>
      <c r="B636" s="11" t="s">
        <v>281</v>
      </c>
      <c r="C636" s="11" t="s">
        <v>280</v>
      </c>
      <c r="D636" s="38" t="n">
        <v>46017</v>
      </c>
      <c r="E636" s="38" t="n">
        <v>46062</v>
      </c>
      <c r="F636" s="37" t="n">
        <v>8050</v>
      </c>
      <c r="G636" s="37" t="n">
        <v>1610</v>
      </c>
      <c r="H636" s="37" t="n">
        <v>9660</v>
      </c>
      <c r="I636" s="11" t="s">
        <v>283</v>
      </c>
      <c r="J636" s="11"/>
      <c r="K636" s="11" t="s">
        <v>4152</v>
      </c>
      <c r="L636" s="38" t="n">
        <v>46062</v>
      </c>
      <c r="M636" s="11" t="n">
        <v>0</v>
      </c>
      <c r="N636" s="11"/>
      <c r="O636" s="11"/>
    </row>
    <row r="637" customFormat="false" ht="15" hidden="false" customHeight="false" outlineLevel="0" collapsed="false">
      <c r="A637" s="11" t="s">
        <v>3060</v>
      </c>
      <c r="B637" s="11" t="s">
        <v>350</v>
      </c>
      <c r="C637" s="11" t="s">
        <v>349</v>
      </c>
      <c r="D637" s="38" t="n">
        <v>46020</v>
      </c>
      <c r="E637" s="38" t="n">
        <v>46080</v>
      </c>
      <c r="F637" s="37" t="n">
        <v>10620</v>
      </c>
      <c r="G637" s="37" t="n">
        <v>2124</v>
      </c>
      <c r="H637" s="37" t="n">
        <v>12744</v>
      </c>
      <c r="I637" s="11" t="s">
        <v>283</v>
      </c>
      <c r="J637" s="11"/>
      <c r="K637" s="11" t="s">
        <v>4152</v>
      </c>
      <c r="L637" s="38" t="n">
        <v>46083</v>
      </c>
      <c r="M637" s="11" t="n">
        <v>3</v>
      </c>
      <c r="N637" s="11"/>
      <c r="O637" s="11"/>
    </row>
    <row r="638" customFormat="false" ht="15" hidden="false" customHeight="false" outlineLevel="0" collapsed="false">
      <c r="A638" s="11" t="s">
        <v>3014</v>
      </c>
      <c r="B638" s="11" t="s">
        <v>336</v>
      </c>
      <c r="C638" s="11" t="s">
        <v>335</v>
      </c>
      <c r="D638" s="38" t="n">
        <v>46021</v>
      </c>
      <c r="E638" s="38" t="n">
        <v>46066</v>
      </c>
      <c r="F638" s="37" t="n">
        <v>11320</v>
      </c>
      <c r="G638" s="37" t="n">
        <v>2264</v>
      </c>
      <c r="H638" s="37" t="n">
        <v>13584</v>
      </c>
      <c r="I638" s="11" t="s">
        <v>283</v>
      </c>
      <c r="J638" s="11"/>
      <c r="K638" s="11" t="s">
        <v>4152</v>
      </c>
      <c r="L638" s="38" t="n">
        <v>46073</v>
      </c>
      <c r="M638" s="11" t="n">
        <v>7</v>
      </c>
      <c r="N638" s="11"/>
      <c r="O638" s="11"/>
    </row>
    <row r="639" customFormat="false" ht="15" hidden="false" customHeight="false" outlineLevel="0" collapsed="false">
      <c r="A639" s="11" t="s">
        <v>2922</v>
      </c>
      <c r="B639" s="11" t="s">
        <v>324</v>
      </c>
      <c r="C639" s="11" t="s">
        <v>323</v>
      </c>
      <c r="D639" s="38" t="n">
        <v>46022</v>
      </c>
      <c r="E639" s="38" t="n">
        <v>46052</v>
      </c>
      <c r="F639" s="37" t="n">
        <v>9860</v>
      </c>
      <c r="G639" s="37" t="n">
        <v>1972</v>
      </c>
      <c r="H639" s="37" t="n">
        <v>11832</v>
      </c>
      <c r="I639" s="11" t="s">
        <v>283</v>
      </c>
      <c r="J639" s="11"/>
      <c r="K639" s="11" t="s">
        <v>4152</v>
      </c>
      <c r="L639" s="38" t="n">
        <v>46055</v>
      </c>
      <c r="M639" s="11" t="n">
        <v>3</v>
      </c>
      <c r="N639" s="11"/>
      <c r="O639" s="11"/>
    </row>
    <row r="640" customFormat="false" ht="15" hidden="false" customHeight="false" outlineLevel="0" collapsed="false">
      <c r="A640" s="11" t="s">
        <v>3160</v>
      </c>
      <c r="B640" s="11" t="s">
        <v>332</v>
      </c>
      <c r="C640" s="11" t="s">
        <v>331</v>
      </c>
      <c r="D640" s="38" t="n">
        <v>46022</v>
      </c>
      <c r="E640" s="38" t="n">
        <v>46067</v>
      </c>
      <c r="F640" s="37" t="n">
        <v>16030</v>
      </c>
      <c r="G640" s="37" t="n">
        <v>3206</v>
      </c>
      <c r="H640" s="37" t="n">
        <v>19236</v>
      </c>
      <c r="I640" s="11" t="s">
        <v>283</v>
      </c>
      <c r="J640" s="11"/>
      <c r="K640" s="11" t="s">
        <v>4152</v>
      </c>
      <c r="L640" s="38" t="n">
        <v>46104</v>
      </c>
      <c r="M640" s="11" t="n">
        <v>37</v>
      </c>
      <c r="N640" s="11"/>
      <c r="O640" s="11"/>
    </row>
    <row r="641" customFormat="false" ht="15" hidden="false" customHeight="false" outlineLevel="0" collapsed="false">
      <c r="A641" s="11" t="s">
        <v>2926</v>
      </c>
      <c r="B641" s="11" t="s">
        <v>400</v>
      </c>
      <c r="C641" s="11" t="s">
        <v>399</v>
      </c>
      <c r="D641" s="38" t="n">
        <v>46022</v>
      </c>
      <c r="E641" s="38" t="n">
        <v>46052</v>
      </c>
      <c r="F641" s="37" t="n">
        <v>17220</v>
      </c>
      <c r="G641" s="37" t="n">
        <v>3444</v>
      </c>
      <c r="H641" s="37" t="n">
        <v>20664</v>
      </c>
      <c r="I641" s="11" t="s">
        <v>283</v>
      </c>
      <c r="J641" s="11"/>
      <c r="K641" s="11" t="s">
        <v>4152</v>
      </c>
      <c r="L641" s="38" t="n">
        <v>46055</v>
      </c>
      <c r="M641" s="11" t="n">
        <v>3</v>
      </c>
      <c r="N641" s="11"/>
      <c r="O641" s="11"/>
    </row>
    <row r="642" customFormat="false" ht="15" hidden="false" customHeight="false" outlineLevel="0" collapsed="false">
      <c r="A642" s="11" t="s">
        <v>3076</v>
      </c>
      <c r="B642" s="11" t="s">
        <v>350</v>
      </c>
      <c r="C642" s="11" t="s">
        <v>349</v>
      </c>
      <c r="D642" s="38" t="n">
        <v>46024</v>
      </c>
      <c r="E642" s="38" t="n">
        <v>46084</v>
      </c>
      <c r="F642" s="37" t="n">
        <v>21430</v>
      </c>
      <c r="G642" s="37" t="n">
        <v>4286</v>
      </c>
      <c r="H642" s="37" t="n">
        <v>25716</v>
      </c>
      <c r="I642" s="11" t="s">
        <v>283</v>
      </c>
      <c r="J642" s="11"/>
      <c r="K642" s="11" t="s">
        <v>4152</v>
      </c>
      <c r="L642" s="38" t="n">
        <v>46086</v>
      </c>
      <c r="M642" s="11" t="n">
        <v>2</v>
      </c>
      <c r="N642" s="11"/>
      <c r="O642" s="11"/>
    </row>
    <row r="643" customFormat="false" ht="15" hidden="false" customHeight="false" outlineLevel="0" collapsed="false">
      <c r="A643" s="11" t="s">
        <v>2997</v>
      </c>
      <c r="B643" s="11" t="s">
        <v>281</v>
      </c>
      <c r="C643" s="11" t="s">
        <v>280</v>
      </c>
      <c r="D643" s="38" t="n">
        <v>46024</v>
      </c>
      <c r="E643" s="38" t="n">
        <v>46069</v>
      </c>
      <c r="F643" s="37" t="n">
        <v>2990</v>
      </c>
      <c r="G643" s="37" t="n">
        <v>598</v>
      </c>
      <c r="H643" s="37" t="n">
        <v>3588</v>
      </c>
      <c r="I643" s="11" t="s">
        <v>283</v>
      </c>
      <c r="J643" s="11"/>
      <c r="K643" s="11" t="s">
        <v>4152</v>
      </c>
      <c r="L643" s="38" t="n">
        <v>46069</v>
      </c>
      <c r="M643" s="11" t="n">
        <v>0</v>
      </c>
      <c r="N643" s="11"/>
      <c r="O643" s="11"/>
    </row>
    <row r="644" customFormat="false" ht="15" hidden="false" customHeight="false" outlineLevel="0" collapsed="false">
      <c r="A644" s="11" t="s">
        <v>2949</v>
      </c>
      <c r="B644" s="11" t="s">
        <v>288</v>
      </c>
      <c r="C644" s="11" t="s">
        <v>287</v>
      </c>
      <c r="D644" s="38" t="n">
        <v>46024</v>
      </c>
      <c r="E644" s="38" t="n">
        <v>46054</v>
      </c>
      <c r="F644" s="37" t="n">
        <v>2800</v>
      </c>
      <c r="G644" s="37" t="n">
        <v>560</v>
      </c>
      <c r="H644" s="37" t="n">
        <v>3360</v>
      </c>
      <c r="I644" s="11" t="s">
        <v>283</v>
      </c>
      <c r="J644" s="11"/>
      <c r="K644" s="11" t="s">
        <v>4152</v>
      </c>
      <c r="L644" s="38" t="n">
        <v>46058</v>
      </c>
      <c r="M644" s="11" t="n">
        <v>4</v>
      </c>
      <c r="N644" s="11"/>
      <c r="O644" s="11"/>
    </row>
    <row r="645" customFormat="false" ht="15" hidden="false" customHeight="false" outlineLevel="0" collapsed="false">
      <c r="A645" s="11" t="s">
        <v>2994</v>
      </c>
      <c r="B645" s="11" t="s">
        <v>281</v>
      </c>
      <c r="C645" s="11" t="s">
        <v>280</v>
      </c>
      <c r="D645" s="38" t="n">
        <v>46024</v>
      </c>
      <c r="E645" s="38" t="n">
        <v>46069</v>
      </c>
      <c r="F645" s="37" t="n">
        <v>9730</v>
      </c>
      <c r="G645" s="37" t="n">
        <v>1946</v>
      </c>
      <c r="H645" s="37" t="n">
        <v>11676</v>
      </c>
      <c r="I645" s="11" t="s">
        <v>283</v>
      </c>
      <c r="J645" s="11"/>
      <c r="K645" s="11" t="s">
        <v>4152</v>
      </c>
      <c r="L645" s="38" t="n">
        <v>46069</v>
      </c>
      <c r="M645" s="11" t="n">
        <v>0</v>
      </c>
      <c r="N645" s="11"/>
      <c r="O645" s="11"/>
    </row>
    <row r="646" customFormat="false" ht="15" hidden="false" customHeight="false" outlineLevel="0" collapsed="false">
      <c r="A646" s="11" t="s">
        <v>3189</v>
      </c>
      <c r="B646" s="11" t="s">
        <v>328</v>
      </c>
      <c r="C646" s="11" t="s">
        <v>327</v>
      </c>
      <c r="D646" s="38" t="n">
        <v>46027</v>
      </c>
      <c r="E646" s="38" t="n">
        <v>46087</v>
      </c>
      <c r="F646" s="37" t="n">
        <v>19270</v>
      </c>
      <c r="G646" s="37" t="n">
        <v>3854</v>
      </c>
      <c r="H646" s="37" t="n">
        <v>23124</v>
      </c>
      <c r="I646" s="11" t="s">
        <v>283</v>
      </c>
      <c r="J646" s="11"/>
      <c r="K646" s="11" t="s">
        <v>4152</v>
      </c>
      <c r="L646" s="38" t="n">
        <v>46111</v>
      </c>
      <c r="M646" s="11" t="n">
        <v>24</v>
      </c>
      <c r="N646" s="11"/>
      <c r="O646" s="11"/>
    </row>
    <row r="647" customFormat="false" ht="15" hidden="false" customHeight="false" outlineLevel="0" collapsed="false">
      <c r="A647" s="11" t="s">
        <v>3103</v>
      </c>
      <c r="B647" s="11" t="s">
        <v>350</v>
      </c>
      <c r="C647" s="11" t="s">
        <v>349</v>
      </c>
      <c r="D647" s="38" t="n">
        <v>46028</v>
      </c>
      <c r="E647" s="38" t="n">
        <v>46088</v>
      </c>
      <c r="F647" s="37" t="n">
        <v>21260</v>
      </c>
      <c r="G647" s="37" t="n">
        <v>4252</v>
      </c>
      <c r="H647" s="37" t="n">
        <v>25512</v>
      </c>
      <c r="I647" s="11" t="s">
        <v>283</v>
      </c>
      <c r="J647" s="11"/>
      <c r="K647" s="11" t="s">
        <v>4152</v>
      </c>
      <c r="L647" s="38" t="n">
        <v>46091</v>
      </c>
      <c r="M647" s="11" t="n">
        <v>3</v>
      </c>
      <c r="N647" s="11"/>
      <c r="O647" s="11"/>
    </row>
    <row r="648" customFormat="false" ht="15" hidden="false" customHeight="false" outlineLevel="0" collapsed="false">
      <c r="A648" s="11" t="s">
        <v>3064</v>
      </c>
      <c r="B648" s="11" t="s">
        <v>336</v>
      </c>
      <c r="C648" s="11" t="s">
        <v>335</v>
      </c>
      <c r="D648" s="38" t="n">
        <v>46028</v>
      </c>
      <c r="E648" s="38" t="n">
        <v>46073</v>
      </c>
      <c r="F648" s="37" t="n">
        <v>8540</v>
      </c>
      <c r="G648" s="37" t="n">
        <v>1708</v>
      </c>
      <c r="H648" s="37" t="n">
        <v>10248</v>
      </c>
      <c r="I648" s="11" t="s">
        <v>283</v>
      </c>
      <c r="J648" s="11"/>
      <c r="K648" s="11" t="s">
        <v>4152</v>
      </c>
      <c r="L648" s="38" t="n">
        <v>46083</v>
      </c>
      <c r="M648" s="11" t="n">
        <v>10</v>
      </c>
      <c r="N648" s="11"/>
      <c r="O648" s="11"/>
    </row>
    <row r="649" customFormat="false" ht="15" hidden="false" customHeight="false" outlineLevel="0" collapsed="false">
      <c r="A649" s="11" t="s">
        <v>3156</v>
      </c>
      <c r="B649" s="11" t="s">
        <v>332</v>
      </c>
      <c r="C649" s="11" t="s">
        <v>331</v>
      </c>
      <c r="D649" s="38" t="n">
        <v>46029</v>
      </c>
      <c r="E649" s="38" t="n">
        <v>46074</v>
      </c>
      <c r="F649" s="37" t="n">
        <v>3990</v>
      </c>
      <c r="G649" s="37" t="n">
        <v>798</v>
      </c>
      <c r="H649" s="37" t="n">
        <v>4788</v>
      </c>
      <c r="I649" s="11" t="s">
        <v>283</v>
      </c>
      <c r="J649" s="11"/>
      <c r="K649" s="11" t="s">
        <v>4152</v>
      </c>
      <c r="L649" s="38" t="n">
        <v>46101</v>
      </c>
      <c r="M649" s="11" t="n">
        <v>27</v>
      </c>
      <c r="N649" s="11"/>
      <c r="O649" s="11"/>
    </row>
    <row r="650" customFormat="false" ht="15" hidden="false" customHeight="false" outlineLevel="0" collapsed="false">
      <c r="A650" s="11" t="s">
        <v>3024</v>
      </c>
      <c r="B650" s="11" t="s">
        <v>281</v>
      </c>
      <c r="C650" s="11" t="s">
        <v>280</v>
      </c>
      <c r="D650" s="38" t="n">
        <v>46030</v>
      </c>
      <c r="E650" s="38" t="n">
        <v>46075</v>
      </c>
      <c r="F650" s="37" t="n">
        <v>5660</v>
      </c>
      <c r="G650" s="37" t="n">
        <v>1132</v>
      </c>
      <c r="H650" s="37" t="n">
        <v>6792</v>
      </c>
      <c r="I650" s="11" t="s">
        <v>283</v>
      </c>
      <c r="J650" s="11"/>
      <c r="K650" s="11" t="s">
        <v>4152</v>
      </c>
      <c r="L650" s="38" t="n">
        <v>46076</v>
      </c>
      <c r="M650" s="11" t="n">
        <v>1</v>
      </c>
      <c r="N650" s="11"/>
      <c r="O650" s="11"/>
    </row>
    <row r="651" customFormat="false" ht="15" hidden="false" customHeight="false" outlineLevel="0" collapsed="false">
      <c r="A651" s="11" t="s">
        <v>3026</v>
      </c>
      <c r="B651" s="11" t="s">
        <v>336</v>
      </c>
      <c r="C651" s="11" t="s">
        <v>335</v>
      </c>
      <c r="D651" s="38" t="n">
        <v>46030</v>
      </c>
      <c r="E651" s="38" t="n">
        <v>46075</v>
      </c>
      <c r="F651" s="37" t="n">
        <v>7030</v>
      </c>
      <c r="G651" s="37" t="n">
        <v>1406</v>
      </c>
      <c r="H651" s="37" t="n">
        <v>8436</v>
      </c>
      <c r="I651" s="11" t="s">
        <v>283</v>
      </c>
      <c r="J651" s="11"/>
      <c r="K651" s="11" t="s">
        <v>4152</v>
      </c>
      <c r="L651" s="38" t="n">
        <v>46077</v>
      </c>
      <c r="M651" s="11" t="n">
        <v>2</v>
      </c>
      <c r="N651" s="11"/>
      <c r="O651" s="11"/>
    </row>
    <row r="652" customFormat="false" ht="15" hidden="false" customHeight="false" outlineLevel="0" collapsed="false">
      <c r="A652" s="11" t="s">
        <v>3110</v>
      </c>
      <c r="B652" s="11" t="s">
        <v>393</v>
      </c>
      <c r="C652" s="11" t="s">
        <v>392</v>
      </c>
      <c r="D652" s="38" t="n">
        <v>46030</v>
      </c>
      <c r="E652" s="38" t="n">
        <v>46080</v>
      </c>
      <c r="F652" s="37" t="n">
        <v>11300</v>
      </c>
      <c r="G652" s="37" t="n">
        <v>2260</v>
      </c>
      <c r="H652" s="37" t="n">
        <v>13560</v>
      </c>
      <c r="I652" s="11" t="s">
        <v>283</v>
      </c>
      <c r="J652" s="11"/>
      <c r="K652" s="11" t="s">
        <v>4152</v>
      </c>
      <c r="L652" s="38" t="n">
        <v>46093</v>
      </c>
      <c r="M652" s="11" t="n">
        <v>13</v>
      </c>
      <c r="N652" s="11"/>
      <c r="O652" s="11"/>
    </row>
    <row r="653" customFormat="false" ht="15" hidden="false" customHeight="false" outlineLevel="0" collapsed="false">
      <c r="A653" s="11" t="s">
        <v>3020</v>
      </c>
      <c r="B653" s="11" t="s">
        <v>324</v>
      </c>
      <c r="C653" s="11" t="s">
        <v>323</v>
      </c>
      <c r="D653" s="38" t="n">
        <v>46030</v>
      </c>
      <c r="E653" s="38" t="n">
        <v>46060</v>
      </c>
      <c r="F653" s="37" t="n">
        <v>6930</v>
      </c>
      <c r="G653" s="37" t="n">
        <v>1386</v>
      </c>
      <c r="H653" s="37" t="n">
        <v>8316</v>
      </c>
      <c r="I653" s="11" t="s">
        <v>283</v>
      </c>
      <c r="J653" s="11"/>
      <c r="K653" s="11" t="s">
        <v>4152</v>
      </c>
      <c r="L653" s="38" t="n">
        <v>46076</v>
      </c>
      <c r="M653" s="11" t="n">
        <v>16</v>
      </c>
      <c r="N653" s="11"/>
      <c r="O653" s="11"/>
    </row>
    <row r="654" customFormat="false" ht="15" hidden="false" customHeight="false" outlineLevel="0" collapsed="false">
      <c r="A654" s="11" t="s">
        <v>3268</v>
      </c>
      <c r="B654" s="11" t="s">
        <v>328</v>
      </c>
      <c r="C654" s="11" t="s">
        <v>327</v>
      </c>
      <c r="D654" s="38" t="n">
        <v>46031</v>
      </c>
      <c r="E654" s="38" t="n">
        <v>46091</v>
      </c>
      <c r="F654" s="37" t="n">
        <v>19840</v>
      </c>
      <c r="G654" s="37" t="n">
        <v>3968</v>
      </c>
      <c r="H654" s="37" t="n">
        <v>23808</v>
      </c>
      <c r="I654" s="11" t="s">
        <v>283</v>
      </c>
      <c r="J654" s="11"/>
      <c r="K654" s="11" t="s">
        <v>4152</v>
      </c>
      <c r="L654" s="38" t="n">
        <v>46125</v>
      </c>
      <c r="M654" s="11" t="n">
        <v>34</v>
      </c>
      <c r="N654" s="11"/>
      <c r="O654" s="11"/>
    </row>
    <row r="655" customFormat="false" ht="15" hidden="false" customHeight="false" outlineLevel="0" collapsed="false">
      <c r="A655" s="11" t="s">
        <v>3054</v>
      </c>
      <c r="B655" s="11" t="s">
        <v>336</v>
      </c>
      <c r="C655" s="11" t="s">
        <v>335</v>
      </c>
      <c r="D655" s="38" t="n">
        <v>46031</v>
      </c>
      <c r="E655" s="38" t="n">
        <v>46076</v>
      </c>
      <c r="F655" s="37" t="n">
        <v>4870</v>
      </c>
      <c r="G655" s="37" t="n">
        <v>974</v>
      </c>
      <c r="H655" s="37" t="n">
        <v>5844</v>
      </c>
      <c r="I655" s="11" t="s">
        <v>283</v>
      </c>
      <c r="J655" s="11"/>
      <c r="K655" s="11" t="s">
        <v>4152</v>
      </c>
      <c r="L655" s="38" t="n">
        <v>46080</v>
      </c>
      <c r="M655" s="11" t="n">
        <v>4</v>
      </c>
      <c r="N655" s="11"/>
      <c r="O655" s="11"/>
    </row>
    <row r="656" customFormat="false" ht="15" hidden="false" customHeight="false" outlineLevel="0" collapsed="false">
      <c r="A656" s="11" t="s">
        <v>3043</v>
      </c>
      <c r="B656" s="11" t="s">
        <v>281</v>
      </c>
      <c r="C656" s="11" t="s">
        <v>280</v>
      </c>
      <c r="D656" s="38" t="n">
        <v>46034</v>
      </c>
      <c r="E656" s="38" t="n">
        <v>46079</v>
      </c>
      <c r="F656" s="37" t="n">
        <v>4040</v>
      </c>
      <c r="G656" s="37" t="n">
        <v>808</v>
      </c>
      <c r="H656" s="37" t="n">
        <v>4848</v>
      </c>
      <c r="I656" s="11" t="s">
        <v>283</v>
      </c>
      <c r="J656" s="11"/>
      <c r="K656" s="11" t="s">
        <v>4152</v>
      </c>
      <c r="L656" s="38" t="n">
        <v>46079</v>
      </c>
      <c r="M656" s="11" t="n">
        <v>0</v>
      </c>
      <c r="N656" s="11"/>
      <c r="O656" s="11"/>
    </row>
    <row r="657" customFormat="false" ht="15" hidden="false" customHeight="false" outlineLevel="0" collapsed="false">
      <c r="A657" s="11" t="s">
        <v>3141</v>
      </c>
      <c r="B657" s="11" t="s">
        <v>332</v>
      </c>
      <c r="C657" s="11" t="s">
        <v>331</v>
      </c>
      <c r="D657" s="38" t="n">
        <v>46035</v>
      </c>
      <c r="E657" s="38" t="n">
        <v>46080</v>
      </c>
      <c r="F657" s="37" t="n">
        <v>11930</v>
      </c>
      <c r="G657" s="37" t="n">
        <v>2386</v>
      </c>
      <c r="H657" s="37" t="n">
        <v>14316</v>
      </c>
      <c r="I657" s="11" t="s">
        <v>283</v>
      </c>
      <c r="J657" s="11"/>
      <c r="K657" s="11" t="s">
        <v>4152</v>
      </c>
      <c r="L657" s="38" t="n">
        <v>46099</v>
      </c>
      <c r="M657" s="11" t="n">
        <v>19</v>
      </c>
      <c r="N657" s="11"/>
      <c r="O657" s="11"/>
    </row>
    <row r="658" customFormat="false" ht="15" hidden="false" customHeight="false" outlineLevel="0" collapsed="false">
      <c r="A658" s="11" t="s">
        <v>3087</v>
      </c>
      <c r="B658" s="11" t="s">
        <v>336</v>
      </c>
      <c r="C658" s="11" t="s">
        <v>335</v>
      </c>
      <c r="D658" s="38" t="n">
        <v>46037</v>
      </c>
      <c r="E658" s="38" t="n">
        <v>46082</v>
      </c>
      <c r="F658" s="37" t="n">
        <v>9000</v>
      </c>
      <c r="G658" s="37" t="n">
        <v>1800</v>
      </c>
      <c r="H658" s="37" t="n">
        <v>10800</v>
      </c>
      <c r="I658" s="11" t="s">
        <v>283</v>
      </c>
      <c r="J658" s="11"/>
      <c r="K658" s="11" t="s">
        <v>4152</v>
      </c>
      <c r="L658" s="38" t="n">
        <v>46087</v>
      </c>
      <c r="M658" s="11" t="n">
        <v>5</v>
      </c>
      <c r="N658" s="11"/>
      <c r="O658" s="11"/>
    </row>
    <row r="659" customFormat="false" ht="15" hidden="false" customHeight="false" outlineLevel="0" collapsed="false">
      <c r="A659" s="11" t="s">
        <v>3058</v>
      </c>
      <c r="B659" s="11" t="s">
        <v>281</v>
      </c>
      <c r="C659" s="11" t="s">
        <v>280</v>
      </c>
      <c r="D659" s="38" t="n">
        <v>46037</v>
      </c>
      <c r="E659" s="38" t="n">
        <v>46082</v>
      </c>
      <c r="F659" s="37" t="n">
        <v>6770</v>
      </c>
      <c r="G659" s="37" t="n">
        <v>1354</v>
      </c>
      <c r="H659" s="37" t="n">
        <v>8124</v>
      </c>
      <c r="I659" s="11" t="s">
        <v>283</v>
      </c>
      <c r="J659" s="11"/>
      <c r="K659" s="11" t="s">
        <v>4152</v>
      </c>
      <c r="L659" s="38" t="n">
        <v>46083</v>
      </c>
      <c r="M659" s="11" t="n">
        <v>1</v>
      </c>
      <c r="N659" s="11"/>
      <c r="O659" s="11"/>
    </row>
    <row r="660" customFormat="false" ht="15" hidden="false" customHeight="false" outlineLevel="0" collapsed="false">
      <c r="A660" s="11" t="s">
        <v>3181</v>
      </c>
      <c r="B660" s="11" t="s">
        <v>350</v>
      </c>
      <c r="C660" s="11" t="s">
        <v>349</v>
      </c>
      <c r="D660" s="38" t="n">
        <v>46037</v>
      </c>
      <c r="E660" s="38" t="n">
        <v>46097</v>
      </c>
      <c r="F660" s="37" t="n">
        <v>9170</v>
      </c>
      <c r="G660" s="37" t="n">
        <v>1834</v>
      </c>
      <c r="H660" s="37" t="n">
        <v>11004</v>
      </c>
      <c r="I660" s="11" t="s">
        <v>283</v>
      </c>
      <c r="J660" s="11"/>
      <c r="K660" s="11" t="s">
        <v>4152</v>
      </c>
      <c r="L660" s="38" t="n">
        <v>46111</v>
      </c>
      <c r="M660" s="11" t="n">
        <v>14</v>
      </c>
      <c r="N660" s="11"/>
      <c r="O660" s="11"/>
    </row>
    <row r="661" customFormat="false" ht="15" hidden="false" customHeight="false" outlineLevel="0" collapsed="false">
      <c r="A661" s="11" t="s">
        <v>3062</v>
      </c>
      <c r="B661" s="11" t="s">
        <v>281</v>
      </c>
      <c r="C661" s="11" t="s">
        <v>280</v>
      </c>
      <c r="D661" s="38" t="n">
        <v>46038</v>
      </c>
      <c r="E661" s="38" t="n">
        <v>46083</v>
      </c>
      <c r="F661" s="37" t="n">
        <v>5650</v>
      </c>
      <c r="G661" s="37" t="n">
        <v>1130</v>
      </c>
      <c r="H661" s="37" t="n">
        <v>6780</v>
      </c>
      <c r="I661" s="11" t="s">
        <v>283</v>
      </c>
      <c r="J661" s="11"/>
      <c r="K661" s="11" t="s">
        <v>4152</v>
      </c>
      <c r="L661" s="38" t="n">
        <v>46083</v>
      </c>
      <c r="M661" s="11" t="n">
        <v>0</v>
      </c>
      <c r="N661" s="11"/>
      <c r="O661" s="11"/>
    </row>
    <row r="662" customFormat="false" ht="15" hidden="false" customHeight="false" outlineLevel="0" collapsed="false">
      <c r="A662" s="11" t="s">
        <v>3089</v>
      </c>
      <c r="B662" s="11" t="s">
        <v>336</v>
      </c>
      <c r="C662" s="11" t="s">
        <v>335</v>
      </c>
      <c r="D662" s="38" t="n">
        <v>46038</v>
      </c>
      <c r="E662" s="38" t="n">
        <v>46083</v>
      </c>
      <c r="F662" s="37" t="n">
        <v>3850</v>
      </c>
      <c r="G662" s="37" t="n">
        <v>770</v>
      </c>
      <c r="H662" s="37" t="n">
        <v>4620</v>
      </c>
      <c r="I662" s="11" t="s">
        <v>283</v>
      </c>
      <c r="J662" s="11"/>
      <c r="K662" s="11" t="s">
        <v>4152</v>
      </c>
      <c r="L662" s="38" t="n">
        <v>46087</v>
      </c>
      <c r="M662" s="11" t="n">
        <v>4</v>
      </c>
      <c r="N662" s="11"/>
      <c r="O662" s="11"/>
    </row>
    <row r="663" customFormat="false" ht="15" hidden="false" customHeight="false" outlineLevel="0" collapsed="false">
      <c r="A663" s="11" t="s">
        <v>3008</v>
      </c>
      <c r="B663" s="11" t="s">
        <v>288</v>
      </c>
      <c r="C663" s="11" t="s">
        <v>287</v>
      </c>
      <c r="D663" s="38" t="n">
        <v>46038</v>
      </c>
      <c r="E663" s="38" t="n">
        <v>46068</v>
      </c>
      <c r="F663" s="37" t="n">
        <v>7140</v>
      </c>
      <c r="G663" s="37" t="n">
        <v>1428</v>
      </c>
      <c r="H663" s="37" t="n">
        <v>8568</v>
      </c>
      <c r="I663" s="11" t="s">
        <v>283</v>
      </c>
      <c r="J663" s="11"/>
      <c r="K663" s="11" t="s">
        <v>4152</v>
      </c>
      <c r="L663" s="38" t="n">
        <v>46072</v>
      </c>
      <c r="M663" s="11" t="n">
        <v>4</v>
      </c>
      <c r="N663" s="11"/>
      <c r="O663" s="11"/>
    </row>
    <row r="664" customFormat="false" ht="15" hidden="false" customHeight="false" outlineLevel="0" collapsed="false">
      <c r="A664" s="11" t="s">
        <v>3093</v>
      </c>
      <c r="B664" s="11" t="s">
        <v>336</v>
      </c>
      <c r="C664" s="11" t="s">
        <v>335</v>
      </c>
      <c r="D664" s="38" t="n">
        <v>46038</v>
      </c>
      <c r="E664" s="38" t="n">
        <v>46083</v>
      </c>
      <c r="F664" s="37" t="n">
        <v>4150</v>
      </c>
      <c r="G664" s="37" t="n">
        <v>830</v>
      </c>
      <c r="H664" s="37" t="n">
        <v>4980</v>
      </c>
      <c r="I664" s="11" t="s">
        <v>283</v>
      </c>
      <c r="J664" s="11"/>
      <c r="K664" s="11" t="s">
        <v>4152</v>
      </c>
      <c r="L664" s="38" t="n">
        <v>46090</v>
      </c>
      <c r="M664" s="11" t="n">
        <v>7</v>
      </c>
      <c r="N664" s="11"/>
      <c r="O664" s="11"/>
    </row>
    <row r="665" customFormat="false" ht="15" hidden="false" customHeight="false" outlineLevel="0" collapsed="false">
      <c r="A665" s="11" t="s">
        <v>3130</v>
      </c>
      <c r="B665" s="11" t="s">
        <v>332</v>
      </c>
      <c r="C665" s="11" t="s">
        <v>331</v>
      </c>
      <c r="D665" s="38" t="n">
        <v>46038</v>
      </c>
      <c r="E665" s="38" t="n">
        <v>46083</v>
      </c>
      <c r="F665" s="37" t="n">
        <v>5570</v>
      </c>
      <c r="G665" s="37" t="n">
        <v>1114</v>
      </c>
      <c r="H665" s="37" t="n">
        <v>6684</v>
      </c>
      <c r="I665" s="11" t="s">
        <v>283</v>
      </c>
      <c r="J665" s="11"/>
      <c r="K665" s="11" t="s">
        <v>4152</v>
      </c>
      <c r="L665" s="38" t="n">
        <v>46097</v>
      </c>
      <c r="M665" s="11" t="n">
        <v>14</v>
      </c>
      <c r="N665" s="11"/>
      <c r="O665" s="11"/>
    </row>
    <row r="666" customFormat="false" ht="15" hidden="false" customHeight="false" outlineLevel="0" collapsed="false">
      <c r="A666" s="11" t="s">
        <v>3239</v>
      </c>
      <c r="B666" s="11" t="s">
        <v>350</v>
      </c>
      <c r="C666" s="11" t="s">
        <v>349</v>
      </c>
      <c r="D666" s="38" t="n">
        <v>46041</v>
      </c>
      <c r="E666" s="38" t="n">
        <v>46101</v>
      </c>
      <c r="F666" s="37" t="n">
        <v>7720</v>
      </c>
      <c r="G666" s="37" t="n">
        <v>1544</v>
      </c>
      <c r="H666" s="37" t="n">
        <v>9264</v>
      </c>
      <c r="I666" s="11" t="s">
        <v>283</v>
      </c>
      <c r="J666" s="11"/>
      <c r="K666" s="11" t="s">
        <v>4152</v>
      </c>
      <c r="L666" s="38" t="n">
        <v>46121</v>
      </c>
      <c r="M666" s="11" t="n">
        <v>20</v>
      </c>
      <c r="N666" s="11"/>
      <c r="O666" s="11"/>
    </row>
    <row r="667" customFormat="false" ht="15" hidden="false" customHeight="false" outlineLevel="0" collapsed="false">
      <c r="A667" s="11" t="s">
        <v>3072</v>
      </c>
      <c r="B667" s="11" t="s">
        <v>281</v>
      </c>
      <c r="C667" s="11" t="s">
        <v>280</v>
      </c>
      <c r="D667" s="38" t="n">
        <v>46041</v>
      </c>
      <c r="E667" s="38" t="n">
        <v>46086</v>
      </c>
      <c r="F667" s="37" t="n">
        <v>7690</v>
      </c>
      <c r="G667" s="37" t="n">
        <v>1538</v>
      </c>
      <c r="H667" s="37" t="n">
        <v>9228</v>
      </c>
      <c r="I667" s="11" t="s">
        <v>283</v>
      </c>
      <c r="J667" s="11"/>
      <c r="K667" s="11" t="s">
        <v>4152</v>
      </c>
      <c r="L667" s="38" t="n">
        <v>46086</v>
      </c>
      <c r="M667" s="11" t="n">
        <v>0</v>
      </c>
      <c r="N667" s="11"/>
      <c r="O667" s="11"/>
    </row>
    <row r="668" customFormat="false" ht="15" hidden="false" customHeight="false" outlineLevel="0" collapsed="false">
      <c r="A668" s="11" t="s">
        <v>3091</v>
      </c>
      <c r="B668" s="11" t="s">
        <v>281</v>
      </c>
      <c r="C668" s="11" t="s">
        <v>280</v>
      </c>
      <c r="D668" s="38" t="n">
        <v>46042</v>
      </c>
      <c r="E668" s="38" t="n">
        <v>46087</v>
      </c>
      <c r="F668" s="37" t="n">
        <v>2320</v>
      </c>
      <c r="G668" s="37" t="n">
        <v>464</v>
      </c>
      <c r="H668" s="37" t="n">
        <v>2784</v>
      </c>
      <c r="I668" s="11" t="s">
        <v>283</v>
      </c>
      <c r="J668" s="11"/>
      <c r="K668" s="11" t="s">
        <v>4152</v>
      </c>
      <c r="L668" s="38" t="n">
        <v>46087</v>
      </c>
      <c r="M668" s="11" t="n">
        <v>0</v>
      </c>
      <c r="N668" s="11"/>
      <c r="O668" s="11"/>
    </row>
    <row r="669" customFormat="false" ht="15" hidden="false" customHeight="false" outlineLevel="0" collapsed="false">
      <c r="A669" s="11" t="s">
        <v>3128</v>
      </c>
      <c r="B669" s="11" t="s">
        <v>332</v>
      </c>
      <c r="C669" s="11" t="s">
        <v>331</v>
      </c>
      <c r="D669" s="38" t="n">
        <v>46042</v>
      </c>
      <c r="E669" s="38" t="n">
        <v>46087</v>
      </c>
      <c r="F669" s="37" t="n">
        <v>8710</v>
      </c>
      <c r="G669" s="37" t="n">
        <v>1742</v>
      </c>
      <c r="H669" s="37" t="n">
        <v>10452</v>
      </c>
      <c r="I669" s="11" t="s">
        <v>283</v>
      </c>
      <c r="J669" s="11"/>
      <c r="K669" s="11" t="s">
        <v>4152</v>
      </c>
      <c r="L669" s="38" t="n">
        <v>46097</v>
      </c>
      <c r="M669" s="11" t="n">
        <v>10</v>
      </c>
      <c r="N669" s="11"/>
      <c r="O669" s="11"/>
    </row>
    <row r="670" customFormat="false" ht="15" hidden="false" customHeight="false" outlineLevel="0" collapsed="false">
      <c r="A670" s="11" t="s">
        <v>3045</v>
      </c>
      <c r="B670" s="11" t="s">
        <v>400</v>
      </c>
      <c r="C670" s="11" t="s">
        <v>399</v>
      </c>
      <c r="D670" s="38" t="n">
        <v>46043</v>
      </c>
      <c r="E670" s="38" t="n">
        <v>46073</v>
      </c>
      <c r="F670" s="37" t="n">
        <v>18180</v>
      </c>
      <c r="G670" s="37" t="n">
        <v>3636</v>
      </c>
      <c r="H670" s="37" t="n">
        <v>21816</v>
      </c>
      <c r="I670" s="11" t="s">
        <v>283</v>
      </c>
      <c r="J670" s="11"/>
      <c r="K670" s="11" t="s">
        <v>4152</v>
      </c>
      <c r="L670" s="38" t="n">
        <v>46079</v>
      </c>
      <c r="M670" s="11" t="n">
        <v>6</v>
      </c>
      <c r="N670" s="11"/>
      <c r="O670" s="11"/>
    </row>
    <row r="671" customFormat="false" ht="15" hidden="false" customHeight="false" outlineLevel="0" collapsed="false">
      <c r="A671" s="11" t="s">
        <v>3177</v>
      </c>
      <c r="B671" s="11" t="s">
        <v>299</v>
      </c>
      <c r="C671" s="11" t="s">
        <v>298</v>
      </c>
      <c r="D671" s="38" t="n">
        <v>46044</v>
      </c>
      <c r="E671" s="38" t="n">
        <v>46104</v>
      </c>
      <c r="F671" s="37" t="n">
        <v>8710</v>
      </c>
      <c r="G671" s="37" t="n">
        <v>0</v>
      </c>
      <c r="H671" s="37" t="n">
        <v>8710</v>
      </c>
      <c r="I671" s="11" t="s">
        <v>283</v>
      </c>
      <c r="J671" s="11"/>
      <c r="K671" s="11" t="s">
        <v>4152</v>
      </c>
      <c r="L671" s="38" t="n">
        <v>46111</v>
      </c>
      <c r="M671" s="11" t="n">
        <v>7</v>
      </c>
      <c r="N671" s="11"/>
      <c r="O671" s="11"/>
    </row>
    <row r="672" customFormat="false" ht="15" hidden="false" customHeight="false" outlineLevel="0" collapsed="false">
      <c r="A672" s="11" t="s">
        <v>3034</v>
      </c>
      <c r="B672" s="11" t="s">
        <v>288</v>
      </c>
      <c r="C672" s="11" t="s">
        <v>287</v>
      </c>
      <c r="D672" s="38" t="n">
        <v>46045</v>
      </c>
      <c r="E672" s="38" t="n">
        <v>46075</v>
      </c>
      <c r="F672" s="37" t="n">
        <v>2240</v>
      </c>
      <c r="G672" s="37" t="n">
        <v>448</v>
      </c>
      <c r="H672" s="37" t="n">
        <v>2688</v>
      </c>
      <c r="I672" s="11" t="s">
        <v>283</v>
      </c>
      <c r="J672" s="11"/>
      <c r="K672" s="11" t="s">
        <v>4152</v>
      </c>
      <c r="L672" s="38" t="n">
        <v>46078</v>
      </c>
      <c r="M672" s="11" t="n">
        <v>3</v>
      </c>
      <c r="N672" s="11"/>
      <c r="O672" s="11"/>
    </row>
    <row r="673" customFormat="false" ht="15" hidden="false" customHeight="false" outlineLevel="0" collapsed="false">
      <c r="A673" s="11" t="s">
        <v>3106</v>
      </c>
      <c r="B673" s="11" t="s">
        <v>336</v>
      </c>
      <c r="C673" s="11" t="s">
        <v>335</v>
      </c>
      <c r="D673" s="38" t="n">
        <v>46045</v>
      </c>
      <c r="E673" s="38" t="n">
        <v>46090</v>
      </c>
      <c r="F673" s="37" t="n">
        <v>6310</v>
      </c>
      <c r="G673" s="37" t="n">
        <v>1262</v>
      </c>
      <c r="H673" s="37" t="n">
        <v>7572</v>
      </c>
      <c r="I673" s="11" t="s">
        <v>283</v>
      </c>
      <c r="J673" s="11"/>
      <c r="K673" s="11" t="s">
        <v>4152</v>
      </c>
      <c r="L673" s="38" t="n">
        <v>46093</v>
      </c>
      <c r="M673" s="11" t="n">
        <v>3</v>
      </c>
      <c r="N673" s="11"/>
      <c r="O673" s="11"/>
    </row>
    <row r="674" customFormat="false" ht="15" hidden="false" customHeight="false" outlineLevel="0" collapsed="false">
      <c r="A674" s="11" t="s">
        <v>3098</v>
      </c>
      <c r="B674" s="11" t="s">
        <v>281</v>
      </c>
      <c r="C674" s="11" t="s">
        <v>280</v>
      </c>
      <c r="D674" s="38" t="n">
        <v>46045</v>
      </c>
      <c r="E674" s="38" t="n">
        <v>46090</v>
      </c>
      <c r="F674" s="37" t="n">
        <v>8640</v>
      </c>
      <c r="G674" s="37" t="n">
        <v>1728</v>
      </c>
      <c r="H674" s="37" t="n">
        <v>10368</v>
      </c>
      <c r="I674" s="11" t="s">
        <v>283</v>
      </c>
      <c r="J674" s="11"/>
      <c r="K674" s="11" t="s">
        <v>4152</v>
      </c>
      <c r="L674" s="38" t="n">
        <v>46090</v>
      </c>
      <c r="M674" s="11" t="n">
        <v>0</v>
      </c>
      <c r="N674" s="11"/>
      <c r="O674" s="11"/>
    </row>
    <row r="675" customFormat="false" ht="15" hidden="false" customHeight="false" outlineLevel="0" collapsed="false">
      <c r="A675" s="11" t="s">
        <v>3030</v>
      </c>
      <c r="B675" s="11" t="s">
        <v>288</v>
      </c>
      <c r="C675" s="11" t="s">
        <v>287</v>
      </c>
      <c r="D675" s="38" t="n">
        <v>46045</v>
      </c>
      <c r="E675" s="38" t="n">
        <v>46075</v>
      </c>
      <c r="F675" s="37" t="n">
        <v>3260</v>
      </c>
      <c r="G675" s="37" t="n">
        <v>652</v>
      </c>
      <c r="H675" s="37" t="n">
        <v>3912</v>
      </c>
      <c r="I675" s="11" t="s">
        <v>283</v>
      </c>
      <c r="J675" s="11"/>
      <c r="K675" s="11" t="s">
        <v>4152</v>
      </c>
      <c r="L675" s="38" t="n">
        <v>46078</v>
      </c>
      <c r="M675" s="11" t="n">
        <v>3</v>
      </c>
      <c r="N675" s="11"/>
      <c r="O675" s="11"/>
    </row>
    <row r="676" customFormat="false" ht="15" hidden="false" customHeight="false" outlineLevel="0" collapsed="false">
      <c r="A676" s="11" t="s">
        <v>3220</v>
      </c>
      <c r="B676" s="11" t="s">
        <v>328</v>
      </c>
      <c r="C676" s="11" t="s">
        <v>327</v>
      </c>
      <c r="D676" s="38" t="n">
        <v>46045</v>
      </c>
      <c r="E676" s="38" t="n">
        <v>46105</v>
      </c>
      <c r="F676" s="37" t="n">
        <v>18680</v>
      </c>
      <c r="G676" s="37" t="n">
        <v>3736</v>
      </c>
      <c r="H676" s="37" t="n">
        <v>22416</v>
      </c>
      <c r="I676" s="11" t="s">
        <v>283</v>
      </c>
      <c r="J676" s="11"/>
      <c r="K676" s="11" t="s">
        <v>4152</v>
      </c>
      <c r="L676" s="38" t="n">
        <v>46119</v>
      </c>
      <c r="M676" s="11" t="n">
        <v>14</v>
      </c>
      <c r="N676" s="11"/>
      <c r="O676" s="11"/>
    </row>
    <row r="677" customFormat="false" ht="15" hidden="false" customHeight="false" outlineLevel="0" collapsed="false">
      <c r="A677" s="11" t="s">
        <v>3006</v>
      </c>
      <c r="B677" s="11" t="s">
        <v>324</v>
      </c>
      <c r="C677" s="11" t="s">
        <v>323</v>
      </c>
      <c r="D677" s="38" t="n">
        <v>46045</v>
      </c>
      <c r="E677" s="38" t="n">
        <v>46075</v>
      </c>
      <c r="F677" s="37" t="n">
        <v>6240</v>
      </c>
      <c r="G677" s="37" t="n">
        <v>1248</v>
      </c>
      <c r="H677" s="37" t="n">
        <v>7488</v>
      </c>
      <c r="I677" s="11" t="s">
        <v>283</v>
      </c>
      <c r="J677" s="11"/>
      <c r="K677" s="11" t="s">
        <v>4152</v>
      </c>
      <c r="L677" s="38" t="n">
        <v>46072</v>
      </c>
      <c r="M677" s="11" t="n">
        <v>-3</v>
      </c>
      <c r="N677" s="11"/>
      <c r="O677" s="11"/>
    </row>
    <row r="678" customFormat="false" ht="15" hidden="false" customHeight="false" outlineLevel="0" collapsed="false">
      <c r="A678" s="11" t="s">
        <v>3276</v>
      </c>
      <c r="B678" s="11" t="s">
        <v>393</v>
      </c>
      <c r="C678" s="11" t="s">
        <v>392</v>
      </c>
      <c r="D678" s="38" t="n">
        <v>46048</v>
      </c>
      <c r="E678" s="38" t="n">
        <v>46098</v>
      </c>
      <c r="F678" s="37" t="n">
        <v>10360</v>
      </c>
      <c r="G678" s="37" t="n">
        <v>2072</v>
      </c>
      <c r="H678" s="37" t="n">
        <v>12432</v>
      </c>
      <c r="I678" s="11" t="s">
        <v>283</v>
      </c>
      <c r="J678" s="11"/>
      <c r="K678" s="11" t="s">
        <v>4152</v>
      </c>
      <c r="L678" s="38" t="n">
        <v>46126</v>
      </c>
      <c r="M678" s="11" t="n">
        <v>28</v>
      </c>
      <c r="N678" s="11"/>
      <c r="O678" s="11"/>
    </row>
    <row r="679" customFormat="false" ht="15" hidden="false" customHeight="false" outlineLevel="0" collapsed="false">
      <c r="A679" s="11" t="s">
        <v>3248</v>
      </c>
      <c r="B679" s="11" t="s">
        <v>328</v>
      </c>
      <c r="C679" s="11" t="s">
        <v>327</v>
      </c>
      <c r="D679" s="38" t="n">
        <v>46048</v>
      </c>
      <c r="E679" s="38" t="n">
        <v>46108</v>
      </c>
      <c r="F679" s="37" t="n">
        <v>10980</v>
      </c>
      <c r="G679" s="37" t="n">
        <v>2196</v>
      </c>
      <c r="H679" s="37" t="n">
        <v>13176</v>
      </c>
      <c r="I679" s="11" t="s">
        <v>283</v>
      </c>
      <c r="J679" s="11"/>
      <c r="K679" s="11" t="s">
        <v>4152</v>
      </c>
      <c r="L679" s="38" t="n">
        <v>46125</v>
      </c>
      <c r="M679" s="11" t="n">
        <v>17</v>
      </c>
      <c r="N679" s="11"/>
      <c r="O679" s="11"/>
    </row>
    <row r="680" customFormat="false" ht="15" hidden="false" customHeight="false" outlineLevel="0" collapsed="false">
      <c r="A680" s="11" t="s">
        <v>3313</v>
      </c>
      <c r="B680" s="11" t="s">
        <v>811</v>
      </c>
      <c r="C680" s="11" t="s">
        <v>810</v>
      </c>
      <c r="D680" s="38" t="n">
        <v>46048</v>
      </c>
      <c r="E680" s="38" t="n">
        <v>46093</v>
      </c>
      <c r="F680" s="37" t="n">
        <v>48000</v>
      </c>
      <c r="G680" s="37" t="n">
        <v>9600</v>
      </c>
      <c r="H680" s="37" t="n">
        <v>57600</v>
      </c>
      <c r="I680" s="11" t="s">
        <v>4218</v>
      </c>
      <c r="J680" s="11" t="s">
        <v>4217</v>
      </c>
      <c r="K680" s="11" t="s">
        <v>4152</v>
      </c>
      <c r="L680" s="38" t="n">
        <v>46135</v>
      </c>
      <c r="M680" s="11" t="n">
        <v>42</v>
      </c>
      <c r="N680" s="11"/>
      <c r="O680" s="11"/>
    </row>
    <row r="681" customFormat="false" ht="15" hidden="false" customHeight="false" outlineLevel="0" collapsed="false">
      <c r="A681" s="11" t="s">
        <v>3039</v>
      </c>
      <c r="B681" s="11" t="s">
        <v>288</v>
      </c>
      <c r="C681" s="11" t="s">
        <v>287</v>
      </c>
      <c r="D681" s="38" t="n">
        <v>46048</v>
      </c>
      <c r="E681" s="38" t="n">
        <v>46078</v>
      </c>
      <c r="F681" s="37" t="n">
        <v>2510</v>
      </c>
      <c r="G681" s="37" t="n">
        <v>502</v>
      </c>
      <c r="H681" s="37" t="n">
        <v>3012</v>
      </c>
      <c r="I681" s="11" t="s">
        <v>283</v>
      </c>
      <c r="J681" s="11"/>
      <c r="K681" s="11" t="s">
        <v>4152</v>
      </c>
      <c r="L681" s="38" t="n">
        <v>46078</v>
      </c>
      <c r="M681" s="11" t="n">
        <v>0</v>
      </c>
      <c r="N681" s="11"/>
      <c r="O681" s="11"/>
    </row>
    <row r="682" customFormat="false" ht="15" hidden="false" customHeight="false" outlineLevel="0" collapsed="false">
      <c r="A682" s="11" t="s">
        <v>3041</v>
      </c>
      <c r="B682" s="11" t="s">
        <v>288</v>
      </c>
      <c r="C682" s="11" t="s">
        <v>287</v>
      </c>
      <c r="D682" s="38" t="n">
        <v>46048</v>
      </c>
      <c r="E682" s="38" t="n">
        <v>46078</v>
      </c>
      <c r="F682" s="37" t="n">
        <v>3710</v>
      </c>
      <c r="G682" s="37" t="n">
        <v>742</v>
      </c>
      <c r="H682" s="37" t="n">
        <v>4452</v>
      </c>
      <c r="I682" s="11" t="s">
        <v>283</v>
      </c>
      <c r="J682" s="11"/>
      <c r="K682" s="11" t="s">
        <v>4152</v>
      </c>
      <c r="L682" s="38" t="n">
        <v>46078</v>
      </c>
      <c r="M682" s="11" t="n">
        <v>0</v>
      </c>
      <c r="N682" s="11"/>
      <c r="O682" s="11"/>
    </row>
    <row r="683" customFormat="false" ht="15" hidden="false" customHeight="false" outlineLevel="0" collapsed="false">
      <c r="A683" s="11" t="s">
        <v>3069</v>
      </c>
      <c r="B683" s="11" t="s">
        <v>324</v>
      </c>
      <c r="C683" s="11" t="s">
        <v>323</v>
      </c>
      <c r="D683" s="38" t="n">
        <v>46049</v>
      </c>
      <c r="E683" s="38" t="n">
        <v>46079</v>
      </c>
      <c r="F683" s="37" t="n">
        <v>8490</v>
      </c>
      <c r="G683" s="37" t="n">
        <v>1698</v>
      </c>
      <c r="H683" s="37" t="n">
        <v>10188</v>
      </c>
      <c r="I683" s="11" t="s">
        <v>283</v>
      </c>
      <c r="J683" s="11"/>
      <c r="K683" s="11" t="s">
        <v>4152</v>
      </c>
      <c r="L683" s="38" t="n">
        <v>46085</v>
      </c>
      <c r="M683" s="11" t="n">
        <v>6</v>
      </c>
      <c r="N683" s="11"/>
      <c r="O683" s="11"/>
    </row>
    <row r="684" customFormat="false" ht="15" hidden="false" customHeight="false" outlineLevel="0" collapsed="false">
      <c r="A684" s="11" t="s">
        <v>3203</v>
      </c>
      <c r="B684" s="11" t="s">
        <v>332</v>
      </c>
      <c r="C684" s="11" t="s">
        <v>331</v>
      </c>
      <c r="D684" s="38" t="n">
        <v>46049</v>
      </c>
      <c r="E684" s="38" t="n">
        <v>46094</v>
      </c>
      <c r="F684" s="37" t="n">
        <v>4980</v>
      </c>
      <c r="G684" s="37" t="n">
        <v>996</v>
      </c>
      <c r="H684" s="37" t="n">
        <v>5976</v>
      </c>
      <c r="I684" s="11" t="s">
        <v>283</v>
      </c>
      <c r="J684" s="11"/>
      <c r="K684" s="11" t="s">
        <v>4152</v>
      </c>
      <c r="L684" s="38" t="n">
        <v>46113</v>
      </c>
      <c r="M684" s="11" t="n">
        <v>19</v>
      </c>
      <c r="N684" s="11"/>
      <c r="O684" s="11"/>
    </row>
    <row r="685" customFormat="false" ht="15" hidden="false" customHeight="false" outlineLevel="0" collapsed="false">
      <c r="A685" s="11" t="s">
        <v>3100</v>
      </c>
      <c r="B685" s="11" t="s">
        <v>400</v>
      </c>
      <c r="C685" s="11" t="s">
        <v>399</v>
      </c>
      <c r="D685" s="38" t="n">
        <v>46049</v>
      </c>
      <c r="E685" s="38" t="n">
        <v>46079</v>
      </c>
      <c r="F685" s="37" t="n">
        <v>8910</v>
      </c>
      <c r="G685" s="37" t="n">
        <v>1782</v>
      </c>
      <c r="H685" s="37" t="n">
        <v>10692</v>
      </c>
      <c r="I685" s="11" t="s">
        <v>283</v>
      </c>
      <c r="J685" s="11"/>
      <c r="K685" s="11" t="s">
        <v>4152</v>
      </c>
      <c r="L685" s="38" t="n">
        <v>46091</v>
      </c>
      <c r="M685" s="11" t="n">
        <v>12</v>
      </c>
      <c r="N685" s="11"/>
      <c r="O685" s="11"/>
    </row>
    <row r="686" customFormat="false" ht="15" hidden="false" customHeight="false" outlineLevel="0" collapsed="false">
      <c r="A686" s="11" t="s">
        <v>3375</v>
      </c>
      <c r="B686" s="11" t="s">
        <v>328</v>
      </c>
      <c r="C686" s="11" t="s">
        <v>327</v>
      </c>
      <c r="D686" s="38" t="n">
        <v>46051</v>
      </c>
      <c r="E686" s="38" t="n">
        <v>46111</v>
      </c>
      <c r="F686" s="37" t="n">
        <v>23310</v>
      </c>
      <c r="G686" s="37" t="n">
        <v>4662</v>
      </c>
      <c r="H686" s="37" t="n">
        <v>27972</v>
      </c>
      <c r="I686" s="11" t="s">
        <v>283</v>
      </c>
      <c r="J686" s="11"/>
      <c r="K686" s="11" t="s">
        <v>4152</v>
      </c>
      <c r="L686" s="38" t="n">
        <v>46146</v>
      </c>
      <c r="M686" s="11" t="n">
        <v>35</v>
      </c>
      <c r="N686" s="11"/>
      <c r="O686" s="11"/>
    </row>
    <row r="687" customFormat="false" ht="15" hidden="false" customHeight="false" outlineLevel="0" collapsed="false">
      <c r="A687" s="11" t="s">
        <v>3132</v>
      </c>
      <c r="B687" s="11" t="s">
        <v>281</v>
      </c>
      <c r="C687" s="11" t="s">
        <v>280</v>
      </c>
      <c r="D687" s="38" t="n">
        <v>46051</v>
      </c>
      <c r="E687" s="38" t="n">
        <v>46096</v>
      </c>
      <c r="F687" s="37" t="n">
        <v>11500</v>
      </c>
      <c r="G687" s="37" t="n">
        <v>2300</v>
      </c>
      <c r="H687" s="37" t="n">
        <v>13800</v>
      </c>
      <c r="I687" s="11" t="s">
        <v>283</v>
      </c>
      <c r="J687" s="11"/>
      <c r="K687" s="11" t="s">
        <v>4152</v>
      </c>
      <c r="L687" s="38" t="n">
        <v>46097</v>
      </c>
      <c r="M687" s="11" t="n">
        <v>1</v>
      </c>
      <c r="N687" s="11"/>
      <c r="O687" s="11"/>
    </row>
    <row r="688" customFormat="false" ht="15" hidden="false" customHeight="false" outlineLevel="0" collapsed="false">
      <c r="A688" s="11" t="s">
        <v>3264</v>
      </c>
      <c r="B688" s="11" t="s">
        <v>299</v>
      </c>
      <c r="C688" s="11" t="s">
        <v>298</v>
      </c>
      <c r="D688" s="38" t="n">
        <v>46051</v>
      </c>
      <c r="E688" s="38" t="n">
        <v>46111</v>
      </c>
      <c r="F688" s="37" t="n">
        <v>8380</v>
      </c>
      <c r="G688" s="37" t="n">
        <v>0</v>
      </c>
      <c r="H688" s="37" t="n">
        <v>8380</v>
      </c>
      <c r="I688" s="11" t="s">
        <v>283</v>
      </c>
      <c r="J688" s="11"/>
      <c r="K688" s="11" t="s">
        <v>4152</v>
      </c>
      <c r="L688" s="38" t="n">
        <v>46125</v>
      </c>
      <c r="M688" s="11" t="n">
        <v>14</v>
      </c>
      <c r="N688" s="11"/>
      <c r="O688" s="11"/>
    </row>
    <row r="689" customFormat="false" ht="15" hidden="false" customHeight="false" outlineLevel="0" collapsed="false">
      <c r="A689" s="11" t="s">
        <v>3120</v>
      </c>
      <c r="B689" s="11" t="s">
        <v>336</v>
      </c>
      <c r="C689" s="11" t="s">
        <v>335</v>
      </c>
      <c r="D689" s="38" t="n">
        <v>46051</v>
      </c>
      <c r="E689" s="38" t="n">
        <v>46096</v>
      </c>
      <c r="F689" s="37" t="n">
        <v>4990</v>
      </c>
      <c r="G689" s="37" t="n">
        <v>998</v>
      </c>
      <c r="H689" s="37" t="n">
        <v>5988</v>
      </c>
      <c r="I689" s="11" t="s">
        <v>283</v>
      </c>
      <c r="J689" s="11"/>
      <c r="K689" s="11" t="s">
        <v>4152</v>
      </c>
      <c r="L689" s="38" t="n">
        <v>46094</v>
      </c>
      <c r="M689" s="11" t="n">
        <v>-2</v>
      </c>
      <c r="N689" s="11"/>
      <c r="O689" s="11"/>
    </row>
    <row r="690" customFormat="false" ht="15" hidden="false" customHeight="false" outlineLevel="0" collapsed="false">
      <c r="A690" s="11" t="s">
        <v>3162</v>
      </c>
      <c r="B690" s="11" t="s">
        <v>332</v>
      </c>
      <c r="C690" s="11" t="s">
        <v>331</v>
      </c>
      <c r="D690" s="38" t="n">
        <v>46052</v>
      </c>
      <c r="E690" s="38" t="n">
        <v>46097</v>
      </c>
      <c r="F690" s="37" t="n">
        <v>8150</v>
      </c>
      <c r="G690" s="37" t="n">
        <v>1630</v>
      </c>
      <c r="H690" s="37" t="n">
        <v>9780</v>
      </c>
      <c r="I690" s="11" t="s">
        <v>283</v>
      </c>
      <c r="J690" s="11"/>
      <c r="K690" s="11" t="s">
        <v>4152</v>
      </c>
      <c r="L690" s="38" t="n">
        <v>46104</v>
      </c>
      <c r="M690" s="11" t="n">
        <v>7</v>
      </c>
      <c r="N690" s="11"/>
      <c r="O690" s="11"/>
    </row>
    <row r="691" customFormat="false" ht="15" hidden="false" customHeight="false" outlineLevel="0" collapsed="false">
      <c r="A691" s="11" t="s">
        <v>3218</v>
      </c>
      <c r="B691" s="11" t="s">
        <v>299</v>
      </c>
      <c r="C691" s="11" t="s">
        <v>298</v>
      </c>
      <c r="D691" s="38" t="n">
        <v>46052</v>
      </c>
      <c r="E691" s="38" t="n">
        <v>46112</v>
      </c>
      <c r="F691" s="37" t="n">
        <v>15410</v>
      </c>
      <c r="G691" s="37" t="n">
        <v>0</v>
      </c>
      <c r="H691" s="37" t="n">
        <v>15410</v>
      </c>
      <c r="I691" s="11" t="s">
        <v>283</v>
      </c>
      <c r="J691" s="11"/>
      <c r="K691" s="11" t="s">
        <v>4152</v>
      </c>
      <c r="L691" s="38" t="n">
        <v>46115</v>
      </c>
      <c r="M691" s="11" t="n">
        <v>3</v>
      </c>
      <c r="N691" s="11"/>
      <c r="O691" s="11"/>
    </row>
    <row r="692" customFormat="false" ht="15" hidden="false" customHeight="false" outlineLevel="0" collapsed="false">
      <c r="A692" s="11" t="s">
        <v>3302</v>
      </c>
      <c r="B692" s="11" t="s">
        <v>332</v>
      </c>
      <c r="C692" s="11" t="s">
        <v>331</v>
      </c>
      <c r="D692" s="38" t="n">
        <v>46055</v>
      </c>
      <c r="E692" s="38" t="n">
        <v>46100</v>
      </c>
      <c r="F692" s="37" t="n">
        <v>6220</v>
      </c>
      <c r="G692" s="37" t="n">
        <v>1244</v>
      </c>
      <c r="H692" s="37" t="n">
        <v>7464</v>
      </c>
      <c r="I692" s="11" t="s">
        <v>283</v>
      </c>
      <c r="J692" s="11"/>
      <c r="K692" s="11" t="s">
        <v>4152</v>
      </c>
      <c r="L692" s="38" t="n">
        <v>46132</v>
      </c>
      <c r="M692" s="11" t="n">
        <v>32</v>
      </c>
      <c r="N692" s="11"/>
      <c r="O692" s="11"/>
    </row>
    <row r="693" customFormat="false" ht="15" hidden="false" customHeight="false" outlineLevel="0" collapsed="false">
      <c r="A693" s="11" t="s">
        <v>3290</v>
      </c>
      <c r="B693" s="11" t="s">
        <v>332</v>
      </c>
      <c r="C693" s="11" t="s">
        <v>331</v>
      </c>
      <c r="D693" s="38" t="n">
        <v>46055</v>
      </c>
      <c r="E693" s="38" t="n">
        <v>46100</v>
      </c>
      <c r="F693" s="37" t="n">
        <v>4820</v>
      </c>
      <c r="G693" s="37" t="n">
        <v>964</v>
      </c>
      <c r="H693" s="37" t="n">
        <v>5784</v>
      </c>
      <c r="I693" s="11" t="s">
        <v>283</v>
      </c>
      <c r="J693" s="11"/>
      <c r="K693" s="11" t="s">
        <v>4152</v>
      </c>
      <c r="L693" s="38" t="n">
        <v>46128</v>
      </c>
      <c r="M693" s="11" t="n">
        <v>28</v>
      </c>
      <c r="N693" s="11"/>
      <c r="O693" s="11"/>
    </row>
    <row r="694" customFormat="false" ht="15" hidden="false" customHeight="false" outlineLevel="0" collapsed="false">
      <c r="A694" s="11" t="s">
        <v>3149</v>
      </c>
      <c r="B694" s="11" t="s">
        <v>281</v>
      </c>
      <c r="C694" s="11" t="s">
        <v>280</v>
      </c>
      <c r="D694" s="38" t="n">
        <v>46055</v>
      </c>
      <c r="E694" s="38" t="n">
        <v>46100</v>
      </c>
      <c r="F694" s="37" t="n">
        <v>4280</v>
      </c>
      <c r="G694" s="37" t="n">
        <v>856</v>
      </c>
      <c r="H694" s="37" t="n">
        <v>5136</v>
      </c>
      <c r="I694" s="11" t="s">
        <v>283</v>
      </c>
      <c r="J694" s="11"/>
      <c r="K694" s="11" t="s">
        <v>4152</v>
      </c>
      <c r="L694" s="38" t="n">
        <v>46100</v>
      </c>
      <c r="M694" s="11" t="n">
        <v>0</v>
      </c>
      <c r="N694" s="11"/>
      <c r="O694" s="11"/>
    </row>
    <row r="695" customFormat="false" ht="15" hidden="false" customHeight="false" outlineLevel="0" collapsed="false">
      <c r="A695" s="11" t="s">
        <v>3246</v>
      </c>
      <c r="B695" s="11" t="s">
        <v>299</v>
      </c>
      <c r="C695" s="11" t="s">
        <v>298</v>
      </c>
      <c r="D695" s="38" t="n">
        <v>46055</v>
      </c>
      <c r="E695" s="38" t="n">
        <v>46115</v>
      </c>
      <c r="F695" s="37" t="n">
        <v>13460</v>
      </c>
      <c r="G695" s="37" t="n">
        <v>0</v>
      </c>
      <c r="H695" s="37" t="n">
        <v>13460</v>
      </c>
      <c r="I695" s="11" t="s">
        <v>283</v>
      </c>
      <c r="J695" s="11"/>
      <c r="K695" s="11" t="s">
        <v>4152</v>
      </c>
      <c r="L695" s="38" t="n">
        <v>46125</v>
      </c>
      <c r="M695" s="11" t="n">
        <v>10</v>
      </c>
      <c r="N695" s="11"/>
      <c r="O695" s="11"/>
    </row>
    <row r="696" customFormat="false" ht="15" hidden="false" customHeight="false" outlineLevel="0" collapsed="false">
      <c r="A696" s="11" t="s">
        <v>3198</v>
      </c>
      <c r="B696" s="11" t="s">
        <v>336</v>
      </c>
      <c r="C696" s="11" t="s">
        <v>335</v>
      </c>
      <c r="D696" s="38" t="n">
        <v>46055</v>
      </c>
      <c r="E696" s="38" t="n">
        <v>46100</v>
      </c>
      <c r="F696" s="37" t="n">
        <v>4200</v>
      </c>
      <c r="G696" s="37" t="n">
        <v>840</v>
      </c>
      <c r="H696" s="37" t="n">
        <v>5040</v>
      </c>
      <c r="I696" s="11" t="s">
        <v>283</v>
      </c>
      <c r="J696" s="11"/>
      <c r="K696" s="11" t="s">
        <v>4152</v>
      </c>
      <c r="L696" s="38" t="n">
        <v>46112</v>
      </c>
      <c r="M696" s="11" t="n">
        <v>12</v>
      </c>
      <c r="N696" s="11"/>
      <c r="O696" s="11"/>
    </row>
    <row r="697" customFormat="false" ht="15" hidden="false" customHeight="false" outlineLevel="0" collapsed="false">
      <c r="A697" s="11" t="s">
        <v>3147</v>
      </c>
      <c r="B697" s="11" t="s">
        <v>324</v>
      </c>
      <c r="C697" s="11" t="s">
        <v>323</v>
      </c>
      <c r="D697" s="38" t="n">
        <v>46058</v>
      </c>
      <c r="E697" s="38" t="n">
        <v>46088</v>
      </c>
      <c r="F697" s="37" t="n">
        <v>6770</v>
      </c>
      <c r="G697" s="37" t="n">
        <v>1354</v>
      </c>
      <c r="H697" s="37" t="n">
        <v>8124</v>
      </c>
      <c r="I697" s="11" t="s">
        <v>283</v>
      </c>
      <c r="J697" s="11"/>
      <c r="K697" s="11" t="s">
        <v>4152</v>
      </c>
      <c r="L697" s="38" t="n">
        <v>46100</v>
      </c>
      <c r="M697" s="11" t="n">
        <v>12</v>
      </c>
      <c r="N697" s="11"/>
      <c r="O697" s="11"/>
    </row>
    <row r="698" customFormat="false" ht="15" hidden="false" customHeight="false" outlineLevel="0" collapsed="false">
      <c r="A698" s="11" t="s">
        <v>3175</v>
      </c>
      <c r="B698" s="11" t="s">
        <v>336</v>
      </c>
      <c r="C698" s="11" t="s">
        <v>335</v>
      </c>
      <c r="D698" s="38" t="n">
        <v>46059</v>
      </c>
      <c r="E698" s="38" t="n">
        <v>46104</v>
      </c>
      <c r="F698" s="37" t="n">
        <v>10180</v>
      </c>
      <c r="G698" s="37" t="n">
        <v>2036</v>
      </c>
      <c r="H698" s="37" t="n">
        <v>12216</v>
      </c>
      <c r="I698" s="11" t="s">
        <v>283</v>
      </c>
      <c r="J698" s="11"/>
      <c r="K698" s="11" t="s">
        <v>4152</v>
      </c>
      <c r="L698" s="38" t="n">
        <v>46108</v>
      </c>
      <c r="M698" s="11" t="n">
        <v>4</v>
      </c>
      <c r="N698" s="11"/>
      <c r="O698" s="11"/>
    </row>
    <row r="699" customFormat="false" ht="15" hidden="false" customHeight="false" outlineLevel="0" collapsed="false">
      <c r="A699" s="11" t="s">
        <v>3311</v>
      </c>
      <c r="B699" s="11" t="s">
        <v>328</v>
      </c>
      <c r="C699" s="11" t="s">
        <v>327</v>
      </c>
      <c r="D699" s="38" t="n">
        <v>46059</v>
      </c>
      <c r="E699" s="38" t="n">
        <v>46119</v>
      </c>
      <c r="F699" s="37" t="n">
        <v>12450</v>
      </c>
      <c r="G699" s="37" t="n">
        <v>2490</v>
      </c>
      <c r="H699" s="37" t="n">
        <v>14940</v>
      </c>
      <c r="I699" s="11" t="s">
        <v>283</v>
      </c>
      <c r="J699" s="11"/>
      <c r="K699" s="11" t="s">
        <v>4152</v>
      </c>
      <c r="L699" s="38" t="n">
        <v>46134</v>
      </c>
      <c r="M699" s="11" t="n">
        <v>15</v>
      </c>
      <c r="N699" s="11"/>
      <c r="O699" s="11"/>
    </row>
    <row r="700" customFormat="false" ht="15" hidden="false" customHeight="false" outlineLevel="0" collapsed="false">
      <c r="A700" s="11" t="s">
        <v>3085</v>
      </c>
      <c r="B700" s="11" t="s">
        <v>288</v>
      </c>
      <c r="C700" s="11" t="s">
        <v>287</v>
      </c>
      <c r="D700" s="38" t="n">
        <v>46059</v>
      </c>
      <c r="E700" s="38" t="n">
        <v>46089</v>
      </c>
      <c r="F700" s="37" t="n">
        <v>2330</v>
      </c>
      <c r="G700" s="37" t="n">
        <v>466</v>
      </c>
      <c r="H700" s="37" t="n">
        <v>2796</v>
      </c>
      <c r="I700" s="11" t="s">
        <v>283</v>
      </c>
      <c r="J700" s="11"/>
      <c r="K700" s="11" t="s">
        <v>4152</v>
      </c>
      <c r="L700" s="38" t="n">
        <v>46087</v>
      </c>
      <c r="M700" s="11" t="n">
        <v>-2</v>
      </c>
      <c r="N700" s="11"/>
      <c r="O700" s="11"/>
    </row>
    <row r="701" customFormat="false" ht="15" hidden="false" customHeight="false" outlineLevel="0" collapsed="false">
      <c r="A701" s="11" t="s">
        <v>3116</v>
      </c>
      <c r="B701" s="11" t="s">
        <v>288</v>
      </c>
      <c r="C701" s="11" t="s">
        <v>287</v>
      </c>
      <c r="D701" s="38" t="n">
        <v>46059</v>
      </c>
      <c r="E701" s="38" t="n">
        <v>46089</v>
      </c>
      <c r="F701" s="37" t="n">
        <v>3900</v>
      </c>
      <c r="G701" s="37" t="n">
        <v>780</v>
      </c>
      <c r="H701" s="37" t="n">
        <v>4680</v>
      </c>
      <c r="I701" s="11" t="s">
        <v>283</v>
      </c>
      <c r="J701" s="11"/>
      <c r="K701" s="11" t="s">
        <v>4152</v>
      </c>
      <c r="L701" s="38" t="n">
        <v>46093</v>
      </c>
      <c r="M701" s="11" t="n">
        <v>4</v>
      </c>
      <c r="N701" s="11"/>
      <c r="O701" s="11"/>
    </row>
    <row r="702" customFormat="false" ht="15" hidden="false" customHeight="false" outlineLevel="0" collapsed="false">
      <c r="A702" s="11" t="s">
        <v>3296</v>
      </c>
      <c r="B702" s="11" t="s">
        <v>332</v>
      </c>
      <c r="C702" s="11" t="s">
        <v>331</v>
      </c>
      <c r="D702" s="38" t="n">
        <v>46059</v>
      </c>
      <c r="E702" s="38" t="n">
        <v>46104</v>
      </c>
      <c r="F702" s="37" t="n">
        <v>7020</v>
      </c>
      <c r="G702" s="37" t="n">
        <v>1404</v>
      </c>
      <c r="H702" s="37" t="n">
        <v>8424</v>
      </c>
      <c r="I702" s="11" t="s">
        <v>283</v>
      </c>
      <c r="J702" s="11"/>
      <c r="K702" s="11" t="s">
        <v>4152</v>
      </c>
      <c r="L702" s="38" t="n">
        <v>46129</v>
      </c>
      <c r="M702" s="11" t="n">
        <v>25</v>
      </c>
      <c r="N702" s="11"/>
      <c r="O702" s="11"/>
    </row>
    <row r="703" customFormat="false" ht="15" hidden="false" customHeight="false" outlineLevel="0" collapsed="false">
      <c r="A703" s="11" t="s">
        <v>3321</v>
      </c>
      <c r="B703" s="11" t="s">
        <v>328</v>
      </c>
      <c r="C703" s="11" t="s">
        <v>327</v>
      </c>
      <c r="D703" s="38" t="n">
        <v>46059</v>
      </c>
      <c r="E703" s="38" t="n">
        <v>46119</v>
      </c>
      <c r="F703" s="37" t="n">
        <v>36120</v>
      </c>
      <c r="G703" s="37" t="n">
        <v>7224</v>
      </c>
      <c r="H703" s="37" t="n">
        <v>43344</v>
      </c>
      <c r="I703" s="11" t="s">
        <v>283</v>
      </c>
      <c r="J703" s="11"/>
      <c r="K703" s="11" t="s">
        <v>4152</v>
      </c>
      <c r="L703" s="38" t="n">
        <v>46139</v>
      </c>
      <c r="M703" s="11" t="n">
        <v>20</v>
      </c>
      <c r="N703" s="11"/>
      <c r="O703" s="11"/>
    </row>
    <row r="704" customFormat="false" ht="15" hidden="false" customHeight="false" outlineLevel="0" collapsed="false">
      <c r="A704" s="11" t="s">
        <v>3154</v>
      </c>
      <c r="B704" s="11" t="s">
        <v>324</v>
      </c>
      <c r="C704" s="11" t="s">
        <v>323</v>
      </c>
      <c r="D704" s="38" t="n">
        <v>46062</v>
      </c>
      <c r="E704" s="38" t="n">
        <v>46092</v>
      </c>
      <c r="F704" s="37" t="n">
        <v>6030</v>
      </c>
      <c r="G704" s="37" t="n">
        <v>1206</v>
      </c>
      <c r="H704" s="37" t="n">
        <v>7236</v>
      </c>
      <c r="I704" s="11" t="s">
        <v>283</v>
      </c>
      <c r="J704" s="11"/>
      <c r="K704" s="11" t="s">
        <v>4152</v>
      </c>
      <c r="L704" s="38" t="n">
        <v>46101</v>
      </c>
      <c r="M704" s="11" t="n">
        <v>9</v>
      </c>
      <c r="N704" s="11"/>
      <c r="O704" s="11"/>
    </row>
    <row r="705" customFormat="false" ht="15" hidden="false" customHeight="false" outlineLevel="0" collapsed="false">
      <c r="A705" s="11" t="s">
        <v>3136</v>
      </c>
      <c r="B705" s="11" t="s">
        <v>400</v>
      </c>
      <c r="C705" s="11" t="s">
        <v>399</v>
      </c>
      <c r="D705" s="38" t="n">
        <v>46062</v>
      </c>
      <c r="E705" s="38" t="n">
        <v>46092</v>
      </c>
      <c r="F705" s="37" t="n">
        <v>13880</v>
      </c>
      <c r="G705" s="37" t="n">
        <v>2776</v>
      </c>
      <c r="H705" s="37" t="n">
        <v>16656</v>
      </c>
      <c r="I705" s="11" t="s">
        <v>283</v>
      </c>
      <c r="J705" s="11"/>
      <c r="K705" s="11" t="s">
        <v>4152</v>
      </c>
      <c r="L705" s="38" t="n">
        <v>46099</v>
      </c>
      <c r="M705" s="11" t="n">
        <v>7</v>
      </c>
      <c r="N705" s="11"/>
      <c r="O705" s="11"/>
    </row>
    <row r="706" customFormat="false" ht="15" hidden="false" customHeight="false" outlineLevel="0" collapsed="false">
      <c r="A706" s="11" t="s">
        <v>3179</v>
      </c>
      <c r="B706" s="11" t="s">
        <v>332</v>
      </c>
      <c r="C706" s="11" t="s">
        <v>331</v>
      </c>
      <c r="D706" s="38" t="n">
        <v>46062</v>
      </c>
      <c r="E706" s="38" t="n">
        <v>46107</v>
      </c>
      <c r="F706" s="37" t="n">
        <v>12840</v>
      </c>
      <c r="G706" s="37" t="n">
        <v>2568</v>
      </c>
      <c r="H706" s="37" t="n">
        <v>15408</v>
      </c>
      <c r="I706" s="11" t="s">
        <v>283</v>
      </c>
      <c r="J706" s="11"/>
      <c r="K706" s="11" t="s">
        <v>4152</v>
      </c>
      <c r="L706" s="38" t="n">
        <v>46111</v>
      </c>
      <c r="M706" s="11" t="n">
        <v>4</v>
      </c>
      <c r="N706" s="11"/>
      <c r="O706" s="11"/>
    </row>
    <row r="707" customFormat="false" ht="15" hidden="false" customHeight="false" outlineLevel="0" collapsed="false">
      <c r="A707" s="11" t="s">
        <v>3274</v>
      </c>
      <c r="B707" s="11" t="s">
        <v>350</v>
      </c>
      <c r="C707" s="11" t="s">
        <v>349</v>
      </c>
      <c r="D707" s="38" t="n">
        <v>46062</v>
      </c>
      <c r="E707" s="38" t="n">
        <v>46122</v>
      </c>
      <c r="F707" s="37" t="n">
        <v>13060</v>
      </c>
      <c r="G707" s="37" t="n">
        <v>2612</v>
      </c>
      <c r="H707" s="37" t="n">
        <v>15672</v>
      </c>
      <c r="I707" s="11" t="s">
        <v>283</v>
      </c>
      <c r="J707" s="11"/>
      <c r="K707" s="11" t="s">
        <v>4152</v>
      </c>
      <c r="L707" s="38" t="n">
        <v>46126</v>
      </c>
      <c r="M707" s="11" t="n">
        <v>4</v>
      </c>
      <c r="N707" s="11"/>
      <c r="O707" s="11"/>
    </row>
    <row r="708" customFormat="false" ht="15" hidden="false" customHeight="false" outlineLevel="0" collapsed="false">
      <c r="A708" s="11" t="s">
        <v>3195</v>
      </c>
      <c r="B708" s="11" t="s">
        <v>336</v>
      </c>
      <c r="C708" s="11" t="s">
        <v>335</v>
      </c>
      <c r="D708" s="38" t="n">
        <v>46063</v>
      </c>
      <c r="E708" s="38" t="n">
        <v>46108</v>
      </c>
      <c r="F708" s="37" t="n">
        <v>3220</v>
      </c>
      <c r="G708" s="37" t="n">
        <v>644</v>
      </c>
      <c r="H708" s="37" t="n">
        <v>3864</v>
      </c>
      <c r="I708" s="11" t="s">
        <v>283</v>
      </c>
      <c r="J708" s="11"/>
      <c r="K708" s="11" t="s">
        <v>4152</v>
      </c>
      <c r="L708" s="38" t="n">
        <v>46112</v>
      </c>
      <c r="M708" s="11" t="n">
        <v>4</v>
      </c>
      <c r="N708" s="11"/>
      <c r="O708" s="11"/>
    </row>
    <row r="709" customFormat="false" ht="15" hidden="false" customHeight="false" outlineLevel="0" collapsed="false">
      <c r="A709" s="11" t="s">
        <v>3193</v>
      </c>
      <c r="B709" s="11" t="s">
        <v>336</v>
      </c>
      <c r="C709" s="11" t="s">
        <v>335</v>
      </c>
      <c r="D709" s="38" t="n">
        <v>46064</v>
      </c>
      <c r="E709" s="38" t="n">
        <v>46109</v>
      </c>
      <c r="F709" s="37" t="n">
        <v>4390</v>
      </c>
      <c r="G709" s="37" t="n">
        <v>878</v>
      </c>
      <c r="H709" s="37" t="n">
        <v>5268</v>
      </c>
      <c r="I709" s="11" t="s">
        <v>283</v>
      </c>
      <c r="J709" s="11"/>
      <c r="K709" s="11" t="s">
        <v>4152</v>
      </c>
      <c r="L709" s="38" t="n">
        <v>46112</v>
      </c>
      <c r="M709" s="11" t="n">
        <v>3</v>
      </c>
      <c r="N709" s="11"/>
      <c r="O709" s="11"/>
    </row>
    <row r="710" customFormat="false" ht="15" hidden="false" customHeight="false" outlineLevel="0" collapsed="false">
      <c r="A710" s="11" t="s">
        <v>3304</v>
      </c>
      <c r="B710" s="11" t="s">
        <v>299</v>
      </c>
      <c r="C710" s="11" t="s">
        <v>298</v>
      </c>
      <c r="D710" s="38" t="n">
        <v>46064</v>
      </c>
      <c r="E710" s="38" t="n">
        <v>46124</v>
      </c>
      <c r="F710" s="37" t="n">
        <v>13490</v>
      </c>
      <c r="G710" s="37" t="n">
        <v>0</v>
      </c>
      <c r="H710" s="37" t="n">
        <v>13490</v>
      </c>
      <c r="I710" s="11" t="s">
        <v>283</v>
      </c>
      <c r="J710" s="11"/>
      <c r="K710" s="11" t="s">
        <v>4152</v>
      </c>
      <c r="L710" s="38" t="n">
        <v>46132</v>
      </c>
      <c r="M710" s="11" t="n">
        <v>8</v>
      </c>
      <c r="N710" s="11"/>
      <c r="O710" s="11"/>
    </row>
    <row r="711" customFormat="false" ht="15" hidden="false" customHeight="false" outlineLevel="0" collapsed="false">
      <c r="A711" s="11" t="s">
        <v>3340</v>
      </c>
      <c r="B711" s="11" t="s">
        <v>350</v>
      </c>
      <c r="C711" s="11" t="s">
        <v>349</v>
      </c>
      <c r="D711" s="38" t="n">
        <v>46064</v>
      </c>
      <c r="E711" s="38" t="n">
        <v>46124</v>
      </c>
      <c r="F711" s="37" t="n">
        <v>10900</v>
      </c>
      <c r="G711" s="37" t="n">
        <v>2180</v>
      </c>
      <c r="H711" s="37" t="n">
        <v>13080</v>
      </c>
      <c r="I711" s="11" t="s">
        <v>283</v>
      </c>
      <c r="J711" s="11"/>
      <c r="K711" s="11" t="s">
        <v>4152</v>
      </c>
      <c r="L711" s="38" t="n">
        <v>46142</v>
      </c>
      <c r="M711" s="11" t="n">
        <v>18</v>
      </c>
      <c r="N711" s="11"/>
      <c r="O711" s="11"/>
    </row>
    <row r="712" customFormat="false" ht="15" hidden="false" customHeight="false" outlineLevel="0" collapsed="false">
      <c r="A712" s="11" t="s">
        <v>3191</v>
      </c>
      <c r="B712" s="11" t="s">
        <v>400</v>
      </c>
      <c r="C712" s="11" t="s">
        <v>399</v>
      </c>
      <c r="D712" s="38" t="n">
        <v>46065</v>
      </c>
      <c r="E712" s="38" t="n">
        <v>46095</v>
      </c>
      <c r="F712" s="37" t="n">
        <v>14790</v>
      </c>
      <c r="G712" s="37" t="n">
        <v>2958</v>
      </c>
      <c r="H712" s="37" t="n">
        <v>17748</v>
      </c>
      <c r="I712" s="11" t="s">
        <v>283</v>
      </c>
      <c r="J712" s="11"/>
      <c r="K712" s="11" t="s">
        <v>4152</v>
      </c>
      <c r="L712" s="38" t="n">
        <v>46111</v>
      </c>
      <c r="M712" s="11" t="n">
        <v>16</v>
      </c>
      <c r="N712" s="11"/>
      <c r="O712" s="11"/>
    </row>
    <row r="713" customFormat="false" ht="15" hidden="false" customHeight="false" outlineLevel="0" collapsed="false">
      <c r="A713" s="11" t="s">
        <v>3317</v>
      </c>
      <c r="B713" s="11" t="s">
        <v>350</v>
      </c>
      <c r="C713" s="11" t="s">
        <v>349</v>
      </c>
      <c r="D713" s="38" t="n">
        <v>46065</v>
      </c>
      <c r="E713" s="38" t="n">
        <v>46125</v>
      </c>
      <c r="F713" s="37" t="n">
        <v>8680</v>
      </c>
      <c r="G713" s="37" t="n">
        <v>1736</v>
      </c>
      <c r="H713" s="37" t="n">
        <v>10416</v>
      </c>
      <c r="I713" s="11" t="s">
        <v>283</v>
      </c>
      <c r="J713" s="11"/>
      <c r="K713" s="11" t="s">
        <v>4152</v>
      </c>
      <c r="L713" s="38" t="n">
        <v>46136</v>
      </c>
      <c r="M713" s="11" t="n">
        <v>11</v>
      </c>
      <c r="N713" s="11"/>
      <c r="O713" s="11"/>
    </row>
    <row r="714" customFormat="false" ht="15" hidden="false" customHeight="false" outlineLevel="0" collapsed="false">
      <c r="A714" s="11" t="s">
        <v>3252</v>
      </c>
      <c r="B714" s="11" t="s">
        <v>336</v>
      </c>
      <c r="C714" s="11" t="s">
        <v>335</v>
      </c>
      <c r="D714" s="38" t="n">
        <v>46065</v>
      </c>
      <c r="E714" s="38" t="n">
        <v>46110</v>
      </c>
      <c r="F714" s="37" t="n">
        <v>9130</v>
      </c>
      <c r="G714" s="37" t="n">
        <v>1826</v>
      </c>
      <c r="H714" s="37" t="n">
        <v>10956</v>
      </c>
      <c r="I714" s="11" t="s">
        <v>283</v>
      </c>
      <c r="J714" s="11"/>
      <c r="K714" s="11" t="s">
        <v>4152</v>
      </c>
      <c r="L714" s="38" t="n">
        <v>46125</v>
      </c>
      <c r="M714" s="11" t="n">
        <v>15</v>
      </c>
      <c r="N714" s="11"/>
      <c r="O714" s="11"/>
    </row>
    <row r="715" customFormat="false" ht="15" hidden="false" customHeight="false" outlineLevel="0" collapsed="false">
      <c r="A715" s="11" t="s">
        <v>3233</v>
      </c>
      <c r="B715" s="11" t="s">
        <v>336</v>
      </c>
      <c r="C715" s="11" t="s">
        <v>335</v>
      </c>
      <c r="D715" s="38" t="n">
        <v>46065</v>
      </c>
      <c r="E715" s="38" t="n">
        <v>46110</v>
      </c>
      <c r="F715" s="37" t="n">
        <v>4570</v>
      </c>
      <c r="G715" s="37" t="n">
        <v>914</v>
      </c>
      <c r="H715" s="37" t="n">
        <v>5484</v>
      </c>
      <c r="I715" s="11" t="s">
        <v>283</v>
      </c>
      <c r="J715" s="11"/>
      <c r="K715" s="11" t="s">
        <v>4152</v>
      </c>
      <c r="L715" s="38" t="n">
        <v>46119</v>
      </c>
      <c r="M715" s="11" t="n">
        <v>9</v>
      </c>
      <c r="N715" s="11"/>
      <c r="O715" s="11"/>
    </row>
    <row r="716" customFormat="false" ht="15" hidden="false" customHeight="false" outlineLevel="0" collapsed="false">
      <c r="A716" s="11" t="s">
        <v>3373</v>
      </c>
      <c r="B716" s="11" t="s">
        <v>328</v>
      </c>
      <c r="C716" s="11" t="s">
        <v>327</v>
      </c>
      <c r="D716" s="38" t="n">
        <v>46066</v>
      </c>
      <c r="E716" s="38" t="n">
        <v>46126</v>
      </c>
      <c r="F716" s="37" t="n">
        <v>21560</v>
      </c>
      <c r="G716" s="37" t="n">
        <v>4312</v>
      </c>
      <c r="H716" s="37" t="n">
        <v>25872</v>
      </c>
      <c r="I716" s="11" t="s">
        <v>283</v>
      </c>
      <c r="J716" s="11"/>
      <c r="K716" s="11" t="s">
        <v>4152</v>
      </c>
      <c r="L716" s="38" t="n">
        <v>46146</v>
      </c>
      <c r="M716" s="11" t="n">
        <v>20</v>
      </c>
      <c r="N716" s="11"/>
      <c r="O716" s="11"/>
    </row>
    <row r="717" customFormat="false" ht="15" hidden="false" customHeight="false" outlineLevel="0" collapsed="false">
      <c r="A717" s="11" t="s">
        <v>3256</v>
      </c>
      <c r="B717" s="11" t="s">
        <v>328</v>
      </c>
      <c r="C717" s="11" t="s">
        <v>327</v>
      </c>
      <c r="D717" s="38" t="n">
        <v>46066</v>
      </c>
      <c r="E717" s="38" t="n">
        <v>46126</v>
      </c>
      <c r="F717" s="37" t="n">
        <v>14710</v>
      </c>
      <c r="G717" s="37" t="n">
        <v>2942</v>
      </c>
      <c r="H717" s="37" t="n">
        <v>17652</v>
      </c>
      <c r="I717" s="11" t="s">
        <v>283</v>
      </c>
      <c r="J717" s="11"/>
      <c r="K717" s="11" t="s">
        <v>4152</v>
      </c>
      <c r="L717" s="38" t="n">
        <v>46125</v>
      </c>
      <c r="M717" s="11" t="n">
        <v>-1</v>
      </c>
      <c r="N717" s="11"/>
      <c r="O717" s="11"/>
    </row>
    <row r="718" customFormat="false" ht="15" hidden="false" customHeight="false" outlineLevel="0" collapsed="false">
      <c r="A718" s="11" t="s">
        <v>3231</v>
      </c>
      <c r="B718" s="11" t="s">
        <v>336</v>
      </c>
      <c r="C718" s="11" t="s">
        <v>335</v>
      </c>
      <c r="D718" s="38" t="n">
        <v>46066</v>
      </c>
      <c r="E718" s="38" t="n">
        <v>46111</v>
      </c>
      <c r="F718" s="37" t="n">
        <v>5510</v>
      </c>
      <c r="G718" s="37" t="n">
        <v>1102</v>
      </c>
      <c r="H718" s="37" t="n">
        <v>6612</v>
      </c>
      <c r="I718" s="11" t="s">
        <v>283</v>
      </c>
      <c r="J718" s="11"/>
      <c r="K718" s="11" t="s">
        <v>4152</v>
      </c>
      <c r="L718" s="38" t="n">
        <v>46119</v>
      </c>
      <c r="M718" s="11" t="n">
        <v>8</v>
      </c>
      <c r="N718" s="11"/>
      <c r="O718" s="11"/>
    </row>
    <row r="719" customFormat="false" ht="15" hidden="false" customHeight="false" outlineLevel="0" collapsed="false">
      <c r="A719" s="11" t="s">
        <v>3187</v>
      </c>
      <c r="B719" s="11" t="s">
        <v>281</v>
      </c>
      <c r="C719" s="11" t="s">
        <v>280</v>
      </c>
      <c r="D719" s="38" t="n">
        <v>46066</v>
      </c>
      <c r="E719" s="38" t="n">
        <v>46111</v>
      </c>
      <c r="F719" s="37" t="n">
        <v>5260</v>
      </c>
      <c r="G719" s="37" t="n">
        <v>1052</v>
      </c>
      <c r="H719" s="37" t="n">
        <v>6312</v>
      </c>
      <c r="I719" s="11" t="s">
        <v>283</v>
      </c>
      <c r="J719" s="11"/>
      <c r="K719" s="11" t="s">
        <v>4152</v>
      </c>
      <c r="L719" s="38" t="n">
        <v>46111</v>
      </c>
      <c r="M719" s="11" t="n">
        <v>0</v>
      </c>
      <c r="N719" s="11"/>
      <c r="O719" s="11"/>
    </row>
    <row r="720" customFormat="false" ht="15" hidden="false" customHeight="false" outlineLevel="0" collapsed="false">
      <c r="A720" s="11" t="s">
        <v>3185</v>
      </c>
      <c r="B720" s="11" t="s">
        <v>336</v>
      </c>
      <c r="C720" s="11" t="s">
        <v>335</v>
      </c>
      <c r="D720" s="38" t="n">
        <v>46066</v>
      </c>
      <c r="E720" s="38" t="n">
        <v>46111</v>
      </c>
      <c r="F720" s="37" t="n">
        <v>3870</v>
      </c>
      <c r="G720" s="37" t="n">
        <v>774</v>
      </c>
      <c r="H720" s="37" t="n">
        <v>4644</v>
      </c>
      <c r="I720" s="11" t="s">
        <v>283</v>
      </c>
      <c r="J720" s="11"/>
      <c r="K720" s="11" t="s">
        <v>4152</v>
      </c>
      <c r="L720" s="38" t="n">
        <v>46111</v>
      </c>
      <c r="M720" s="11" t="n">
        <v>0</v>
      </c>
      <c r="N720" s="11"/>
      <c r="O720" s="11"/>
    </row>
    <row r="721" customFormat="false" ht="15" hidden="false" customHeight="false" outlineLevel="0" collapsed="false">
      <c r="A721" s="11" t="s">
        <v>3183</v>
      </c>
      <c r="B721" s="11" t="s">
        <v>281</v>
      </c>
      <c r="C721" s="11" t="s">
        <v>280</v>
      </c>
      <c r="D721" s="38" t="n">
        <v>46066</v>
      </c>
      <c r="E721" s="38" t="n">
        <v>46111</v>
      </c>
      <c r="F721" s="37" t="n">
        <v>2650</v>
      </c>
      <c r="G721" s="37" t="n">
        <v>530</v>
      </c>
      <c r="H721" s="37" t="n">
        <v>3180</v>
      </c>
      <c r="I721" s="11" t="s">
        <v>283</v>
      </c>
      <c r="J721" s="11"/>
      <c r="K721" s="11" t="s">
        <v>4152</v>
      </c>
      <c r="L721" s="38" t="n">
        <v>46111</v>
      </c>
      <c r="M721" s="11" t="n">
        <v>0</v>
      </c>
      <c r="N721" s="11"/>
      <c r="O721" s="11"/>
    </row>
    <row r="722" customFormat="false" ht="15" hidden="false" customHeight="false" outlineLevel="0" collapsed="false">
      <c r="A722" s="11" t="s">
        <v>3138</v>
      </c>
      <c r="B722" s="11" t="s">
        <v>288</v>
      </c>
      <c r="C722" s="11" t="s">
        <v>287</v>
      </c>
      <c r="D722" s="38" t="n">
        <v>46066</v>
      </c>
      <c r="E722" s="38" t="n">
        <v>46096</v>
      </c>
      <c r="F722" s="37" t="n">
        <v>2740</v>
      </c>
      <c r="G722" s="37" t="n">
        <v>548</v>
      </c>
      <c r="H722" s="37" t="n">
        <v>3288</v>
      </c>
      <c r="I722" s="11" t="s">
        <v>283</v>
      </c>
      <c r="J722" s="11"/>
      <c r="K722" s="11" t="s">
        <v>4152</v>
      </c>
      <c r="L722" s="38" t="n">
        <v>46099</v>
      </c>
      <c r="M722" s="11" t="n">
        <v>3</v>
      </c>
      <c r="N722" s="11"/>
      <c r="O722" s="11"/>
    </row>
    <row r="723" customFormat="false" ht="15" hidden="false" customHeight="false" outlineLevel="0" collapsed="false">
      <c r="A723" s="11" t="s">
        <v>3306</v>
      </c>
      <c r="B723" s="11" t="s">
        <v>299</v>
      </c>
      <c r="C723" s="11" t="s">
        <v>298</v>
      </c>
      <c r="D723" s="38" t="n">
        <v>46069</v>
      </c>
      <c r="E723" s="38" t="n">
        <v>46129</v>
      </c>
      <c r="F723" s="37" t="n">
        <v>7460</v>
      </c>
      <c r="G723" s="37" t="n">
        <v>0</v>
      </c>
      <c r="H723" s="37" t="n">
        <v>7460</v>
      </c>
      <c r="I723" s="11" t="s">
        <v>283</v>
      </c>
      <c r="J723" s="11"/>
      <c r="K723" s="11" t="s">
        <v>4152</v>
      </c>
      <c r="L723" s="38" t="n">
        <v>46132</v>
      </c>
      <c r="M723" s="11" t="n">
        <v>3</v>
      </c>
      <c r="N723" s="11"/>
      <c r="O723" s="11"/>
    </row>
    <row r="724" customFormat="false" ht="15" hidden="false" customHeight="false" outlineLevel="0" collapsed="false">
      <c r="A724" s="11" t="s">
        <v>3211</v>
      </c>
      <c r="B724" s="11" t="s">
        <v>281</v>
      </c>
      <c r="C724" s="11" t="s">
        <v>280</v>
      </c>
      <c r="D724" s="38" t="n">
        <v>46069</v>
      </c>
      <c r="E724" s="38" t="n">
        <v>46114</v>
      </c>
      <c r="F724" s="37" t="n">
        <v>5890</v>
      </c>
      <c r="G724" s="37" t="n">
        <v>1178</v>
      </c>
      <c r="H724" s="37" t="n">
        <v>7068</v>
      </c>
      <c r="I724" s="11" t="s">
        <v>283</v>
      </c>
      <c r="J724" s="11"/>
      <c r="K724" s="11" t="s">
        <v>4152</v>
      </c>
      <c r="L724" s="38" t="n">
        <v>46114</v>
      </c>
      <c r="M724" s="11" t="n">
        <v>0</v>
      </c>
      <c r="N724" s="11"/>
      <c r="O724" s="11"/>
    </row>
    <row r="725" customFormat="false" ht="15" hidden="false" customHeight="false" outlineLevel="0" collapsed="false">
      <c r="A725" s="11" t="s">
        <v>3424</v>
      </c>
      <c r="B725" s="11" t="s">
        <v>393</v>
      </c>
      <c r="C725" s="11" t="s">
        <v>392</v>
      </c>
      <c r="D725" s="38" t="n">
        <v>46069</v>
      </c>
      <c r="E725" s="38" t="n">
        <v>46119</v>
      </c>
      <c r="F725" s="37" t="n">
        <v>13360</v>
      </c>
      <c r="G725" s="37" t="n">
        <v>2672</v>
      </c>
      <c r="H725" s="37" t="n">
        <v>16032</v>
      </c>
      <c r="I725" s="11" t="s">
        <v>283</v>
      </c>
      <c r="J725" s="11"/>
      <c r="K725" s="11" t="s">
        <v>4152</v>
      </c>
      <c r="L725" s="38" t="n">
        <v>46154</v>
      </c>
      <c r="M725" s="11" t="n">
        <v>35</v>
      </c>
      <c r="N725" s="11"/>
      <c r="O725" s="11"/>
    </row>
    <row r="726" customFormat="false" ht="15" hidden="false" customHeight="false" outlineLevel="0" collapsed="false">
      <c r="A726" s="11" t="s">
        <v>3213</v>
      </c>
      <c r="B726" s="11" t="s">
        <v>281</v>
      </c>
      <c r="C726" s="11" t="s">
        <v>280</v>
      </c>
      <c r="D726" s="38" t="n">
        <v>46069</v>
      </c>
      <c r="E726" s="38" t="n">
        <v>46114</v>
      </c>
      <c r="F726" s="37" t="n">
        <v>5790</v>
      </c>
      <c r="G726" s="37" t="n">
        <v>1158</v>
      </c>
      <c r="H726" s="37" t="n">
        <v>6948</v>
      </c>
      <c r="I726" s="11" t="s">
        <v>283</v>
      </c>
      <c r="J726" s="11"/>
      <c r="K726" s="11" t="s">
        <v>4152</v>
      </c>
      <c r="L726" s="38" t="n">
        <v>46114</v>
      </c>
      <c r="M726" s="11" t="n">
        <v>0</v>
      </c>
      <c r="N726" s="11"/>
      <c r="O726" s="11"/>
    </row>
    <row r="727" customFormat="false" ht="15" hidden="false" customHeight="false" outlineLevel="0" collapsed="false">
      <c r="A727" s="11" t="s">
        <v>3215</v>
      </c>
      <c r="B727" s="11" t="s">
        <v>324</v>
      </c>
      <c r="C727" s="11" t="s">
        <v>323</v>
      </c>
      <c r="D727" s="38" t="n">
        <v>46070</v>
      </c>
      <c r="E727" s="38" t="n">
        <v>46100</v>
      </c>
      <c r="F727" s="37" t="n">
        <v>3580</v>
      </c>
      <c r="G727" s="37" t="n">
        <v>716</v>
      </c>
      <c r="H727" s="37" t="n">
        <v>4296</v>
      </c>
      <c r="I727" s="11" t="s">
        <v>283</v>
      </c>
      <c r="J727" s="11"/>
      <c r="K727" s="11" t="s">
        <v>4152</v>
      </c>
      <c r="L727" s="38" t="n">
        <v>46115</v>
      </c>
      <c r="M727" s="11" t="n">
        <v>15</v>
      </c>
      <c r="N727" s="11"/>
      <c r="O727" s="11"/>
    </row>
    <row r="728" customFormat="false" ht="15" hidden="false" customHeight="false" outlineLevel="0" collapsed="false">
      <c r="A728" s="11" t="s">
        <v>3134</v>
      </c>
      <c r="B728" s="11" t="s">
        <v>288</v>
      </c>
      <c r="C728" s="11" t="s">
        <v>287</v>
      </c>
      <c r="D728" s="38" t="n">
        <v>46070</v>
      </c>
      <c r="E728" s="38" t="n">
        <v>46100</v>
      </c>
      <c r="F728" s="37" t="n">
        <v>3460</v>
      </c>
      <c r="G728" s="37" t="n">
        <v>692</v>
      </c>
      <c r="H728" s="37" t="n">
        <v>4152</v>
      </c>
      <c r="I728" s="11" t="s">
        <v>283</v>
      </c>
      <c r="J728" s="11"/>
      <c r="K728" s="11" t="s">
        <v>4152</v>
      </c>
      <c r="L728" s="38" t="n">
        <v>46097</v>
      </c>
      <c r="M728" s="11" t="n">
        <v>-3</v>
      </c>
      <c r="N728" s="11"/>
      <c r="O728" s="11"/>
    </row>
    <row r="729" customFormat="false" ht="15" hidden="false" customHeight="false" outlineLevel="0" collapsed="false">
      <c r="A729" s="11" t="s">
        <v>3169</v>
      </c>
      <c r="B729" s="11" t="s">
        <v>288</v>
      </c>
      <c r="C729" s="11" t="s">
        <v>287</v>
      </c>
      <c r="D729" s="38" t="n">
        <v>46071</v>
      </c>
      <c r="E729" s="38" t="n">
        <v>46101</v>
      </c>
      <c r="F729" s="37" t="n">
        <v>2330</v>
      </c>
      <c r="G729" s="37" t="n">
        <v>466</v>
      </c>
      <c r="H729" s="37" t="n">
        <v>2796</v>
      </c>
      <c r="I729" s="11" t="s">
        <v>283</v>
      </c>
      <c r="J729" s="11"/>
      <c r="K729" s="11" t="s">
        <v>4152</v>
      </c>
      <c r="L729" s="38" t="n">
        <v>46106</v>
      </c>
      <c r="M729" s="11" t="n">
        <v>5</v>
      </c>
      <c r="N729" s="11"/>
      <c r="O729" s="11"/>
    </row>
    <row r="730" customFormat="false" ht="15" hidden="false" customHeight="false" outlineLevel="0" collapsed="false">
      <c r="A730" s="11" t="s">
        <v>3122</v>
      </c>
      <c r="B730" s="11" t="s">
        <v>288</v>
      </c>
      <c r="C730" s="11" t="s">
        <v>287</v>
      </c>
      <c r="D730" s="38" t="n">
        <v>46071</v>
      </c>
      <c r="E730" s="38" t="n">
        <v>46101</v>
      </c>
      <c r="F730" s="37" t="n">
        <v>4430</v>
      </c>
      <c r="G730" s="37" t="n">
        <v>886</v>
      </c>
      <c r="H730" s="37" t="n">
        <v>5316</v>
      </c>
      <c r="I730" s="11" t="s">
        <v>283</v>
      </c>
      <c r="J730" s="11"/>
      <c r="K730" s="11" t="s">
        <v>4152</v>
      </c>
      <c r="L730" s="38" t="n">
        <v>46097</v>
      </c>
      <c r="M730" s="11" t="n">
        <v>-4</v>
      </c>
      <c r="N730" s="11"/>
      <c r="O730" s="11"/>
    </row>
    <row r="731" customFormat="false" ht="15" hidden="false" customHeight="false" outlineLevel="0" collapsed="false">
      <c r="A731" s="11" t="s">
        <v>3228</v>
      </c>
      <c r="B731" s="11" t="s">
        <v>281</v>
      </c>
      <c r="C731" s="11" t="s">
        <v>280</v>
      </c>
      <c r="D731" s="38" t="n">
        <v>46071</v>
      </c>
      <c r="E731" s="38" t="n">
        <v>46116</v>
      </c>
      <c r="F731" s="37" t="n">
        <v>8680</v>
      </c>
      <c r="G731" s="37" t="n">
        <v>1736</v>
      </c>
      <c r="H731" s="37" t="n">
        <v>10416</v>
      </c>
      <c r="I731" s="11" t="s">
        <v>283</v>
      </c>
      <c r="J731" s="11"/>
      <c r="K731" s="11" t="s">
        <v>4152</v>
      </c>
      <c r="L731" s="38" t="n">
        <v>46119</v>
      </c>
      <c r="M731" s="11" t="n">
        <v>3</v>
      </c>
      <c r="N731" s="11"/>
      <c r="O731" s="11"/>
    </row>
    <row r="732" customFormat="false" ht="15" hidden="false" customHeight="false" outlineLevel="0" collapsed="false">
      <c r="A732" s="11" t="s">
        <v>3226</v>
      </c>
      <c r="B732" s="11" t="s">
        <v>336</v>
      </c>
      <c r="C732" s="11" t="s">
        <v>335</v>
      </c>
      <c r="D732" s="38" t="n">
        <v>46073</v>
      </c>
      <c r="E732" s="38" t="n">
        <v>46118</v>
      </c>
      <c r="F732" s="37" t="n">
        <v>6550</v>
      </c>
      <c r="G732" s="37" t="n">
        <v>1310</v>
      </c>
      <c r="H732" s="37" t="n">
        <v>7860</v>
      </c>
      <c r="I732" s="11" t="s">
        <v>283</v>
      </c>
      <c r="J732" s="11"/>
      <c r="K732" s="11" t="s">
        <v>4152</v>
      </c>
      <c r="L732" s="38" t="n">
        <v>46119</v>
      </c>
      <c r="M732" s="11" t="n">
        <v>1</v>
      </c>
      <c r="N732" s="11"/>
      <c r="O732" s="11"/>
    </row>
    <row r="733" customFormat="false" ht="15" hidden="false" customHeight="false" outlineLevel="0" collapsed="false">
      <c r="A733" s="11" t="s">
        <v>3224</v>
      </c>
      <c r="B733" s="11" t="s">
        <v>281</v>
      </c>
      <c r="C733" s="11" t="s">
        <v>280</v>
      </c>
      <c r="D733" s="38" t="n">
        <v>46073</v>
      </c>
      <c r="E733" s="38" t="n">
        <v>46118</v>
      </c>
      <c r="F733" s="37" t="n">
        <v>9930</v>
      </c>
      <c r="G733" s="37" t="n">
        <v>1986</v>
      </c>
      <c r="H733" s="37" t="n">
        <v>11916</v>
      </c>
      <c r="I733" s="11" t="s">
        <v>283</v>
      </c>
      <c r="J733" s="11"/>
      <c r="K733" s="11" t="s">
        <v>4152</v>
      </c>
      <c r="L733" s="38" t="n">
        <v>46119</v>
      </c>
      <c r="M733" s="11" t="n">
        <v>1</v>
      </c>
      <c r="N733" s="11"/>
      <c r="O733" s="11"/>
    </row>
    <row r="734" customFormat="false" ht="15" hidden="false" customHeight="false" outlineLevel="0" collapsed="false">
      <c r="A734" s="11" t="s">
        <v>3222</v>
      </c>
      <c r="B734" s="11" t="s">
        <v>281</v>
      </c>
      <c r="C734" s="11" t="s">
        <v>280</v>
      </c>
      <c r="D734" s="38" t="n">
        <v>46073</v>
      </c>
      <c r="E734" s="38" t="n">
        <v>46118</v>
      </c>
      <c r="F734" s="37" t="n">
        <v>7850</v>
      </c>
      <c r="G734" s="37" t="n">
        <v>1570</v>
      </c>
      <c r="H734" s="37" t="n">
        <v>9420</v>
      </c>
      <c r="I734" s="11" t="s">
        <v>283</v>
      </c>
      <c r="J734" s="11"/>
      <c r="K734" s="11" t="s">
        <v>4152</v>
      </c>
      <c r="L734" s="38" t="n">
        <v>46119</v>
      </c>
      <c r="M734" s="11" t="n">
        <v>1</v>
      </c>
      <c r="N734" s="11"/>
      <c r="O734" s="11"/>
    </row>
    <row r="735" customFormat="false" ht="15" hidden="false" customHeight="false" outlineLevel="0" collapsed="false">
      <c r="A735" s="11" t="s">
        <v>3369</v>
      </c>
      <c r="B735" s="11" t="s">
        <v>350</v>
      </c>
      <c r="C735" s="11" t="s">
        <v>349</v>
      </c>
      <c r="D735" s="38" t="n">
        <v>46073</v>
      </c>
      <c r="E735" s="38" t="n">
        <v>46133</v>
      </c>
      <c r="F735" s="37" t="n">
        <v>6570</v>
      </c>
      <c r="G735" s="37" t="n">
        <v>1314</v>
      </c>
      <c r="H735" s="37" t="n">
        <v>7884</v>
      </c>
      <c r="I735" s="11" t="s">
        <v>283</v>
      </c>
      <c r="J735" s="11"/>
      <c r="K735" s="11" t="s">
        <v>4152</v>
      </c>
      <c r="L735" s="38" t="n">
        <v>46146</v>
      </c>
      <c r="M735" s="11" t="n">
        <v>13</v>
      </c>
      <c r="N735" s="11"/>
      <c r="O735" s="11"/>
    </row>
    <row r="736" customFormat="false" ht="15" hidden="false" customHeight="false" outlineLevel="0" collapsed="false">
      <c r="A736" s="11" t="s">
        <v>3164</v>
      </c>
      <c r="B736" s="11" t="s">
        <v>288</v>
      </c>
      <c r="C736" s="11" t="s">
        <v>287</v>
      </c>
      <c r="D736" s="38" t="n">
        <v>46077</v>
      </c>
      <c r="E736" s="38" t="n">
        <v>46107</v>
      </c>
      <c r="F736" s="37" t="n">
        <v>3750</v>
      </c>
      <c r="G736" s="37" t="n">
        <v>750</v>
      </c>
      <c r="H736" s="37" t="n">
        <v>4500</v>
      </c>
      <c r="I736" s="11" t="s">
        <v>283</v>
      </c>
      <c r="J736" s="11"/>
      <c r="K736" s="11" t="s">
        <v>4152</v>
      </c>
      <c r="L736" s="38" t="n">
        <v>46105</v>
      </c>
      <c r="M736" s="11" t="n">
        <v>-2</v>
      </c>
      <c r="N736" s="11"/>
      <c r="O736" s="11"/>
    </row>
    <row r="737" customFormat="false" ht="15" hidden="false" customHeight="false" outlineLevel="0" collapsed="false">
      <c r="A737" s="11" t="s">
        <v>3436</v>
      </c>
      <c r="B737" s="11" t="s">
        <v>328</v>
      </c>
      <c r="C737" s="11" t="s">
        <v>327</v>
      </c>
      <c r="D737" s="38" t="n">
        <v>46077</v>
      </c>
      <c r="E737" s="38" t="n">
        <v>46137</v>
      </c>
      <c r="F737" s="37" t="n">
        <v>12640</v>
      </c>
      <c r="G737" s="37" t="n">
        <v>2528</v>
      </c>
      <c r="H737" s="37" t="n">
        <v>15168</v>
      </c>
      <c r="I737" s="11" t="s">
        <v>283</v>
      </c>
      <c r="J737" s="11"/>
      <c r="K737" s="11" t="s">
        <v>4152</v>
      </c>
      <c r="L737" s="38" t="n">
        <v>46157</v>
      </c>
      <c r="M737" s="11" t="n">
        <v>20</v>
      </c>
      <c r="N737" s="11"/>
      <c r="O737" s="11"/>
    </row>
    <row r="738" customFormat="false" ht="15" hidden="false" customHeight="false" outlineLevel="0" collapsed="false">
      <c r="A738" s="11" t="s">
        <v>3250</v>
      </c>
      <c r="B738" s="11" t="s">
        <v>281</v>
      </c>
      <c r="C738" s="11" t="s">
        <v>280</v>
      </c>
      <c r="D738" s="38" t="n">
        <v>46078</v>
      </c>
      <c r="E738" s="38" t="n">
        <v>46123</v>
      </c>
      <c r="F738" s="37" t="n">
        <v>6720</v>
      </c>
      <c r="G738" s="37" t="n">
        <v>1344</v>
      </c>
      <c r="H738" s="37" t="n">
        <v>8064</v>
      </c>
      <c r="I738" s="11" t="s">
        <v>283</v>
      </c>
      <c r="J738" s="11"/>
      <c r="K738" s="11" t="s">
        <v>4152</v>
      </c>
      <c r="L738" s="38" t="n">
        <v>46125</v>
      </c>
      <c r="M738" s="11" t="n">
        <v>2</v>
      </c>
      <c r="N738" s="11"/>
      <c r="O738" s="11"/>
    </row>
    <row r="739" customFormat="false" ht="15" hidden="false" customHeight="false" outlineLevel="0" collapsed="false">
      <c r="A739" s="11" t="s">
        <v>3385</v>
      </c>
      <c r="B739" s="11" t="s">
        <v>393</v>
      </c>
      <c r="C739" s="11" t="s">
        <v>392</v>
      </c>
      <c r="D739" s="38" t="n">
        <v>46079</v>
      </c>
      <c r="E739" s="38" t="n">
        <v>46129</v>
      </c>
      <c r="F739" s="37" t="n">
        <v>9580</v>
      </c>
      <c r="G739" s="37" t="n">
        <v>1916</v>
      </c>
      <c r="H739" s="37" t="n">
        <v>11496</v>
      </c>
      <c r="I739" s="11" t="s">
        <v>283</v>
      </c>
      <c r="J739" s="11"/>
      <c r="K739" s="11" t="s">
        <v>4152</v>
      </c>
      <c r="L739" s="38" t="n">
        <v>46148</v>
      </c>
      <c r="M739" s="11" t="n">
        <v>19</v>
      </c>
      <c r="N739" s="11"/>
      <c r="O739" s="11"/>
    </row>
    <row r="740" customFormat="false" ht="15" hidden="false" customHeight="false" outlineLevel="0" collapsed="false">
      <c r="A740" s="11" t="s">
        <v>3254</v>
      </c>
      <c r="B740" s="11" t="s">
        <v>281</v>
      </c>
      <c r="C740" s="11" t="s">
        <v>280</v>
      </c>
      <c r="D740" s="38" t="n">
        <v>46079</v>
      </c>
      <c r="E740" s="38" t="n">
        <v>46124</v>
      </c>
      <c r="F740" s="37" t="n">
        <v>8600</v>
      </c>
      <c r="G740" s="37" t="n">
        <v>1720</v>
      </c>
      <c r="H740" s="37" t="n">
        <v>10320</v>
      </c>
      <c r="I740" s="11" t="s">
        <v>283</v>
      </c>
      <c r="J740" s="11"/>
      <c r="K740" s="11" t="s">
        <v>4152</v>
      </c>
      <c r="L740" s="38" t="n">
        <v>46125</v>
      </c>
      <c r="M740" s="11" t="n">
        <v>1</v>
      </c>
      <c r="N740" s="11"/>
      <c r="O740" s="11"/>
    </row>
    <row r="741" customFormat="false" ht="15" hidden="false" customHeight="false" outlineLevel="0" collapsed="false">
      <c r="A741" s="11" t="s">
        <v>3288</v>
      </c>
      <c r="B741" s="11" t="s">
        <v>324</v>
      </c>
      <c r="C741" s="11" t="s">
        <v>323</v>
      </c>
      <c r="D741" s="38" t="n">
        <v>46079</v>
      </c>
      <c r="E741" s="38" t="n">
        <v>46109</v>
      </c>
      <c r="F741" s="37" t="n">
        <v>6560</v>
      </c>
      <c r="G741" s="37" t="n">
        <v>1312</v>
      </c>
      <c r="H741" s="37" t="n">
        <v>7872</v>
      </c>
      <c r="I741" s="11" t="s">
        <v>283</v>
      </c>
      <c r="J741" s="11"/>
      <c r="K741" s="11" t="s">
        <v>4152</v>
      </c>
      <c r="L741" s="38" t="n">
        <v>46128</v>
      </c>
      <c r="M741" s="11" t="n">
        <v>19</v>
      </c>
      <c r="N741" s="11"/>
      <c r="O741" s="11"/>
    </row>
    <row r="742" customFormat="false" ht="15" hidden="false" customHeight="false" outlineLevel="0" collapsed="false">
      <c r="A742" s="11" t="s">
        <v>3420</v>
      </c>
      <c r="B742" s="11" t="s">
        <v>350</v>
      </c>
      <c r="C742" s="11" t="s">
        <v>349</v>
      </c>
      <c r="D742" s="38" t="n">
        <v>46079</v>
      </c>
      <c r="E742" s="38" t="n">
        <v>46139</v>
      </c>
      <c r="F742" s="37" t="n">
        <v>23870</v>
      </c>
      <c r="G742" s="37" t="n">
        <v>4774</v>
      </c>
      <c r="H742" s="37" t="n">
        <v>28644</v>
      </c>
      <c r="I742" s="11" t="s">
        <v>283</v>
      </c>
      <c r="J742" s="11"/>
      <c r="K742" s="11" t="s">
        <v>4152</v>
      </c>
      <c r="L742" s="38" t="n">
        <v>46153</v>
      </c>
      <c r="M742" s="11" t="n">
        <v>14</v>
      </c>
      <c r="N742" s="11"/>
      <c r="O742" s="11"/>
    </row>
    <row r="743" customFormat="false" ht="15" hidden="false" customHeight="false" outlineLevel="0" collapsed="false">
      <c r="A743" s="11" t="s">
        <v>3382</v>
      </c>
      <c r="B743" s="11" t="s">
        <v>332</v>
      </c>
      <c r="C743" s="11" t="s">
        <v>331</v>
      </c>
      <c r="D743" s="38" t="n">
        <v>46080</v>
      </c>
      <c r="E743" s="38" t="n">
        <v>46125</v>
      </c>
      <c r="F743" s="37" t="n">
        <v>4100</v>
      </c>
      <c r="G743" s="37" t="n">
        <v>820</v>
      </c>
      <c r="H743" s="37" t="n">
        <v>4920</v>
      </c>
      <c r="I743" s="11" t="s">
        <v>283</v>
      </c>
      <c r="J743" s="11"/>
      <c r="K743" s="11" t="s">
        <v>4152</v>
      </c>
      <c r="L743" s="38" t="n">
        <v>46147</v>
      </c>
      <c r="M743" s="11" t="n">
        <v>22</v>
      </c>
      <c r="N743" s="11"/>
      <c r="O743" s="11"/>
    </row>
    <row r="744" customFormat="false" ht="15" hidden="false" customHeight="false" outlineLevel="0" collapsed="false">
      <c r="A744" s="11" t="s">
        <v>3319</v>
      </c>
      <c r="B744" s="11" t="s">
        <v>332</v>
      </c>
      <c r="C744" s="11" t="s">
        <v>331</v>
      </c>
      <c r="D744" s="38" t="n">
        <v>46080</v>
      </c>
      <c r="E744" s="38" t="n">
        <v>46125</v>
      </c>
      <c r="F744" s="37" t="n">
        <v>10890</v>
      </c>
      <c r="G744" s="37" t="n">
        <v>2178</v>
      </c>
      <c r="H744" s="37" t="n">
        <v>13068</v>
      </c>
      <c r="I744" s="11" t="s">
        <v>283</v>
      </c>
      <c r="J744" s="11"/>
      <c r="K744" s="11" t="s">
        <v>4152</v>
      </c>
      <c r="L744" s="38" t="n">
        <v>46139</v>
      </c>
      <c r="M744" s="11" t="n">
        <v>14</v>
      </c>
      <c r="N744" s="11"/>
      <c r="O744" s="11"/>
    </row>
    <row r="745" customFormat="false" ht="15" hidden="false" customHeight="false" outlineLevel="0" collapsed="false">
      <c r="A745" s="11" t="s">
        <v>3258</v>
      </c>
      <c r="B745" s="11" t="s">
        <v>281</v>
      </c>
      <c r="C745" s="11" t="s">
        <v>280</v>
      </c>
      <c r="D745" s="38" t="n">
        <v>46080</v>
      </c>
      <c r="E745" s="38" t="n">
        <v>46125</v>
      </c>
      <c r="F745" s="37" t="n">
        <v>3170</v>
      </c>
      <c r="G745" s="37" t="n">
        <v>634</v>
      </c>
      <c r="H745" s="37" t="n">
        <v>3804</v>
      </c>
      <c r="I745" s="11" t="s">
        <v>283</v>
      </c>
      <c r="J745" s="11"/>
      <c r="K745" s="11" t="s">
        <v>4152</v>
      </c>
      <c r="L745" s="38" t="n">
        <v>46125</v>
      </c>
      <c r="M745" s="11" t="n">
        <v>0</v>
      </c>
      <c r="N745" s="11"/>
      <c r="O745" s="11"/>
    </row>
    <row r="746" customFormat="false" ht="15" hidden="false" customHeight="false" outlineLevel="0" collapsed="false">
      <c r="A746" s="11" t="s">
        <v>3260</v>
      </c>
      <c r="B746" s="11" t="s">
        <v>324</v>
      </c>
      <c r="C746" s="11" t="s">
        <v>323</v>
      </c>
      <c r="D746" s="38" t="n">
        <v>46083</v>
      </c>
      <c r="E746" s="38" t="n">
        <v>46113</v>
      </c>
      <c r="F746" s="37" t="n">
        <v>4480</v>
      </c>
      <c r="G746" s="37" t="n">
        <v>896</v>
      </c>
      <c r="H746" s="37" t="n">
        <v>5376</v>
      </c>
      <c r="I746" s="11" t="s">
        <v>283</v>
      </c>
      <c r="J746" s="11"/>
      <c r="K746" s="11" t="s">
        <v>4152</v>
      </c>
      <c r="L746" s="38" t="n">
        <v>46125</v>
      </c>
      <c r="M746" s="11" t="n">
        <v>12</v>
      </c>
      <c r="N746" s="11"/>
      <c r="O746" s="11"/>
    </row>
    <row r="747" customFormat="false" ht="15" hidden="false" customHeight="false" outlineLevel="0" collapsed="false">
      <c r="A747" s="11" t="s">
        <v>3378</v>
      </c>
      <c r="B747" s="11" t="s">
        <v>393</v>
      </c>
      <c r="C747" s="11" t="s">
        <v>392</v>
      </c>
      <c r="D747" s="38" t="n">
        <v>46083</v>
      </c>
      <c r="E747" s="38" t="n">
        <v>46133</v>
      </c>
      <c r="F747" s="37" t="n">
        <v>7530</v>
      </c>
      <c r="G747" s="37" t="n">
        <v>1506</v>
      </c>
      <c r="H747" s="37" t="n">
        <v>9036</v>
      </c>
      <c r="I747" s="11" t="s">
        <v>283</v>
      </c>
      <c r="J747" s="11"/>
      <c r="K747" s="11" t="s">
        <v>4152</v>
      </c>
      <c r="L747" s="38" t="n">
        <v>46146</v>
      </c>
      <c r="M747" s="11" t="n">
        <v>13</v>
      </c>
      <c r="N747" s="11"/>
      <c r="O747" s="11"/>
    </row>
    <row r="748" customFormat="false" ht="15" hidden="false" customHeight="false" outlineLevel="0" collapsed="false">
      <c r="A748" s="11" t="s">
        <v>3266</v>
      </c>
      <c r="B748" s="11" t="s">
        <v>400</v>
      </c>
      <c r="C748" s="11" t="s">
        <v>399</v>
      </c>
      <c r="D748" s="38" t="n">
        <v>46083</v>
      </c>
      <c r="E748" s="38" t="n">
        <v>46113</v>
      </c>
      <c r="F748" s="37" t="n">
        <v>14110</v>
      </c>
      <c r="G748" s="37" t="n">
        <v>2822</v>
      </c>
      <c r="H748" s="37" t="n">
        <v>16932</v>
      </c>
      <c r="I748" s="11" t="s">
        <v>283</v>
      </c>
      <c r="J748" s="11"/>
      <c r="K748" s="11" t="s">
        <v>4152</v>
      </c>
      <c r="L748" s="38" t="n">
        <v>46125</v>
      </c>
      <c r="M748" s="11" t="n">
        <v>12</v>
      </c>
      <c r="N748" s="11"/>
      <c r="O748" s="11"/>
    </row>
    <row r="749" customFormat="false" ht="15" hidden="false" customHeight="false" outlineLevel="0" collapsed="false">
      <c r="A749" s="11" t="s">
        <v>3333</v>
      </c>
      <c r="B749" s="11" t="s">
        <v>336</v>
      </c>
      <c r="C749" s="11" t="s">
        <v>335</v>
      </c>
      <c r="D749" s="38" t="n">
        <v>46083</v>
      </c>
      <c r="E749" s="38" t="n">
        <v>46128</v>
      </c>
      <c r="F749" s="37" t="n">
        <v>3660</v>
      </c>
      <c r="G749" s="37" t="n">
        <v>732</v>
      </c>
      <c r="H749" s="37" t="n">
        <v>4392</v>
      </c>
      <c r="I749" s="11" t="s">
        <v>283</v>
      </c>
      <c r="J749" s="11"/>
      <c r="K749" s="11" t="s">
        <v>4152</v>
      </c>
      <c r="L749" s="38" t="n">
        <v>46140</v>
      </c>
      <c r="M749" s="11" t="n">
        <v>12</v>
      </c>
      <c r="N749" s="11"/>
      <c r="O749" s="11"/>
    </row>
    <row r="750" customFormat="false" ht="15" hidden="false" customHeight="false" outlineLevel="0" collapsed="false">
      <c r="A750" s="11" t="s">
        <v>3286</v>
      </c>
      <c r="B750" s="11" t="s">
        <v>281</v>
      </c>
      <c r="C750" s="11" t="s">
        <v>280</v>
      </c>
      <c r="D750" s="38" t="n">
        <v>46083</v>
      </c>
      <c r="E750" s="38" t="n">
        <v>46128</v>
      </c>
      <c r="F750" s="37" t="n">
        <v>9040</v>
      </c>
      <c r="G750" s="37" t="n">
        <v>1808</v>
      </c>
      <c r="H750" s="37" t="n">
        <v>10848</v>
      </c>
      <c r="I750" s="11" t="s">
        <v>283</v>
      </c>
      <c r="J750" s="11"/>
      <c r="K750" s="11" t="s">
        <v>4152</v>
      </c>
      <c r="L750" s="38" t="n">
        <v>46128</v>
      </c>
      <c r="M750" s="11" t="n">
        <v>0</v>
      </c>
      <c r="N750" s="11"/>
      <c r="O750" s="11"/>
    </row>
    <row r="751" customFormat="false" ht="15" hidden="false" customHeight="false" outlineLevel="0" collapsed="false">
      <c r="A751" s="11" t="s">
        <v>3282</v>
      </c>
      <c r="B751" s="11" t="s">
        <v>281</v>
      </c>
      <c r="C751" s="11" t="s">
        <v>280</v>
      </c>
      <c r="D751" s="38" t="n">
        <v>46083</v>
      </c>
      <c r="E751" s="38" t="n">
        <v>46128</v>
      </c>
      <c r="F751" s="37" t="n">
        <v>5620</v>
      </c>
      <c r="G751" s="37" t="n">
        <v>1124</v>
      </c>
      <c r="H751" s="37" t="n">
        <v>6744</v>
      </c>
      <c r="I751" s="11" t="s">
        <v>283</v>
      </c>
      <c r="J751" s="11"/>
      <c r="K751" s="11" t="s">
        <v>4152</v>
      </c>
      <c r="L751" s="38" t="n">
        <v>46128</v>
      </c>
      <c r="M751" s="11" t="n">
        <v>0</v>
      </c>
      <c r="N751" s="11"/>
      <c r="O751" s="11"/>
    </row>
    <row r="752" customFormat="false" ht="15" hidden="false" customHeight="false" outlineLevel="0" collapsed="false">
      <c r="A752" s="11" t="s">
        <v>3359</v>
      </c>
      <c r="B752" s="11" t="s">
        <v>332</v>
      </c>
      <c r="C752" s="11" t="s">
        <v>331</v>
      </c>
      <c r="D752" s="38" t="n">
        <v>46083</v>
      </c>
      <c r="E752" s="38" t="n">
        <v>46128</v>
      </c>
      <c r="F752" s="37" t="n">
        <v>9360</v>
      </c>
      <c r="G752" s="37" t="n">
        <v>1872</v>
      </c>
      <c r="H752" s="37" t="n">
        <v>11232</v>
      </c>
      <c r="I752" s="11" t="s">
        <v>283</v>
      </c>
      <c r="J752" s="11"/>
      <c r="K752" s="11" t="s">
        <v>4152</v>
      </c>
      <c r="L752" s="38" t="n">
        <v>46146</v>
      </c>
      <c r="M752" s="11" t="n">
        <v>18</v>
      </c>
      <c r="N752" s="11"/>
      <c r="O752" s="11"/>
    </row>
    <row r="753" customFormat="false" ht="15" hidden="false" customHeight="false" outlineLevel="0" collapsed="false">
      <c r="A753" s="11" t="s">
        <v>3308</v>
      </c>
      <c r="B753" s="11" t="s">
        <v>324</v>
      </c>
      <c r="C753" s="11" t="s">
        <v>323</v>
      </c>
      <c r="D753" s="38" t="n">
        <v>46084</v>
      </c>
      <c r="E753" s="38" t="n">
        <v>46114</v>
      </c>
      <c r="F753" s="37" t="n">
        <v>4830</v>
      </c>
      <c r="G753" s="37" t="n">
        <v>966</v>
      </c>
      <c r="H753" s="37" t="n">
        <v>5796</v>
      </c>
      <c r="I753" s="11" t="s">
        <v>283</v>
      </c>
      <c r="J753" s="11"/>
      <c r="K753" s="11" t="s">
        <v>4152</v>
      </c>
      <c r="L753" s="38" t="n">
        <v>46134</v>
      </c>
      <c r="M753" s="11" t="n">
        <v>20</v>
      </c>
      <c r="N753" s="11"/>
      <c r="O753" s="11"/>
    </row>
    <row r="754" customFormat="false" ht="15" hidden="false" customHeight="false" outlineLevel="0" collapsed="false">
      <c r="A754" s="11" t="s">
        <v>3294</v>
      </c>
      <c r="B754" s="11" t="s">
        <v>281</v>
      </c>
      <c r="C754" s="11" t="s">
        <v>280</v>
      </c>
      <c r="D754" s="38" t="n">
        <v>46084</v>
      </c>
      <c r="E754" s="38" t="n">
        <v>46129</v>
      </c>
      <c r="F754" s="37" t="n">
        <v>6060</v>
      </c>
      <c r="G754" s="37" t="n">
        <v>1212</v>
      </c>
      <c r="H754" s="37" t="n">
        <v>7272</v>
      </c>
      <c r="I754" s="11" t="s">
        <v>283</v>
      </c>
      <c r="J754" s="11"/>
      <c r="K754" s="11" t="s">
        <v>4152</v>
      </c>
      <c r="L754" s="38" t="n">
        <v>46129</v>
      </c>
      <c r="M754" s="11" t="n">
        <v>0</v>
      </c>
      <c r="N754" s="11"/>
      <c r="O754" s="11"/>
    </row>
    <row r="755" customFormat="false" ht="15" hidden="false" customHeight="false" outlineLevel="0" collapsed="false">
      <c r="A755" s="11" t="s">
        <v>3262</v>
      </c>
      <c r="B755" s="11" t="s">
        <v>288</v>
      </c>
      <c r="C755" s="11" t="s">
        <v>287</v>
      </c>
      <c r="D755" s="38" t="n">
        <v>46085</v>
      </c>
      <c r="E755" s="38" t="n">
        <v>46115</v>
      </c>
      <c r="F755" s="37" t="n">
        <v>2310</v>
      </c>
      <c r="G755" s="37" t="n">
        <v>462</v>
      </c>
      <c r="H755" s="37" t="n">
        <v>2772</v>
      </c>
      <c r="I755" s="11" t="s">
        <v>283</v>
      </c>
      <c r="J755" s="11"/>
      <c r="K755" s="11" t="s">
        <v>4152</v>
      </c>
      <c r="L755" s="38" t="n">
        <v>46125</v>
      </c>
      <c r="M755" s="11" t="n">
        <v>10</v>
      </c>
      <c r="N755" s="11"/>
      <c r="O755" s="11"/>
    </row>
    <row r="756" customFormat="false" ht="15" hidden="false" customHeight="false" outlineLevel="0" collapsed="false">
      <c r="A756" s="11" t="s">
        <v>3300</v>
      </c>
      <c r="B756" s="11" t="s">
        <v>336</v>
      </c>
      <c r="C756" s="11" t="s">
        <v>335</v>
      </c>
      <c r="D756" s="38" t="n">
        <v>46086</v>
      </c>
      <c r="E756" s="38" t="n">
        <v>46131</v>
      </c>
      <c r="F756" s="37" t="n">
        <v>3580</v>
      </c>
      <c r="G756" s="37" t="n">
        <v>716</v>
      </c>
      <c r="H756" s="37" t="n">
        <v>4296</v>
      </c>
      <c r="I756" s="11" t="s">
        <v>283</v>
      </c>
      <c r="J756" s="11"/>
      <c r="K756" s="11" t="s">
        <v>4152</v>
      </c>
      <c r="L756" s="38" t="n">
        <v>46132</v>
      </c>
      <c r="M756" s="11" t="n">
        <v>1</v>
      </c>
      <c r="N756" s="11"/>
      <c r="O756" s="11"/>
    </row>
    <row r="757" customFormat="false" ht="15" hidden="false" customHeight="false" outlineLevel="0" collapsed="false">
      <c r="A757" s="11" t="s">
        <v>3489</v>
      </c>
      <c r="B757" s="11" t="s">
        <v>350</v>
      </c>
      <c r="C757" s="11" t="s">
        <v>349</v>
      </c>
      <c r="D757" s="38" t="n">
        <v>46086</v>
      </c>
      <c r="E757" s="38" t="n">
        <v>46146</v>
      </c>
      <c r="F757" s="37" t="n">
        <v>15090</v>
      </c>
      <c r="G757" s="37" t="n">
        <v>3018</v>
      </c>
      <c r="H757" s="37" t="n">
        <v>18108</v>
      </c>
      <c r="I757" s="11" t="s">
        <v>283</v>
      </c>
      <c r="J757" s="11"/>
      <c r="K757" s="11" t="s">
        <v>4152</v>
      </c>
      <c r="L757" s="38" t="n">
        <v>46169</v>
      </c>
      <c r="M757" s="11" t="n">
        <v>23</v>
      </c>
      <c r="N757" s="11"/>
      <c r="O757" s="11"/>
    </row>
    <row r="758" customFormat="false" ht="15" hidden="false" customHeight="false" outlineLevel="0" collapsed="false">
      <c r="A758" s="11" t="s">
        <v>3447</v>
      </c>
      <c r="B758" s="11" t="s">
        <v>328</v>
      </c>
      <c r="C758" s="11" t="s">
        <v>327</v>
      </c>
      <c r="D758" s="38" t="n">
        <v>46086</v>
      </c>
      <c r="E758" s="38" t="n">
        <v>46146</v>
      </c>
      <c r="F758" s="37" t="n">
        <v>10160</v>
      </c>
      <c r="G758" s="37" t="n">
        <v>2032</v>
      </c>
      <c r="H758" s="37" t="n">
        <v>12192</v>
      </c>
      <c r="I758" s="11" t="s">
        <v>283</v>
      </c>
      <c r="J758" s="11"/>
      <c r="K758" s="11" t="s">
        <v>4152</v>
      </c>
      <c r="L758" s="38" t="n">
        <v>46160</v>
      </c>
      <c r="M758" s="11" t="n">
        <v>14</v>
      </c>
      <c r="N758" s="11"/>
      <c r="O758" s="11"/>
    </row>
    <row r="759" customFormat="false" ht="15" hidden="false" customHeight="false" outlineLevel="0" collapsed="false">
      <c r="A759" s="11" t="s">
        <v>3298</v>
      </c>
      <c r="B759" s="11" t="s">
        <v>281</v>
      </c>
      <c r="C759" s="11" t="s">
        <v>280</v>
      </c>
      <c r="D759" s="38" t="n">
        <v>46087</v>
      </c>
      <c r="E759" s="38" t="n">
        <v>46132</v>
      </c>
      <c r="F759" s="37" t="n">
        <v>4210</v>
      </c>
      <c r="G759" s="37" t="n">
        <v>842</v>
      </c>
      <c r="H759" s="37" t="n">
        <v>5052</v>
      </c>
      <c r="I759" s="11" t="s">
        <v>283</v>
      </c>
      <c r="J759" s="11"/>
      <c r="K759" s="11" t="s">
        <v>4152</v>
      </c>
      <c r="L759" s="38" t="n">
        <v>46132</v>
      </c>
      <c r="M759" s="11" t="n">
        <v>0</v>
      </c>
      <c r="N759" s="11"/>
      <c r="O759" s="11"/>
    </row>
    <row r="760" customFormat="false" ht="15" hidden="false" customHeight="false" outlineLevel="0" collapsed="false">
      <c r="A760" s="11" t="s">
        <v>3337</v>
      </c>
      <c r="B760" s="11" t="s">
        <v>336</v>
      </c>
      <c r="C760" s="11" t="s">
        <v>335</v>
      </c>
      <c r="D760" s="38" t="n">
        <v>46087</v>
      </c>
      <c r="E760" s="38" t="n">
        <v>46132</v>
      </c>
      <c r="F760" s="37" t="n">
        <v>5440</v>
      </c>
      <c r="G760" s="37" t="n">
        <v>1088</v>
      </c>
      <c r="H760" s="37" t="n">
        <v>6528</v>
      </c>
      <c r="I760" s="11" t="s">
        <v>283</v>
      </c>
      <c r="J760" s="11"/>
      <c r="K760" s="11" t="s">
        <v>4152</v>
      </c>
      <c r="L760" s="38" t="n">
        <v>46141</v>
      </c>
      <c r="M760" s="11" t="n">
        <v>9</v>
      </c>
      <c r="N760" s="11"/>
      <c r="O760" s="11"/>
    </row>
    <row r="761" customFormat="false" ht="15" hidden="false" customHeight="false" outlineLevel="0" collapsed="false">
      <c r="A761" s="11" t="s">
        <v>3355</v>
      </c>
      <c r="B761" s="11" t="s">
        <v>288</v>
      </c>
      <c r="C761" s="11" t="s">
        <v>287</v>
      </c>
      <c r="D761" s="38" t="n">
        <v>46087</v>
      </c>
      <c r="E761" s="38" t="n">
        <v>46117</v>
      </c>
      <c r="F761" s="37" t="n">
        <v>6080</v>
      </c>
      <c r="G761" s="37" t="n">
        <v>1216</v>
      </c>
      <c r="H761" s="37" t="n">
        <v>7296</v>
      </c>
      <c r="I761" s="11" t="s">
        <v>283</v>
      </c>
      <c r="J761" s="11"/>
      <c r="K761" s="11" t="s">
        <v>4152</v>
      </c>
      <c r="L761" s="38" t="n">
        <v>46146</v>
      </c>
      <c r="M761" s="11" t="n">
        <v>29</v>
      </c>
      <c r="N761" s="11"/>
      <c r="O761" s="11"/>
    </row>
    <row r="762" customFormat="false" ht="15" hidden="false" customHeight="false" outlineLevel="0" collapsed="false">
      <c r="A762" s="11" t="s">
        <v>3422</v>
      </c>
      <c r="B762" s="11" t="s">
        <v>299</v>
      </c>
      <c r="C762" s="11" t="s">
        <v>298</v>
      </c>
      <c r="D762" s="38" t="n">
        <v>46087</v>
      </c>
      <c r="E762" s="38" t="n">
        <v>46147</v>
      </c>
      <c r="F762" s="37" t="n">
        <v>8320</v>
      </c>
      <c r="G762" s="37" t="n">
        <v>0</v>
      </c>
      <c r="H762" s="37" t="n">
        <v>8320</v>
      </c>
      <c r="I762" s="11" t="s">
        <v>283</v>
      </c>
      <c r="J762" s="11"/>
      <c r="K762" s="11" t="s">
        <v>4152</v>
      </c>
      <c r="L762" s="38" t="n">
        <v>46154</v>
      </c>
      <c r="M762" s="11" t="n">
        <v>7</v>
      </c>
      <c r="N762" s="11"/>
      <c r="O762" s="11"/>
    </row>
    <row r="763" customFormat="false" ht="15" hidden="false" customHeight="false" outlineLevel="0" collapsed="false">
      <c r="A763" s="11" t="s">
        <v>3357</v>
      </c>
      <c r="B763" s="11" t="s">
        <v>811</v>
      </c>
      <c r="C763" s="11" t="s">
        <v>810</v>
      </c>
      <c r="D763" s="38" t="n">
        <v>46090</v>
      </c>
      <c r="E763" s="38" t="n">
        <v>46135</v>
      </c>
      <c r="F763" s="37" t="n">
        <v>36000</v>
      </c>
      <c r="G763" s="37" t="n">
        <v>7200</v>
      </c>
      <c r="H763" s="37" t="n">
        <v>43200</v>
      </c>
      <c r="I763" s="11" t="s">
        <v>4219</v>
      </c>
      <c r="J763" s="11" t="s">
        <v>4217</v>
      </c>
      <c r="K763" s="11" t="s">
        <v>4152</v>
      </c>
      <c r="L763" s="38" t="n">
        <v>46146</v>
      </c>
      <c r="M763" s="11" t="n">
        <v>11</v>
      </c>
      <c r="N763" s="11"/>
      <c r="O763" s="11"/>
    </row>
    <row r="764" customFormat="false" ht="15" hidden="false" customHeight="false" outlineLevel="0" collapsed="false">
      <c r="A764" s="11" t="s">
        <v>3462</v>
      </c>
      <c r="B764" s="11" t="s">
        <v>332</v>
      </c>
      <c r="C764" s="11" t="s">
        <v>331</v>
      </c>
      <c r="D764" s="38" t="n">
        <v>46090</v>
      </c>
      <c r="E764" s="38" t="n">
        <v>46135</v>
      </c>
      <c r="F764" s="37" t="n">
        <v>7600</v>
      </c>
      <c r="G764" s="37" t="n">
        <v>1520</v>
      </c>
      <c r="H764" s="37" t="n">
        <v>9120</v>
      </c>
      <c r="I764" s="11" t="s">
        <v>283</v>
      </c>
      <c r="J764" s="11"/>
      <c r="K764" s="11" t="s">
        <v>4152</v>
      </c>
      <c r="L764" s="38" t="n">
        <v>46162</v>
      </c>
      <c r="M764" s="11" t="n">
        <v>27</v>
      </c>
      <c r="N764" s="11"/>
      <c r="O764" s="11"/>
    </row>
    <row r="765" customFormat="false" ht="15" hidden="false" customHeight="false" outlineLevel="0" collapsed="false">
      <c r="A765" s="11" t="s">
        <v>3528</v>
      </c>
      <c r="B765" s="11" t="s">
        <v>328</v>
      </c>
      <c r="C765" s="11" t="s">
        <v>327</v>
      </c>
      <c r="D765" s="38" t="n">
        <v>46091</v>
      </c>
      <c r="E765" s="38" t="n">
        <v>46151</v>
      </c>
      <c r="F765" s="37" t="n">
        <v>15170</v>
      </c>
      <c r="G765" s="37" t="n">
        <v>3034</v>
      </c>
      <c r="H765" s="37" t="n">
        <v>18204</v>
      </c>
      <c r="I765" s="11" t="s">
        <v>283</v>
      </c>
      <c r="J765" s="11"/>
      <c r="K765" s="11" t="s">
        <v>4152</v>
      </c>
      <c r="L765" s="38" t="n">
        <v>46177</v>
      </c>
      <c r="M765" s="11" t="n">
        <v>26</v>
      </c>
      <c r="N765" s="11"/>
      <c r="O765" s="11"/>
    </row>
    <row r="766" customFormat="false" ht="15" hidden="false" customHeight="false" outlineLevel="0" collapsed="false">
      <c r="A766" s="11" t="s">
        <v>3539</v>
      </c>
      <c r="B766" s="11" t="s">
        <v>328</v>
      </c>
      <c r="C766" s="11" t="s">
        <v>327</v>
      </c>
      <c r="D766" s="38" t="n">
        <v>46091</v>
      </c>
      <c r="E766" s="38" t="n">
        <v>46151</v>
      </c>
      <c r="F766" s="37" t="n">
        <v>10230</v>
      </c>
      <c r="G766" s="37" t="n">
        <v>2046</v>
      </c>
      <c r="H766" s="37" t="n">
        <v>12276</v>
      </c>
      <c r="I766" s="11" t="s">
        <v>283</v>
      </c>
      <c r="J766" s="11"/>
      <c r="K766" s="11" t="s">
        <v>4152</v>
      </c>
      <c r="L766" s="38" t="n">
        <v>46181</v>
      </c>
      <c r="M766" s="11" t="n">
        <v>30</v>
      </c>
      <c r="N766" s="11"/>
      <c r="O766" s="11"/>
    </row>
    <row r="767" customFormat="false" ht="15" hidden="false" customHeight="false" outlineLevel="0" collapsed="false">
      <c r="A767" s="11" t="s">
        <v>3351</v>
      </c>
      <c r="B767" s="11" t="s">
        <v>336</v>
      </c>
      <c r="C767" s="11" t="s">
        <v>335</v>
      </c>
      <c r="D767" s="38" t="n">
        <v>46091</v>
      </c>
      <c r="E767" s="38" t="n">
        <v>46136</v>
      </c>
      <c r="F767" s="37" t="n">
        <v>9260</v>
      </c>
      <c r="G767" s="37" t="n">
        <v>1852</v>
      </c>
      <c r="H767" s="37" t="n">
        <v>11112</v>
      </c>
      <c r="I767" s="11" t="s">
        <v>283</v>
      </c>
      <c r="J767" s="11"/>
      <c r="K767" s="11" t="s">
        <v>4152</v>
      </c>
      <c r="L767" s="38" t="n">
        <v>46146</v>
      </c>
      <c r="M767" s="11" t="n">
        <v>10</v>
      </c>
      <c r="N767" s="11"/>
      <c r="O767" s="11"/>
    </row>
    <row r="768" customFormat="false" ht="15" hidden="false" customHeight="false" outlineLevel="0" collapsed="false">
      <c r="A768" s="11" t="s">
        <v>3363</v>
      </c>
      <c r="B768" s="11" t="s">
        <v>336</v>
      </c>
      <c r="C768" s="11" t="s">
        <v>335</v>
      </c>
      <c r="D768" s="38" t="n">
        <v>46092</v>
      </c>
      <c r="E768" s="38" t="n">
        <v>46137</v>
      </c>
      <c r="F768" s="37" t="n">
        <v>3710</v>
      </c>
      <c r="G768" s="37" t="n">
        <v>742</v>
      </c>
      <c r="H768" s="37" t="n">
        <v>4452</v>
      </c>
      <c r="I768" s="11" t="s">
        <v>283</v>
      </c>
      <c r="J768" s="11"/>
      <c r="K768" s="11" t="s">
        <v>4152</v>
      </c>
      <c r="L768" s="38" t="n">
        <v>46146</v>
      </c>
      <c r="M768" s="11" t="n">
        <v>9</v>
      </c>
      <c r="N768" s="11"/>
      <c r="O768" s="11"/>
    </row>
    <row r="769" customFormat="false" ht="15" hidden="false" customHeight="false" outlineLevel="0" collapsed="false">
      <c r="A769" s="11" t="s">
        <v>3331</v>
      </c>
      <c r="B769" s="11" t="s">
        <v>336</v>
      </c>
      <c r="C769" s="11" t="s">
        <v>335</v>
      </c>
      <c r="D769" s="38" t="n">
        <v>46092</v>
      </c>
      <c r="E769" s="38" t="n">
        <v>46137</v>
      </c>
      <c r="F769" s="37" t="n">
        <v>2210</v>
      </c>
      <c r="G769" s="37" t="n">
        <v>442</v>
      </c>
      <c r="H769" s="37" t="n">
        <v>2652</v>
      </c>
      <c r="I769" s="11" t="s">
        <v>283</v>
      </c>
      <c r="J769" s="11"/>
      <c r="K769" s="11" t="s">
        <v>4152</v>
      </c>
      <c r="L769" s="38" t="n">
        <v>46139</v>
      </c>
      <c r="M769" s="11" t="n">
        <v>2</v>
      </c>
      <c r="N769" s="11"/>
      <c r="O769" s="11"/>
    </row>
    <row r="770" customFormat="false" ht="15" hidden="false" customHeight="false" outlineLevel="0" collapsed="false">
      <c r="A770" s="11" t="s">
        <v>3270</v>
      </c>
      <c r="B770" s="11" t="s">
        <v>288</v>
      </c>
      <c r="C770" s="11" t="s">
        <v>287</v>
      </c>
      <c r="D770" s="38" t="n">
        <v>46092</v>
      </c>
      <c r="E770" s="38" t="n">
        <v>46122</v>
      </c>
      <c r="F770" s="37" t="n">
        <v>4090</v>
      </c>
      <c r="G770" s="37" t="n">
        <v>818</v>
      </c>
      <c r="H770" s="37" t="n">
        <v>4908</v>
      </c>
      <c r="I770" s="11" t="s">
        <v>283</v>
      </c>
      <c r="J770" s="11"/>
      <c r="K770" s="11" t="s">
        <v>4152</v>
      </c>
      <c r="L770" s="38" t="n">
        <v>46125</v>
      </c>
      <c r="M770" s="11" t="n">
        <v>3</v>
      </c>
      <c r="N770" s="11"/>
      <c r="O770" s="11"/>
    </row>
    <row r="771" customFormat="false" ht="15" hidden="false" customHeight="false" outlineLevel="0" collapsed="false">
      <c r="A771" s="11" t="s">
        <v>3329</v>
      </c>
      <c r="B771" s="11" t="s">
        <v>281</v>
      </c>
      <c r="C771" s="11" t="s">
        <v>280</v>
      </c>
      <c r="D771" s="38" t="n">
        <v>46092</v>
      </c>
      <c r="E771" s="38" t="n">
        <v>46137</v>
      </c>
      <c r="F771" s="37" t="n">
        <v>3710</v>
      </c>
      <c r="G771" s="37" t="n">
        <v>742</v>
      </c>
      <c r="H771" s="37" t="n">
        <v>4452</v>
      </c>
      <c r="I771" s="11" t="s">
        <v>283</v>
      </c>
      <c r="J771" s="11"/>
      <c r="K771" s="11" t="s">
        <v>4152</v>
      </c>
      <c r="L771" s="38" t="n">
        <v>46139</v>
      </c>
      <c r="M771" s="11" t="n">
        <v>2</v>
      </c>
      <c r="N771" s="11"/>
      <c r="O771" s="11"/>
    </row>
    <row r="772" customFormat="false" ht="15" hidden="false" customHeight="false" outlineLevel="0" collapsed="false">
      <c r="A772" s="11" t="s">
        <v>3327</v>
      </c>
      <c r="B772" s="11" t="s">
        <v>324</v>
      </c>
      <c r="C772" s="11" t="s">
        <v>323</v>
      </c>
      <c r="D772" s="38" t="n">
        <v>46092</v>
      </c>
      <c r="E772" s="38" t="n">
        <v>46122</v>
      </c>
      <c r="F772" s="37" t="n">
        <v>6310</v>
      </c>
      <c r="G772" s="37" t="n">
        <v>1262</v>
      </c>
      <c r="H772" s="37" t="n">
        <v>7572</v>
      </c>
      <c r="I772" s="11" t="s">
        <v>283</v>
      </c>
      <c r="J772" s="11"/>
      <c r="K772" s="11" t="s">
        <v>4152</v>
      </c>
      <c r="L772" s="38" t="n">
        <v>46139</v>
      </c>
      <c r="M772" s="11" t="n">
        <v>17</v>
      </c>
      <c r="N772" s="11"/>
      <c r="O772" s="11"/>
    </row>
    <row r="773" customFormat="false" ht="15" hidden="false" customHeight="false" outlineLevel="0" collapsed="false">
      <c r="A773" s="11" t="s">
        <v>3335</v>
      </c>
      <c r="B773" s="11" t="s">
        <v>400</v>
      </c>
      <c r="C773" s="11" t="s">
        <v>399</v>
      </c>
      <c r="D773" s="38" t="n">
        <v>46093</v>
      </c>
      <c r="E773" s="38" t="n">
        <v>46123</v>
      </c>
      <c r="F773" s="37" t="n">
        <v>17750</v>
      </c>
      <c r="G773" s="37" t="n">
        <v>3550</v>
      </c>
      <c r="H773" s="37" t="n">
        <v>21300</v>
      </c>
      <c r="I773" s="11" t="s">
        <v>283</v>
      </c>
      <c r="J773" s="11"/>
      <c r="K773" s="11" t="s">
        <v>4152</v>
      </c>
      <c r="L773" s="38" t="n">
        <v>46141</v>
      </c>
      <c r="M773" s="11" t="n">
        <v>18</v>
      </c>
      <c r="N773" s="11"/>
      <c r="O773" s="11"/>
    </row>
    <row r="774" customFormat="false" ht="15" hidden="false" customHeight="false" outlineLevel="0" collapsed="false">
      <c r="A774" s="11" t="s">
        <v>3272</v>
      </c>
      <c r="B774" s="11" t="s">
        <v>288</v>
      </c>
      <c r="C774" s="11" t="s">
        <v>287</v>
      </c>
      <c r="D774" s="38" t="n">
        <v>46094</v>
      </c>
      <c r="E774" s="38" t="n">
        <v>46124</v>
      </c>
      <c r="F774" s="37" t="n">
        <v>3470</v>
      </c>
      <c r="G774" s="37" t="n">
        <v>694</v>
      </c>
      <c r="H774" s="37" t="n">
        <v>4164</v>
      </c>
      <c r="I774" s="11" t="s">
        <v>283</v>
      </c>
      <c r="J774" s="11"/>
      <c r="K774" s="11" t="s">
        <v>4152</v>
      </c>
      <c r="L774" s="38" t="n">
        <v>46126</v>
      </c>
      <c r="M774" s="11" t="n">
        <v>2</v>
      </c>
      <c r="N774" s="11"/>
      <c r="O774" s="11"/>
    </row>
    <row r="775" customFormat="false" ht="15" hidden="false" customHeight="false" outlineLevel="0" collapsed="false">
      <c r="A775" s="11" t="s">
        <v>3453</v>
      </c>
      <c r="B775" s="11" t="s">
        <v>350</v>
      </c>
      <c r="C775" s="11" t="s">
        <v>349</v>
      </c>
      <c r="D775" s="38" t="n">
        <v>46094</v>
      </c>
      <c r="E775" s="38" t="n">
        <v>46154</v>
      </c>
      <c r="F775" s="37" t="n">
        <v>12910</v>
      </c>
      <c r="G775" s="37" t="n">
        <v>2582</v>
      </c>
      <c r="H775" s="37" t="n">
        <v>15492</v>
      </c>
      <c r="I775" s="11" t="s">
        <v>283</v>
      </c>
      <c r="J775" s="11"/>
      <c r="K775" s="11" t="s">
        <v>4152</v>
      </c>
      <c r="L775" s="38" t="n">
        <v>46160</v>
      </c>
      <c r="M775" s="11" t="n">
        <v>6</v>
      </c>
      <c r="N775" s="11"/>
      <c r="O775" s="11"/>
    </row>
    <row r="776" customFormat="false" ht="15" hidden="false" customHeight="false" outlineLevel="0" collapsed="false">
      <c r="A776" s="11" t="s">
        <v>3325</v>
      </c>
      <c r="B776" s="11" t="s">
        <v>324</v>
      </c>
      <c r="C776" s="11" t="s">
        <v>323</v>
      </c>
      <c r="D776" s="38" t="n">
        <v>46094</v>
      </c>
      <c r="E776" s="38" t="n">
        <v>46124</v>
      </c>
      <c r="F776" s="37" t="n">
        <v>7180</v>
      </c>
      <c r="G776" s="37" t="n">
        <v>1436</v>
      </c>
      <c r="H776" s="37" t="n">
        <v>8616</v>
      </c>
      <c r="I776" s="11" t="s">
        <v>283</v>
      </c>
      <c r="J776" s="11"/>
      <c r="K776" s="11" t="s">
        <v>4152</v>
      </c>
      <c r="L776" s="38" t="n">
        <v>46139</v>
      </c>
      <c r="M776" s="11" t="n">
        <v>15</v>
      </c>
      <c r="N776" s="11"/>
      <c r="O776" s="11"/>
    </row>
    <row r="777" customFormat="false" ht="15" hidden="false" customHeight="false" outlineLevel="0" collapsed="false">
      <c r="A777" s="11" t="s">
        <v>3503</v>
      </c>
      <c r="B777" s="11" t="s">
        <v>393</v>
      </c>
      <c r="C777" s="11" t="s">
        <v>392</v>
      </c>
      <c r="D777" s="38" t="n">
        <v>46094</v>
      </c>
      <c r="E777" s="38" t="n">
        <v>46144</v>
      </c>
      <c r="F777" s="37" t="n">
        <v>17960</v>
      </c>
      <c r="G777" s="37" t="n">
        <v>3592</v>
      </c>
      <c r="H777" s="37" t="n">
        <v>21552</v>
      </c>
      <c r="I777" s="11" t="s">
        <v>283</v>
      </c>
      <c r="J777" s="11"/>
      <c r="K777" s="11" t="s">
        <v>4152</v>
      </c>
      <c r="L777" s="38" t="n">
        <v>46171</v>
      </c>
      <c r="M777" s="11" t="n">
        <v>27</v>
      </c>
      <c r="N777" s="11"/>
      <c r="O777" s="11"/>
    </row>
    <row r="778" customFormat="false" ht="15" hidden="false" customHeight="false" outlineLevel="0" collapsed="false">
      <c r="A778" s="11" t="s">
        <v>3323</v>
      </c>
      <c r="B778" s="11" t="s">
        <v>281</v>
      </c>
      <c r="C778" s="11" t="s">
        <v>280</v>
      </c>
      <c r="D778" s="38" t="n">
        <v>46094</v>
      </c>
      <c r="E778" s="38" t="n">
        <v>46139</v>
      </c>
      <c r="F778" s="37" t="n">
        <v>3330</v>
      </c>
      <c r="G778" s="37" t="n">
        <v>666</v>
      </c>
      <c r="H778" s="37" t="n">
        <v>3996</v>
      </c>
      <c r="I778" s="11" t="s">
        <v>283</v>
      </c>
      <c r="J778" s="11"/>
      <c r="K778" s="11" t="s">
        <v>4152</v>
      </c>
      <c r="L778" s="38" t="n">
        <v>46139</v>
      </c>
      <c r="M778" s="11" t="n">
        <v>0</v>
      </c>
      <c r="N778" s="11"/>
      <c r="O778" s="11"/>
    </row>
    <row r="779" customFormat="false" ht="15" hidden="false" customHeight="false" outlineLevel="0" collapsed="false">
      <c r="A779" s="11" t="s">
        <v>3284</v>
      </c>
      <c r="B779" s="11" t="s">
        <v>288</v>
      </c>
      <c r="C779" s="11" t="s">
        <v>287</v>
      </c>
      <c r="D779" s="38" t="n">
        <v>46094</v>
      </c>
      <c r="E779" s="38" t="n">
        <v>46124</v>
      </c>
      <c r="F779" s="37" t="n">
        <v>3900</v>
      </c>
      <c r="G779" s="37" t="n">
        <v>780</v>
      </c>
      <c r="H779" s="37" t="n">
        <v>4680</v>
      </c>
      <c r="I779" s="11" t="s">
        <v>283</v>
      </c>
      <c r="J779" s="11"/>
      <c r="K779" s="11" t="s">
        <v>4152</v>
      </c>
      <c r="L779" s="38" t="n">
        <v>46128</v>
      </c>
      <c r="M779" s="11" t="n">
        <v>4</v>
      </c>
      <c r="N779" s="11"/>
      <c r="O779" s="11"/>
    </row>
    <row r="780" customFormat="false" ht="15" hidden="false" customHeight="false" outlineLevel="0" collapsed="false">
      <c r="A780" s="11" t="s">
        <v>3353</v>
      </c>
      <c r="B780" s="11" t="s">
        <v>336</v>
      </c>
      <c r="C780" s="11" t="s">
        <v>335</v>
      </c>
      <c r="D780" s="38" t="n">
        <v>46097</v>
      </c>
      <c r="E780" s="38" t="n">
        <v>46142</v>
      </c>
      <c r="F780" s="37" t="n">
        <v>5520</v>
      </c>
      <c r="G780" s="37" t="n">
        <v>1104</v>
      </c>
      <c r="H780" s="37" t="n">
        <v>6624</v>
      </c>
      <c r="I780" s="11" t="s">
        <v>283</v>
      </c>
      <c r="J780" s="11"/>
      <c r="K780" s="11" t="s">
        <v>4152</v>
      </c>
      <c r="L780" s="38" t="n">
        <v>46146</v>
      </c>
      <c r="M780" s="11" t="n">
        <v>4</v>
      </c>
      <c r="N780" s="11"/>
      <c r="O780" s="11"/>
    </row>
    <row r="781" customFormat="false" ht="15" hidden="false" customHeight="false" outlineLevel="0" collapsed="false">
      <c r="A781" s="11" t="s">
        <v>3416</v>
      </c>
      <c r="B781" s="11" t="s">
        <v>332</v>
      </c>
      <c r="C781" s="11" t="s">
        <v>331</v>
      </c>
      <c r="D781" s="38" t="n">
        <v>46097</v>
      </c>
      <c r="E781" s="38" t="n">
        <v>46142</v>
      </c>
      <c r="F781" s="37" t="n">
        <v>8840</v>
      </c>
      <c r="G781" s="37" t="n">
        <v>1768</v>
      </c>
      <c r="H781" s="37" t="n">
        <v>10608</v>
      </c>
      <c r="I781" s="11" t="s">
        <v>283</v>
      </c>
      <c r="J781" s="11"/>
      <c r="K781" s="11" t="s">
        <v>4152</v>
      </c>
      <c r="L781" s="38" t="n">
        <v>46153</v>
      </c>
      <c r="M781" s="11" t="n">
        <v>11</v>
      </c>
      <c r="N781" s="11"/>
      <c r="O781" s="11"/>
    </row>
    <row r="782" customFormat="false" ht="15" hidden="false" customHeight="false" outlineLevel="0" collapsed="false">
      <c r="A782" s="11" t="s">
        <v>3365</v>
      </c>
      <c r="B782" s="11" t="s">
        <v>281</v>
      </c>
      <c r="C782" s="11" t="s">
        <v>280</v>
      </c>
      <c r="D782" s="38" t="n">
        <v>46099</v>
      </c>
      <c r="E782" s="38" t="n">
        <v>46144</v>
      </c>
      <c r="F782" s="37" t="n">
        <v>4350</v>
      </c>
      <c r="G782" s="37" t="n">
        <v>870</v>
      </c>
      <c r="H782" s="37" t="n">
        <v>5220</v>
      </c>
      <c r="I782" s="11" t="s">
        <v>283</v>
      </c>
      <c r="J782" s="11"/>
      <c r="K782" s="11" t="s">
        <v>4152</v>
      </c>
      <c r="L782" s="38" t="n">
        <v>46146</v>
      </c>
      <c r="M782" s="11" t="n">
        <v>2</v>
      </c>
      <c r="N782" s="11"/>
      <c r="O782" s="11"/>
    </row>
    <row r="783" customFormat="false" ht="15" hidden="false" customHeight="false" outlineLevel="0" collapsed="false">
      <c r="A783" s="11" t="s">
        <v>3603</v>
      </c>
      <c r="B783" s="11" t="s">
        <v>328</v>
      </c>
      <c r="C783" s="11" t="s">
        <v>327</v>
      </c>
      <c r="D783" s="38" t="n">
        <v>46100</v>
      </c>
      <c r="E783" s="38" t="n">
        <v>46160</v>
      </c>
      <c r="F783" s="37" t="n">
        <v>14080</v>
      </c>
      <c r="G783" s="37" t="n">
        <v>2816</v>
      </c>
      <c r="H783" s="37" t="n">
        <v>16896</v>
      </c>
      <c r="I783" s="11" t="s">
        <v>283</v>
      </c>
      <c r="J783" s="11"/>
      <c r="K783" s="11" t="s">
        <v>4152</v>
      </c>
      <c r="L783" s="38" t="n">
        <v>46191</v>
      </c>
      <c r="M783" s="11" t="n">
        <v>31</v>
      </c>
      <c r="N783" s="11"/>
      <c r="O783" s="11"/>
    </row>
    <row r="784" customFormat="false" ht="15" hidden="false" customHeight="false" outlineLevel="0" collapsed="false">
      <c r="A784" s="11" t="s">
        <v>3501</v>
      </c>
      <c r="B784" s="11" t="s">
        <v>350</v>
      </c>
      <c r="C784" s="11" t="s">
        <v>349</v>
      </c>
      <c r="D784" s="38" t="n">
        <v>46101</v>
      </c>
      <c r="E784" s="38" t="n">
        <v>46161</v>
      </c>
      <c r="F784" s="37" t="n">
        <v>23380</v>
      </c>
      <c r="G784" s="37" t="n">
        <v>4676</v>
      </c>
      <c r="H784" s="37" t="n">
        <v>28056</v>
      </c>
      <c r="I784" s="11" t="s">
        <v>283</v>
      </c>
      <c r="J784" s="11"/>
      <c r="K784" s="11" t="s">
        <v>4152</v>
      </c>
      <c r="L784" s="38" t="n">
        <v>46171</v>
      </c>
      <c r="M784" s="11" t="n">
        <v>10</v>
      </c>
      <c r="N784" s="11"/>
      <c r="O784" s="11"/>
    </row>
    <row r="785" customFormat="false" ht="15" hidden="false" customHeight="false" outlineLevel="0" collapsed="false">
      <c r="A785" s="11" t="s">
        <v>3518</v>
      </c>
      <c r="B785" s="11" t="s">
        <v>350</v>
      </c>
      <c r="C785" s="11" t="s">
        <v>349</v>
      </c>
      <c r="D785" s="38" t="n">
        <v>46101</v>
      </c>
      <c r="E785" s="38" t="n">
        <v>46161</v>
      </c>
      <c r="F785" s="37" t="n">
        <v>12190</v>
      </c>
      <c r="G785" s="37" t="n">
        <v>2438</v>
      </c>
      <c r="H785" s="37" t="n">
        <v>14628</v>
      </c>
      <c r="I785" s="11" t="s">
        <v>283</v>
      </c>
      <c r="J785" s="11"/>
      <c r="K785" s="11" t="s">
        <v>4152</v>
      </c>
      <c r="L785" s="38" t="n">
        <v>46176</v>
      </c>
      <c r="M785" s="11" t="n">
        <v>15</v>
      </c>
      <c r="N785" s="11"/>
      <c r="O785" s="11"/>
    </row>
    <row r="786" customFormat="false" ht="15" hidden="false" customHeight="false" outlineLevel="0" collapsed="false">
      <c r="A786" s="11" t="s">
        <v>3542</v>
      </c>
      <c r="B786" s="11" t="s">
        <v>328</v>
      </c>
      <c r="C786" s="11" t="s">
        <v>327</v>
      </c>
      <c r="D786" s="38" t="n">
        <v>46101</v>
      </c>
      <c r="E786" s="38" t="n">
        <v>46161</v>
      </c>
      <c r="F786" s="37" t="n">
        <v>10930</v>
      </c>
      <c r="G786" s="37" t="n">
        <v>2186</v>
      </c>
      <c r="H786" s="37" t="n">
        <v>13116</v>
      </c>
      <c r="I786" s="11" t="s">
        <v>283</v>
      </c>
      <c r="J786" s="11"/>
      <c r="K786" s="11" t="s">
        <v>4152</v>
      </c>
      <c r="L786" s="38" t="n">
        <v>46181</v>
      </c>
      <c r="M786" s="11" t="n">
        <v>20</v>
      </c>
      <c r="N786" s="11"/>
      <c r="O786" s="11"/>
    </row>
    <row r="787" customFormat="false" ht="15" hidden="false" customHeight="false" outlineLevel="0" collapsed="false">
      <c r="A787" s="11" t="s">
        <v>3457</v>
      </c>
      <c r="B787" s="11" t="s">
        <v>332</v>
      </c>
      <c r="C787" s="11" t="s">
        <v>331</v>
      </c>
      <c r="D787" s="38" t="n">
        <v>46101</v>
      </c>
      <c r="E787" s="38" t="n">
        <v>46146</v>
      </c>
      <c r="F787" s="37" t="n">
        <v>8480</v>
      </c>
      <c r="G787" s="37" t="n">
        <v>1696</v>
      </c>
      <c r="H787" s="37" t="n">
        <v>10176</v>
      </c>
      <c r="I787" s="11" t="s">
        <v>283</v>
      </c>
      <c r="J787" s="11"/>
      <c r="K787" s="11" t="s">
        <v>4152</v>
      </c>
      <c r="L787" s="38" t="n">
        <v>46162</v>
      </c>
      <c r="M787" s="11" t="n">
        <v>16</v>
      </c>
      <c r="N787" s="11"/>
      <c r="O787" s="11"/>
    </row>
    <row r="788" customFormat="false" ht="15" hidden="false" customHeight="false" outlineLevel="0" collapsed="false">
      <c r="A788" s="11" t="s">
        <v>3361</v>
      </c>
      <c r="B788" s="11" t="s">
        <v>281</v>
      </c>
      <c r="C788" s="11" t="s">
        <v>280</v>
      </c>
      <c r="D788" s="38" t="n">
        <v>46101</v>
      </c>
      <c r="E788" s="38" t="n">
        <v>46146</v>
      </c>
      <c r="F788" s="37" t="n">
        <v>6620</v>
      </c>
      <c r="G788" s="37" t="n">
        <v>1324</v>
      </c>
      <c r="H788" s="37" t="n">
        <v>7944</v>
      </c>
      <c r="I788" s="11" t="s">
        <v>283</v>
      </c>
      <c r="J788" s="11"/>
      <c r="K788" s="11" t="s">
        <v>4152</v>
      </c>
      <c r="L788" s="38" t="n">
        <v>46146</v>
      </c>
      <c r="M788" s="11" t="n">
        <v>0</v>
      </c>
      <c r="N788" s="11"/>
      <c r="O788" s="11"/>
    </row>
    <row r="789" customFormat="false" ht="15" hidden="false" customHeight="false" outlineLevel="0" collapsed="false">
      <c r="A789" s="11" t="s">
        <v>3449</v>
      </c>
      <c r="B789" s="11" t="s">
        <v>336</v>
      </c>
      <c r="C789" s="11" t="s">
        <v>335</v>
      </c>
      <c r="D789" s="38" t="n">
        <v>46104</v>
      </c>
      <c r="E789" s="38" t="n">
        <v>46149</v>
      </c>
      <c r="F789" s="37" t="n">
        <v>3520</v>
      </c>
      <c r="G789" s="37" t="n">
        <v>704</v>
      </c>
      <c r="H789" s="37" t="n">
        <v>4224</v>
      </c>
      <c r="I789" s="11" t="s">
        <v>283</v>
      </c>
      <c r="J789" s="11"/>
      <c r="K789" s="11" t="s">
        <v>4152</v>
      </c>
      <c r="L789" s="38" t="n">
        <v>46160</v>
      </c>
      <c r="M789" s="11" t="n">
        <v>11</v>
      </c>
      <c r="N789" s="11"/>
      <c r="O789" s="11"/>
    </row>
    <row r="790" customFormat="false" ht="15" hidden="false" customHeight="false" outlineLevel="0" collapsed="false">
      <c r="A790" s="11" t="s">
        <v>3544</v>
      </c>
      <c r="B790" s="11" t="s">
        <v>328</v>
      </c>
      <c r="C790" s="11" t="s">
        <v>327</v>
      </c>
      <c r="D790" s="38" t="n">
        <v>46104</v>
      </c>
      <c r="E790" s="38" t="n">
        <v>46164</v>
      </c>
      <c r="F790" s="37" t="n">
        <v>18590</v>
      </c>
      <c r="G790" s="37" t="n">
        <v>3718</v>
      </c>
      <c r="H790" s="37" t="n">
        <v>22308</v>
      </c>
      <c r="I790" s="11" t="s">
        <v>283</v>
      </c>
      <c r="J790" s="11"/>
      <c r="K790" s="11" t="s">
        <v>4152</v>
      </c>
      <c r="L790" s="38" t="n">
        <v>46181</v>
      </c>
      <c r="M790" s="11" t="n">
        <v>17</v>
      </c>
      <c r="N790" s="11"/>
      <c r="O790" s="11"/>
    </row>
    <row r="791" customFormat="false" ht="15" hidden="false" customHeight="false" outlineLevel="0" collapsed="false">
      <c r="A791" s="11" t="s">
        <v>3388</v>
      </c>
      <c r="B791" s="11" t="s">
        <v>281</v>
      </c>
      <c r="C791" s="11" t="s">
        <v>280</v>
      </c>
      <c r="D791" s="38" t="n">
        <v>46104</v>
      </c>
      <c r="E791" s="38" t="n">
        <v>46149</v>
      </c>
      <c r="F791" s="37" t="n">
        <v>18460</v>
      </c>
      <c r="G791" s="37" t="n">
        <v>3692</v>
      </c>
      <c r="H791" s="37" t="n">
        <v>22152</v>
      </c>
      <c r="I791" s="11" t="s">
        <v>283</v>
      </c>
      <c r="J791" s="11"/>
      <c r="K791" s="11" t="s">
        <v>4152</v>
      </c>
      <c r="L791" s="38" t="n">
        <v>46149</v>
      </c>
      <c r="M791" s="11" t="n">
        <v>0</v>
      </c>
      <c r="N791" s="11"/>
      <c r="O791" s="11"/>
    </row>
    <row r="792" customFormat="false" ht="15" hidden="false" customHeight="false" outlineLevel="0" collapsed="false">
      <c r="A792" s="11" t="s">
        <v>3464</v>
      </c>
      <c r="B792" s="11" t="s">
        <v>336</v>
      </c>
      <c r="C792" s="11" t="s">
        <v>335</v>
      </c>
      <c r="D792" s="38" t="n">
        <v>46104</v>
      </c>
      <c r="E792" s="38" t="n">
        <v>46149</v>
      </c>
      <c r="F792" s="37" t="n">
        <v>8450</v>
      </c>
      <c r="G792" s="37" t="n">
        <v>1690</v>
      </c>
      <c r="H792" s="37" t="n">
        <v>10140</v>
      </c>
      <c r="I792" s="11" t="s">
        <v>283</v>
      </c>
      <c r="J792" s="11"/>
      <c r="K792" s="11" t="s">
        <v>4152</v>
      </c>
      <c r="L792" s="38" t="n">
        <v>46163</v>
      </c>
      <c r="M792" s="11" t="n">
        <v>14</v>
      </c>
      <c r="N792" s="11"/>
      <c r="O792" s="11"/>
    </row>
    <row r="793" customFormat="false" ht="15" hidden="false" customHeight="false" outlineLevel="0" collapsed="false">
      <c r="A793" s="11" t="s">
        <v>3487</v>
      </c>
      <c r="B793" s="11" t="s">
        <v>332</v>
      </c>
      <c r="C793" s="11" t="s">
        <v>331</v>
      </c>
      <c r="D793" s="38" t="n">
        <v>46104</v>
      </c>
      <c r="E793" s="38" t="n">
        <v>46149</v>
      </c>
      <c r="F793" s="37" t="n">
        <v>16700</v>
      </c>
      <c r="G793" s="37" t="n">
        <v>3340</v>
      </c>
      <c r="H793" s="37" t="n">
        <v>20040</v>
      </c>
      <c r="I793" s="11" t="s">
        <v>283</v>
      </c>
      <c r="J793" s="11"/>
      <c r="K793" s="11" t="s">
        <v>4152</v>
      </c>
      <c r="L793" s="38" t="n">
        <v>46169</v>
      </c>
      <c r="M793" s="11" t="n">
        <v>20</v>
      </c>
      <c r="N793" s="11"/>
      <c r="O793" s="11"/>
    </row>
    <row r="794" customFormat="false" ht="15" hidden="false" customHeight="false" outlineLevel="0" collapsed="false">
      <c r="A794" s="11" t="s">
        <v>3408</v>
      </c>
      <c r="B794" s="11" t="s">
        <v>281</v>
      </c>
      <c r="C794" s="11" t="s">
        <v>280</v>
      </c>
      <c r="D794" s="38" t="n">
        <v>46105</v>
      </c>
      <c r="E794" s="38" t="n">
        <v>46150</v>
      </c>
      <c r="F794" s="37" t="n">
        <v>4970</v>
      </c>
      <c r="G794" s="37" t="n">
        <v>994</v>
      </c>
      <c r="H794" s="37" t="n">
        <v>5964</v>
      </c>
      <c r="I794" s="11" t="s">
        <v>283</v>
      </c>
      <c r="J794" s="11"/>
      <c r="K794" s="11" t="s">
        <v>4152</v>
      </c>
      <c r="L794" s="38" t="n">
        <v>46153</v>
      </c>
      <c r="M794" s="11" t="n">
        <v>3</v>
      </c>
      <c r="N794" s="11"/>
      <c r="O794" s="11"/>
    </row>
    <row r="795" customFormat="false" ht="15" hidden="false" customHeight="false" outlineLevel="0" collapsed="false">
      <c r="A795" s="11" t="s">
        <v>3406</v>
      </c>
      <c r="B795" s="11" t="s">
        <v>336</v>
      </c>
      <c r="C795" s="11" t="s">
        <v>335</v>
      </c>
      <c r="D795" s="38" t="n">
        <v>46105</v>
      </c>
      <c r="E795" s="38" t="n">
        <v>46150</v>
      </c>
      <c r="F795" s="37" t="n">
        <v>6110</v>
      </c>
      <c r="G795" s="37" t="n">
        <v>1222</v>
      </c>
      <c r="H795" s="37" t="n">
        <v>7332</v>
      </c>
      <c r="I795" s="11" t="s">
        <v>283</v>
      </c>
      <c r="J795" s="11"/>
      <c r="K795" s="11" t="s">
        <v>4152</v>
      </c>
      <c r="L795" s="38" t="n">
        <v>46153</v>
      </c>
      <c r="M795" s="11" t="n">
        <v>3</v>
      </c>
      <c r="N795" s="11"/>
      <c r="O795" s="11"/>
    </row>
    <row r="796" customFormat="false" ht="15" hidden="false" customHeight="false" outlineLevel="0" collapsed="false">
      <c r="A796" s="11" t="s">
        <v>3516</v>
      </c>
      <c r="B796" s="11" t="s">
        <v>299</v>
      </c>
      <c r="C796" s="11" t="s">
        <v>298</v>
      </c>
      <c r="D796" s="38" t="n">
        <v>46105</v>
      </c>
      <c r="E796" s="38" t="n">
        <v>46165</v>
      </c>
      <c r="F796" s="37" t="n">
        <v>15370</v>
      </c>
      <c r="G796" s="37" t="n">
        <v>0</v>
      </c>
      <c r="H796" s="37" t="n">
        <v>15370</v>
      </c>
      <c r="I796" s="11" t="s">
        <v>283</v>
      </c>
      <c r="J796" s="11"/>
      <c r="K796" s="11" t="s">
        <v>4152</v>
      </c>
      <c r="L796" s="38" t="n">
        <v>46175</v>
      </c>
      <c r="M796" s="11" t="n">
        <v>10</v>
      </c>
      <c r="N796" s="11"/>
      <c r="O796" s="11"/>
    </row>
    <row r="797" customFormat="false" ht="15" hidden="false" customHeight="false" outlineLevel="0" collapsed="false">
      <c r="A797" s="11" t="s">
        <v>3615</v>
      </c>
      <c r="B797" s="11" t="s">
        <v>328</v>
      </c>
      <c r="C797" s="11" t="s">
        <v>327</v>
      </c>
      <c r="D797" s="38" t="n">
        <v>46106</v>
      </c>
      <c r="E797" s="38" t="n">
        <v>46166</v>
      </c>
      <c r="F797" s="37" t="n">
        <v>29170</v>
      </c>
      <c r="G797" s="37" t="n">
        <v>5834</v>
      </c>
      <c r="H797" s="37" t="n">
        <v>35004</v>
      </c>
      <c r="I797" s="11" t="s">
        <v>283</v>
      </c>
      <c r="J797" s="11"/>
      <c r="K797" s="11" t="s">
        <v>4152</v>
      </c>
      <c r="L797" s="38" t="n">
        <v>46195</v>
      </c>
      <c r="M797" s="11" t="n">
        <v>29</v>
      </c>
      <c r="N797" s="11"/>
      <c r="O797" s="11"/>
    </row>
    <row r="798" customFormat="false" ht="15" hidden="false" customHeight="false" outlineLevel="0" collapsed="false">
      <c r="A798" s="11" t="s">
        <v>3404</v>
      </c>
      <c r="B798" s="11" t="s">
        <v>281</v>
      </c>
      <c r="C798" s="11" t="s">
        <v>280</v>
      </c>
      <c r="D798" s="38" t="n">
        <v>46106</v>
      </c>
      <c r="E798" s="38" t="n">
        <v>46151</v>
      </c>
      <c r="F798" s="37" t="n">
        <v>2430</v>
      </c>
      <c r="G798" s="37" t="n">
        <v>486</v>
      </c>
      <c r="H798" s="37" t="n">
        <v>2916</v>
      </c>
      <c r="I798" s="11" t="s">
        <v>283</v>
      </c>
      <c r="J798" s="11"/>
      <c r="K798" s="11" t="s">
        <v>4152</v>
      </c>
      <c r="L798" s="38" t="n">
        <v>46153</v>
      </c>
      <c r="M798" s="11" t="n">
        <v>2</v>
      </c>
      <c r="N798" s="11"/>
      <c r="O798" s="11"/>
    </row>
    <row r="799" customFormat="false" ht="15" hidden="false" customHeight="false" outlineLevel="0" collapsed="false">
      <c r="A799" s="11" t="s">
        <v>3402</v>
      </c>
      <c r="B799" s="11" t="s">
        <v>324</v>
      </c>
      <c r="C799" s="11" t="s">
        <v>323</v>
      </c>
      <c r="D799" s="38" t="n">
        <v>46107</v>
      </c>
      <c r="E799" s="38" t="n">
        <v>46137</v>
      </c>
      <c r="F799" s="37" t="n">
        <v>2690</v>
      </c>
      <c r="G799" s="37" t="n">
        <v>538</v>
      </c>
      <c r="H799" s="37" t="n">
        <v>3228</v>
      </c>
      <c r="I799" s="11" t="s">
        <v>283</v>
      </c>
      <c r="J799" s="11"/>
      <c r="K799" s="11" t="s">
        <v>4152</v>
      </c>
      <c r="L799" s="38" t="n">
        <v>46153</v>
      </c>
      <c r="M799" s="11" t="n">
        <v>16</v>
      </c>
      <c r="N799" s="11"/>
      <c r="O799" s="11"/>
    </row>
    <row r="800" customFormat="false" ht="15" hidden="false" customHeight="false" outlineLevel="0" collapsed="false">
      <c r="A800" s="11" t="s">
        <v>3497</v>
      </c>
      <c r="B800" s="11" t="s">
        <v>299</v>
      </c>
      <c r="C800" s="11" t="s">
        <v>298</v>
      </c>
      <c r="D800" s="38" t="n">
        <v>46107</v>
      </c>
      <c r="E800" s="38" t="n">
        <v>46167</v>
      </c>
      <c r="F800" s="37" t="n">
        <v>9580</v>
      </c>
      <c r="G800" s="37" t="n">
        <v>0</v>
      </c>
      <c r="H800" s="37" t="n">
        <v>9580</v>
      </c>
      <c r="I800" s="11" t="s">
        <v>283</v>
      </c>
      <c r="J800" s="11"/>
      <c r="K800" s="11" t="s">
        <v>4152</v>
      </c>
      <c r="L800" s="38" t="n">
        <v>46170</v>
      </c>
      <c r="M800" s="11" t="n">
        <v>3</v>
      </c>
      <c r="N800" s="11"/>
      <c r="O800" s="11"/>
    </row>
    <row r="801" customFormat="false" ht="15" hidden="false" customHeight="false" outlineLevel="0" collapsed="false">
      <c r="A801" s="11" t="s">
        <v>3400</v>
      </c>
      <c r="B801" s="11" t="s">
        <v>281</v>
      </c>
      <c r="C801" s="11" t="s">
        <v>280</v>
      </c>
      <c r="D801" s="38" t="n">
        <v>46107</v>
      </c>
      <c r="E801" s="38" t="n">
        <v>46152</v>
      </c>
      <c r="F801" s="37" t="n">
        <v>4150</v>
      </c>
      <c r="G801" s="37" t="n">
        <v>830</v>
      </c>
      <c r="H801" s="37" t="n">
        <v>4980</v>
      </c>
      <c r="I801" s="11" t="s">
        <v>283</v>
      </c>
      <c r="J801" s="11"/>
      <c r="K801" s="11" t="s">
        <v>4152</v>
      </c>
      <c r="L801" s="38" t="n">
        <v>46153</v>
      </c>
      <c r="M801" s="11" t="n">
        <v>1</v>
      </c>
      <c r="N801" s="11"/>
      <c r="O801" s="11"/>
    </row>
    <row r="802" customFormat="false" ht="15" hidden="false" customHeight="false" outlineLevel="0" collapsed="false">
      <c r="A802" s="11" t="s">
        <v>3439</v>
      </c>
      <c r="B802" s="11" t="s">
        <v>336</v>
      </c>
      <c r="C802" s="11" t="s">
        <v>335</v>
      </c>
      <c r="D802" s="38" t="n">
        <v>46107</v>
      </c>
      <c r="E802" s="38" t="n">
        <v>46152</v>
      </c>
      <c r="F802" s="37" t="n">
        <v>2740</v>
      </c>
      <c r="G802" s="37" t="n">
        <v>548</v>
      </c>
      <c r="H802" s="37" t="n">
        <v>3288</v>
      </c>
      <c r="I802" s="11" t="s">
        <v>283</v>
      </c>
      <c r="J802" s="11"/>
      <c r="K802" s="11" t="s">
        <v>4152</v>
      </c>
      <c r="L802" s="38" t="n">
        <v>46157</v>
      </c>
      <c r="M802" s="11" t="n">
        <v>5</v>
      </c>
      <c r="N802" s="11"/>
      <c r="O802" s="11"/>
    </row>
    <row r="803" customFormat="false" ht="15" hidden="false" customHeight="false" outlineLevel="0" collapsed="false">
      <c r="A803" s="11" t="s">
        <v>3619</v>
      </c>
      <c r="B803" s="11" t="s">
        <v>350</v>
      </c>
      <c r="C803" s="11" t="s">
        <v>349</v>
      </c>
      <c r="D803" s="38" t="n">
        <v>46108</v>
      </c>
      <c r="E803" s="38" t="n">
        <v>46168</v>
      </c>
      <c r="F803" s="37" t="n">
        <v>6520</v>
      </c>
      <c r="G803" s="37" t="n">
        <v>1304</v>
      </c>
      <c r="H803" s="37" t="n">
        <v>7824</v>
      </c>
      <c r="I803" s="11" t="s">
        <v>283</v>
      </c>
      <c r="J803" s="11"/>
      <c r="K803" s="11" t="s">
        <v>4152</v>
      </c>
      <c r="L803" s="38" t="n">
        <v>46196</v>
      </c>
      <c r="M803" s="11" t="n">
        <v>28</v>
      </c>
      <c r="N803" s="11"/>
      <c r="O803" s="11"/>
    </row>
    <row r="804" customFormat="false" ht="15" hidden="false" customHeight="false" outlineLevel="0" collapsed="false">
      <c r="A804" s="11" t="s">
        <v>3466</v>
      </c>
      <c r="B804" s="11" t="s">
        <v>299</v>
      </c>
      <c r="C804" s="11" t="s">
        <v>298</v>
      </c>
      <c r="D804" s="38" t="n">
        <v>46108</v>
      </c>
      <c r="E804" s="38" t="n">
        <v>46168</v>
      </c>
      <c r="F804" s="37" t="n">
        <v>4960</v>
      </c>
      <c r="G804" s="37" t="n">
        <v>0</v>
      </c>
      <c r="H804" s="37" t="n">
        <v>4960</v>
      </c>
      <c r="I804" s="11" t="s">
        <v>283</v>
      </c>
      <c r="J804" s="11"/>
      <c r="K804" s="11" t="s">
        <v>4152</v>
      </c>
      <c r="L804" s="38" t="n">
        <v>46163</v>
      </c>
      <c r="M804" s="11" t="n">
        <v>-5</v>
      </c>
      <c r="N804" s="11"/>
      <c r="O804" s="11"/>
    </row>
    <row r="805" customFormat="false" ht="15" hidden="false" customHeight="false" outlineLevel="0" collapsed="false">
      <c r="A805" s="11" t="s">
        <v>3398</v>
      </c>
      <c r="B805" s="11" t="s">
        <v>281</v>
      </c>
      <c r="C805" s="11" t="s">
        <v>280</v>
      </c>
      <c r="D805" s="38" t="n">
        <v>46108</v>
      </c>
      <c r="E805" s="38" t="n">
        <v>46153</v>
      </c>
      <c r="F805" s="37" t="n">
        <v>3520</v>
      </c>
      <c r="G805" s="37" t="n">
        <v>704</v>
      </c>
      <c r="H805" s="37" t="n">
        <v>4224</v>
      </c>
      <c r="I805" s="11" t="s">
        <v>283</v>
      </c>
      <c r="J805" s="11"/>
      <c r="K805" s="11" t="s">
        <v>4152</v>
      </c>
      <c r="L805" s="38" t="n">
        <v>46153</v>
      </c>
      <c r="M805" s="11" t="n">
        <v>0</v>
      </c>
      <c r="N805" s="11"/>
      <c r="O805" s="11"/>
    </row>
    <row r="806" customFormat="false" ht="15" hidden="false" customHeight="false" outlineLevel="0" collapsed="false">
      <c r="A806" s="11" t="s">
        <v>3367</v>
      </c>
      <c r="B806" s="11" t="s">
        <v>288</v>
      </c>
      <c r="C806" s="11" t="s">
        <v>287</v>
      </c>
      <c r="D806" s="38" t="n">
        <v>46111</v>
      </c>
      <c r="E806" s="38" t="n">
        <v>46141</v>
      </c>
      <c r="F806" s="37" t="n">
        <v>4010</v>
      </c>
      <c r="G806" s="37" t="n">
        <v>802</v>
      </c>
      <c r="H806" s="37" t="n">
        <v>4812</v>
      </c>
      <c r="I806" s="11" t="s">
        <v>283</v>
      </c>
      <c r="J806" s="11"/>
      <c r="K806" s="11" t="s">
        <v>4152</v>
      </c>
      <c r="L806" s="38" t="n">
        <v>46146</v>
      </c>
      <c r="M806" s="11" t="n">
        <v>5</v>
      </c>
      <c r="N806" s="11"/>
      <c r="O806" s="11"/>
    </row>
    <row r="807" customFormat="false" ht="15" hidden="false" customHeight="false" outlineLevel="0" collapsed="false">
      <c r="A807" s="11" t="s">
        <v>3426</v>
      </c>
      <c r="B807" s="11" t="s">
        <v>336</v>
      </c>
      <c r="C807" s="11" t="s">
        <v>335</v>
      </c>
      <c r="D807" s="38" t="n">
        <v>46111</v>
      </c>
      <c r="E807" s="38" t="n">
        <v>46156</v>
      </c>
      <c r="F807" s="37" t="n">
        <v>3140</v>
      </c>
      <c r="G807" s="37" t="n">
        <v>628</v>
      </c>
      <c r="H807" s="37" t="n">
        <v>3768</v>
      </c>
      <c r="I807" s="11" t="s">
        <v>283</v>
      </c>
      <c r="J807" s="11"/>
      <c r="K807" s="11" t="s">
        <v>4152</v>
      </c>
      <c r="L807" s="38" t="n">
        <v>46154</v>
      </c>
      <c r="M807" s="11" t="n">
        <v>-2</v>
      </c>
      <c r="N807" s="11"/>
      <c r="O807" s="11"/>
    </row>
    <row r="808" customFormat="false" ht="15" hidden="false" customHeight="false" outlineLevel="0" collapsed="false">
      <c r="A808" s="11" t="s">
        <v>3380</v>
      </c>
      <c r="B808" s="11" t="s">
        <v>288</v>
      </c>
      <c r="C808" s="11" t="s">
        <v>287</v>
      </c>
      <c r="D808" s="38" t="n">
        <v>46112</v>
      </c>
      <c r="E808" s="38" t="n">
        <v>46142</v>
      </c>
      <c r="F808" s="37" t="n">
        <v>1630</v>
      </c>
      <c r="G808" s="37" t="n">
        <v>326</v>
      </c>
      <c r="H808" s="37" t="n">
        <v>1956</v>
      </c>
      <c r="I808" s="11" t="s">
        <v>283</v>
      </c>
      <c r="J808" s="11"/>
      <c r="K808" s="11" t="s">
        <v>4152</v>
      </c>
      <c r="L808" s="38" t="n">
        <v>46146</v>
      </c>
      <c r="M808" s="11" t="n">
        <v>4</v>
      </c>
      <c r="N808" s="11"/>
      <c r="O808" s="11"/>
    </row>
    <row r="809" customFormat="false" ht="15" hidden="false" customHeight="false" outlineLevel="0" collapsed="false">
      <c r="A809" s="11" t="s">
        <v>3485</v>
      </c>
      <c r="B809" s="11" t="s">
        <v>336</v>
      </c>
      <c r="C809" s="11" t="s">
        <v>335</v>
      </c>
      <c r="D809" s="38" t="n">
        <v>46113</v>
      </c>
      <c r="E809" s="38" t="n">
        <v>46158</v>
      </c>
      <c r="F809" s="37" t="n">
        <v>9630</v>
      </c>
      <c r="G809" s="37" t="n">
        <v>1926</v>
      </c>
      <c r="H809" s="37" t="n">
        <v>11556</v>
      </c>
      <c r="I809" s="11" t="s">
        <v>283</v>
      </c>
      <c r="J809" s="11"/>
      <c r="K809" s="11" t="s">
        <v>4152</v>
      </c>
      <c r="L809" s="38" t="n">
        <v>46169</v>
      </c>
      <c r="M809" s="11" t="n">
        <v>11</v>
      </c>
      <c r="N809" s="11"/>
      <c r="O809" s="11"/>
    </row>
    <row r="810" customFormat="false" ht="15" hidden="false" customHeight="false" outlineLevel="0" collapsed="false">
      <c r="A810" s="11" t="s">
        <v>3548</v>
      </c>
      <c r="B810" s="11" t="s">
        <v>299</v>
      </c>
      <c r="C810" s="11" t="s">
        <v>298</v>
      </c>
      <c r="D810" s="38" t="n">
        <v>46113</v>
      </c>
      <c r="E810" s="38" t="n">
        <v>46173</v>
      </c>
      <c r="F810" s="37" t="n">
        <v>8050</v>
      </c>
      <c r="G810" s="37" t="n">
        <v>0</v>
      </c>
      <c r="H810" s="37" t="n">
        <v>8050</v>
      </c>
      <c r="I810" s="11" t="s">
        <v>283</v>
      </c>
      <c r="J810" s="11"/>
      <c r="K810" s="11" t="s">
        <v>4152</v>
      </c>
      <c r="L810" s="38" t="n">
        <v>46181</v>
      </c>
      <c r="M810" s="11" t="n">
        <v>8</v>
      </c>
      <c r="N810" s="11"/>
      <c r="O810" s="11"/>
    </row>
    <row r="811" customFormat="false" ht="15" hidden="false" customHeight="false" outlineLevel="0" collapsed="false">
      <c r="A811" s="11" t="s">
        <v>3371</v>
      </c>
      <c r="B811" s="11" t="s">
        <v>288</v>
      </c>
      <c r="C811" s="11" t="s">
        <v>287</v>
      </c>
      <c r="D811" s="38" t="n">
        <v>46113</v>
      </c>
      <c r="E811" s="38" t="n">
        <v>46143</v>
      </c>
      <c r="F811" s="37" t="n">
        <v>4520</v>
      </c>
      <c r="G811" s="37" t="n">
        <v>904</v>
      </c>
      <c r="H811" s="37" t="n">
        <v>5424</v>
      </c>
      <c r="I811" s="11" t="s">
        <v>283</v>
      </c>
      <c r="J811" s="11"/>
      <c r="K811" s="11" t="s">
        <v>4152</v>
      </c>
      <c r="L811" s="38" t="n">
        <v>46146</v>
      </c>
      <c r="M811" s="11" t="n">
        <v>3</v>
      </c>
      <c r="N811" s="11"/>
      <c r="O811" s="11"/>
    </row>
    <row r="812" customFormat="false" ht="15" hidden="false" customHeight="false" outlineLevel="0" collapsed="false">
      <c r="A812" s="11" t="s">
        <v>3483</v>
      </c>
      <c r="B812" s="11" t="s">
        <v>393</v>
      </c>
      <c r="C812" s="11" t="s">
        <v>392</v>
      </c>
      <c r="D812" s="38" t="n">
        <v>46113</v>
      </c>
      <c r="E812" s="38" t="n">
        <v>46163</v>
      </c>
      <c r="F812" s="37" t="n">
        <v>8510</v>
      </c>
      <c r="G812" s="37" t="n">
        <v>1702</v>
      </c>
      <c r="H812" s="37" t="n">
        <v>10212</v>
      </c>
      <c r="I812" s="11" t="s">
        <v>283</v>
      </c>
      <c r="J812" s="11"/>
      <c r="K812" s="11" t="s">
        <v>4152</v>
      </c>
      <c r="L812" s="38" t="n">
        <v>46169</v>
      </c>
      <c r="M812" s="11" t="n">
        <v>6</v>
      </c>
      <c r="N812" s="11"/>
      <c r="O812" s="11"/>
    </row>
    <row r="813" customFormat="false" ht="15" hidden="false" customHeight="false" outlineLevel="0" collapsed="false">
      <c r="A813" s="11" t="s">
        <v>3566</v>
      </c>
      <c r="B813" s="11" t="s">
        <v>328</v>
      </c>
      <c r="C813" s="11" t="s">
        <v>327</v>
      </c>
      <c r="D813" s="38" t="n">
        <v>46115</v>
      </c>
      <c r="E813" s="38" t="n">
        <v>46175</v>
      </c>
      <c r="F813" s="37" t="n">
        <v>31190</v>
      </c>
      <c r="G813" s="37" t="n">
        <v>6238</v>
      </c>
      <c r="H813" s="37" t="n">
        <v>37428</v>
      </c>
      <c r="I813" s="11" t="s">
        <v>283</v>
      </c>
      <c r="J813" s="11"/>
      <c r="K813" s="11" t="s">
        <v>4152</v>
      </c>
      <c r="L813" s="38" t="n">
        <v>46184</v>
      </c>
      <c r="M813" s="11" t="n">
        <v>9</v>
      </c>
      <c r="N813" s="11"/>
      <c r="O813" s="11"/>
    </row>
    <row r="814" customFormat="false" ht="15" hidden="false" customHeight="false" outlineLevel="0" collapsed="false">
      <c r="A814" s="11" t="s">
        <v>3520</v>
      </c>
      <c r="B814" s="11" t="s">
        <v>350</v>
      </c>
      <c r="C814" s="11" t="s">
        <v>349</v>
      </c>
      <c r="D814" s="38" t="n">
        <v>46115</v>
      </c>
      <c r="E814" s="38" t="n">
        <v>46175</v>
      </c>
      <c r="F814" s="37" t="n">
        <v>11610</v>
      </c>
      <c r="G814" s="37" t="n">
        <v>2322</v>
      </c>
      <c r="H814" s="37" t="n">
        <v>13932</v>
      </c>
      <c r="I814" s="11" t="s">
        <v>283</v>
      </c>
      <c r="J814" s="11"/>
      <c r="K814" s="11" t="s">
        <v>4152</v>
      </c>
      <c r="L814" s="38" t="n">
        <v>46176</v>
      </c>
      <c r="M814" s="11" t="n">
        <v>1</v>
      </c>
      <c r="N814" s="11"/>
      <c r="O814" s="11"/>
    </row>
    <row r="815" customFormat="false" ht="15" hidden="false" customHeight="false" outlineLevel="0" collapsed="false">
      <c r="A815" s="11" t="s">
        <v>3607</v>
      </c>
      <c r="B815" s="11" t="s">
        <v>393</v>
      </c>
      <c r="C815" s="11" t="s">
        <v>392</v>
      </c>
      <c r="D815" s="38" t="n">
        <v>46115</v>
      </c>
      <c r="E815" s="38" t="n">
        <v>46165</v>
      </c>
      <c r="F815" s="37" t="n">
        <v>16980</v>
      </c>
      <c r="G815" s="37" t="n">
        <v>3396</v>
      </c>
      <c r="H815" s="37" t="n">
        <v>20376</v>
      </c>
      <c r="I815" s="11" t="s">
        <v>283</v>
      </c>
      <c r="J815" s="11"/>
      <c r="K815" s="11" t="s">
        <v>4152</v>
      </c>
      <c r="L815" s="38" t="n">
        <v>46192</v>
      </c>
      <c r="M815" s="11" t="n">
        <v>27</v>
      </c>
      <c r="N815" s="11"/>
      <c r="O815" s="11"/>
    </row>
    <row r="816" customFormat="false" ht="15" hidden="false" customHeight="false" outlineLevel="0" collapsed="false">
      <c r="A816" s="11" t="s">
        <v>3514</v>
      </c>
      <c r="B816" s="11" t="s">
        <v>332</v>
      </c>
      <c r="C816" s="11" t="s">
        <v>331</v>
      </c>
      <c r="D816" s="38" t="n">
        <v>46115</v>
      </c>
      <c r="E816" s="38" t="n">
        <v>46160</v>
      </c>
      <c r="F816" s="37" t="n">
        <v>6100</v>
      </c>
      <c r="G816" s="37" t="n">
        <v>1220</v>
      </c>
      <c r="H816" s="37" t="n">
        <v>7320</v>
      </c>
      <c r="I816" s="11" t="s">
        <v>283</v>
      </c>
      <c r="J816" s="11"/>
      <c r="K816" s="11" t="s">
        <v>4152</v>
      </c>
      <c r="L816" s="38" t="n">
        <v>46174</v>
      </c>
      <c r="M816" s="11" t="n">
        <v>14</v>
      </c>
      <c r="N816" s="11"/>
      <c r="O816" s="11"/>
    </row>
    <row r="817" customFormat="false" ht="15" hidden="false" customHeight="false" outlineLevel="0" collapsed="false">
      <c r="A817" s="11" t="s">
        <v>3413</v>
      </c>
      <c r="B817" s="11" t="s">
        <v>400</v>
      </c>
      <c r="C817" s="11" t="s">
        <v>399</v>
      </c>
      <c r="D817" s="38" t="n">
        <v>46115</v>
      </c>
      <c r="E817" s="38" t="n">
        <v>46145</v>
      </c>
      <c r="F817" s="37" t="n">
        <v>15110</v>
      </c>
      <c r="G817" s="37" t="n">
        <v>3022</v>
      </c>
      <c r="H817" s="37" t="n">
        <v>18132</v>
      </c>
      <c r="I817" s="11" t="s">
        <v>283</v>
      </c>
      <c r="J817" s="11"/>
      <c r="K817" s="11" t="s">
        <v>4152</v>
      </c>
      <c r="L817" s="38" t="n">
        <v>46153</v>
      </c>
      <c r="M817" s="11" t="n">
        <v>8</v>
      </c>
      <c r="N817" s="11"/>
      <c r="O817" s="11"/>
    </row>
    <row r="818" customFormat="false" ht="15" hidden="false" customHeight="false" outlineLevel="0" collapsed="false">
      <c r="A818" s="11" t="s">
        <v>3455</v>
      </c>
      <c r="B818" s="11" t="s">
        <v>281</v>
      </c>
      <c r="C818" s="11" t="s">
        <v>280</v>
      </c>
      <c r="D818" s="38" t="n">
        <v>46115</v>
      </c>
      <c r="E818" s="38" t="n">
        <v>46160</v>
      </c>
      <c r="F818" s="37" t="n">
        <v>5960</v>
      </c>
      <c r="G818" s="37" t="n">
        <v>1192</v>
      </c>
      <c r="H818" s="37" t="n">
        <v>7152</v>
      </c>
      <c r="I818" s="11" t="s">
        <v>283</v>
      </c>
      <c r="J818" s="11"/>
      <c r="K818" s="11" t="s">
        <v>4152</v>
      </c>
      <c r="L818" s="38" t="n">
        <v>46160</v>
      </c>
      <c r="M818" s="11" t="n">
        <v>0</v>
      </c>
      <c r="N818" s="11"/>
      <c r="O818" s="11"/>
    </row>
    <row r="819" customFormat="false" ht="15" hidden="false" customHeight="false" outlineLevel="0" collapsed="false">
      <c r="A819" s="11" t="s">
        <v>3573</v>
      </c>
      <c r="B819" s="11" t="s">
        <v>332</v>
      </c>
      <c r="C819" s="11" t="s">
        <v>331</v>
      </c>
      <c r="D819" s="38" t="n">
        <v>46115</v>
      </c>
      <c r="E819" s="38" t="n">
        <v>46160</v>
      </c>
      <c r="F819" s="37" t="n">
        <v>7860</v>
      </c>
      <c r="G819" s="37" t="n">
        <v>1572</v>
      </c>
      <c r="H819" s="37" t="n">
        <v>9432</v>
      </c>
      <c r="I819" s="11" t="s">
        <v>283</v>
      </c>
      <c r="J819" s="11"/>
      <c r="K819" s="11" t="s">
        <v>4152</v>
      </c>
      <c r="L819" s="38" t="n">
        <v>46188</v>
      </c>
      <c r="M819" s="11" t="n">
        <v>28</v>
      </c>
      <c r="N819" s="11"/>
      <c r="O819" s="11"/>
    </row>
    <row r="820" customFormat="false" ht="15" hidden="false" customHeight="false" outlineLevel="0" collapsed="false">
      <c r="A820" s="11" t="s">
        <v>3344</v>
      </c>
      <c r="B820" s="11" t="s">
        <v>400</v>
      </c>
      <c r="C820" s="11" t="s">
        <v>399</v>
      </c>
      <c r="D820" s="38" t="n">
        <v>46115</v>
      </c>
      <c r="E820" s="38" t="n">
        <v>46145</v>
      </c>
      <c r="F820" s="37" t="n">
        <v>16750</v>
      </c>
      <c r="G820" s="37" t="n">
        <v>3350</v>
      </c>
      <c r="H820" s="37" t="n">
        <v>20100</v>
      </c>
      <c r="I820" s="11" t="s">
        <v>283</v>
      </c>
      <c r="J820" s="11"/>
      <c r="K820" s="11" t="s">
        <v>4152</v>
      </c>
      <c r="L820" s="38" t="n">
        <v>46142</v>
      </c>
      <c r="M820" s="11" t="n">
        <v>-3</v>
      </c>
      <c r="N820" s="11"/>
      <c r="O820" s="11"/>
    </row>
    <row r="821" customFormat="false" ht="15" hidden="false" customHeight="false" outlineLevel="0" collapsed="false">
      <c r="A821" s="11" t="s">
        <v>3853</v>
      </c>
      <c r="B821" s="11" t="s">
        <v>332</v>
      </c>
      <c r="C821" s="11" t="s">
        <v>331</v>
      </c>
      <c r="D821" s="38" t="n">
        <v>46115</v>
      </c>
      <c r="E821" s="38" t="n">
        <v>46160</v>
      </c>
      <c r="F821" s="37" t="n">
        <v>12060</v>
      </c>
      <c r="G821" s="37" t="n">
        <v>2412</v>
      </c>
      <c r="H821" s="37" t="n">
        <v>14472</v>
      </c>
      <c r="I821" s="11" t="s">
        <v>283</v>
      </c>
      <c r="J821" s="11"/>
      <c r="K821" s="11" t="s">
        <v>4152</v>
      </c>
      <c r="L821" s="38" t="n">
        <v>46244</v>
      </c>
      <c r="M821" s="11" t="n">
        <v>84</v>
      </c>
      <c r="N821" s="11"/>
      <c r="O821" s="11"/>
    </row>
    <row r="822" customFormat="false" ht="15" hidden="false" customHeight="false" outlineLevel="0" collapsed="false">
      <c r="A822" s="11" t="s">
        <v>3411</v>
      </c>
      <c r="B822" s="11" t="s">
        <v>288</v>
      </c>
      <c r="C822" s="11" t="s">
        <v>287</v>
      </c>
      <c r="D822" s="38" t="n">
        <v>46115</v>
      </c>
      <c r="E822" s="38" t="n">
        <v>46145</v>
      </c>
      <c r="F822" s="37" t="n">
        <v>7540</v>
      </c>
      <c r="G822" s="37" t="n">
        <v>1508</v>
      </c>
      <c r="H822" s="37" t="n">
        <v>9048</v>
      </c>
      <c r="I822" s="11" t="s">
        <v>283</v>
      </c>
      <c r="J822" s="11"/>
      <c r="K822" s="11" t="s">
        <v>4152</v>
      </c>
      <c r="L822" s="38" t="n">
        <v>46153</v>
      </c>
      <c r="M822" s="11" t="n">
        <v>8</v>
      </c>
      <c r="N822" s="11"/>
      <c r="O822" s="11"/>
    </row>
    <row r="823" customFormat="false" ht="15" hidden="false" customHeight="false" outlineLevel="0" collapsed="false">
      <c r="A823" s="11" t="s">
        <v>3451</v>
      </c>
      <c r="B823" s="11" t="s">
        <v>281</v>
      </c>
      <c r="C823" s="11" t="s">
        <v>280</v>
      </c>
      <c r="D823" s="38" t="n">
        <v>46115</v>
      </c>
      <c r="E823" s="38" t="n">
        <v>46160</v>
      </c>
      <c r="F823" s="37" t="n">
        <v>7970</v>
      </c>
      <c r="G823" s="37" t="n">
        <v>1594</v>
      </c>
      <c r="H823" s="37" t="n">
        <v>9564</v>
      </c>
      <c r="I823" s="11" t="s">
        <v>283</v>
      </c>
      <c r="J823" s="11"/>
      <c r="K823" s="11" t="s">
        <v>4152</v>
      </c>
      <c r="L823" s="38" t="n">
        <v>46160</v>
      </c>
      <c r="M823" s="11" t="n">
        <v>0</v>
      </c>
      <c r="N823" s="11"/>
      <c r="O823" s="11"/>
    </row>
    <row r="824" customFormat="false" ht="15" hidden="false" customHeight="false" outlineLevel="0" collapsed="false">
      <c r="A824" s="11" t="s">
        <v>3649</v>
      </c>
      <c r="B824" s="11" t="s">
        <v>350</v>
      </c>
      <c r="C824" s="11" t="s">
        <v>349</v>
      </c>
      <c r="D824" s="38" t="n">
        <v>46119</v>
      </c>
      <c r="E824" s="38" t="n">
        <v>46179</v>
      </c>
      <c r="F824" s="37" t="n">
        <v>20220</v>
      </c>
      <c r="G824" s="37" t="n">
        <v>4044</v>
      </c>
      <c r="H824" s="37" t="n">
        <v>24264</v>
      </c>
      <c r="I824" s="11" t="s">
        <v>283</v>
      </c>
      <c r="J824" s="11"/>
      <c r="K824" s="11" t="s">
        <v>4152</v>
      </c>
      <c r="L824" s="38" t="n">
        <v>46202</v>
      </c>
      <c r="M824" s="11" t="n">
        <v>23</v>
      </c>
      <c r="N824" s="11"/>
      <c r="O824" s="11"/>
    </row>
    <row r="825" customFormat="false" ht="15" hidden="false" customHeight="false" outlineLevel="0" collapsed="false">
      <c r="A825" s="11" t="s">
        <v>3418</v>
      </c>
      <c r="B825" s="11" t="s">
        <v>288</v>
      </c>
      <c r="C825" s="11" t="s">
        <v>287</v>
      </c>
      <c r="D825" s="38" t="n">
        <v>46119</v>
      </c>
      <c r="E825" s="38" t="n">
        <v>46149</v>
      </c>
      <c r="F825" s="37" t="n">
        <v>3600</v>
      </c>
      <c r="G825" s="37" t="n">
        <v>720</v>
      </c>
      <c r="H825" s="37" t="n">
        <v>4320</v>
      </c>
      <c r="I825" s="11" t="s">
        <v>283</v>
      </c>
      <c r="J825" s="11"/>
      <c r="K825" s="11" t="s">
        <v>4152</v>
      </c>
      <c r="L825" s="38" t="n">
        <v>46153</v>
      </c>
      <c r="M825" s="11" t="n">
        <v>4</v>
      </c>
      <c r="N825" s="11"/>
      <c r="O825" s="11"/>
    </row>
    <row r="826" customFormat="false" ht="15" hidden="false" customHeight="false" outlineLevel="0" collapsed="false">
      <c r="A826" s="11" t="s">
        <v>3609</v>
      </c>
      <c r="B826" s="11" t="s">
        <v>332</v>
      </c>
      <c r="C826" s="11" t="s">
        <v>331</v>
      </c>
      <c r="D826" s="38" t="n">
        <v>46119</v>
      </c>
      <c r="E826" s="38" t="n">
        <v>46164</v>
      </c>
      <c r="F826" s="37" t="n">
        <v>5230</v>
      </c>
      <c r="G826" s="37" t="n">
        <v>1046</v>
      </c>
      <c r="H826" s="37" t="n">
        <v>6276</v>
      </c>
      <c r="I826" s="11" t="s">
        <v>283</v>
      </c>
      <c r="J826" s="11"/>
      <c r="K826" s="11" t="s">
        <v>4152</v>
      </c>
      <c r="L826" s="38" t="n">
        <v>46195</v>
      </c>
      <c r="M826" s="11" t="n">
        <v>31</v>
      </c>
      <c r="N826" s="11"/>
      <c r="O826" s="11"/>
    </row>
    <row r="827" customFormat="false" ht="15" hidden="false" customHeight="false" outlineLevel="0" collapsed="false">
      <c r="A827" s="11" t="s">
        <v>3428</v>
      </c>
      <c r="B827" s="11" t="s">
        <v>288</v>
      </c>
      <c r="C827" s="11" t="s">
        <v>287</v>
      </c>
      <c r="D827" s="38" t="n">
        <v>46119</v>
      </c>
      <c r="E827" s="38" t="n">
        <v>46149</v>
      </c>
      <c r="F827" s="37" t="n">
        <v>2160</v>
      </c>
      <c r="G827" s="37" t="n">
        <v>432</v>
      </c>
      <c r="H827" s="37" t="n">
        <v>2592</v>
      </c>
      <c r="I827" s="11" t="s">
        <v>283</v>
      </c>
      <c r="J827" s="11"/>
      <c r="K827" s="11" t="s">
        <v>4152</v>
      </c>
      <c r="L827" s="38" t="n">
        <v>46155</v>
      </c>
      <c r="M827" s="11" t="n">
        <v>6</v>
      </c>
      <c r="N827" s="11"/>
      <c r="O827" s="11"/>
    </row>
    <row r="828" customFormat="false" ht="15" hidden="false" customHeight="false" outlineLevel="0" collapsed="false">
      <c r="A828" s="11" t="s">
        <v>3478</v>
      </c>
      <c r="B828" s="11" t="s">
        <v>281</v>
      </c>
      <c r="C828" s="11" t="s">
        <v>280</v>
      </c>
      <c r="D828" s="38" t="n">
        <v>46120</v>
      </c>
      <c r="E828" s="38" t="n">
        <v>46165</v>
      </c>
      <c r="F828" s="37" t="n">
        <v>7100</v>
      </c>
      <c r="G828" s="37" t="n">
        <v>1420</v>
      </c>
      <c r="H828" s="37" t="n">
        <v>8520</v>
      </c>
      <c r="I828" s="11" t="s">
        <v>283</v>
      </c>
      <c r="J828" s="11"/>
      <c r="K828" s="11" t="s">
        <v>4152</v>
      </c>
      <c r="L828" s="38" t="n">
        <v>46168</v>
      </c>
      <c r="M828" s="11" t="n">
        <v>3</v>
      </c>
      <c r="N828" s="11"/>
      <c r="O828" s="11"/>
    </row>
    <row r="829" customFormat="false" ht="15" hidden="false" customHeight="false" outlineLevel="0" collapsed="false">
      <c r="A829" s="11" t="s">
        <v>3476</v>
      </c>
      <c r="B829" s="11" t="s">
        <v>281</v>
      </c>
      <c r="C829" s="11" t="s">
        <v>280</v>
      </c>
      <c r="D829" s="38" t="n">
        <v>46121</v>
      </c>
      <c r="E829" s="38" t="n">
        <v>46166</v>
      </c>
      <c r="F829" s="37" t="n">
        <v>15490</v>
      </c>
      <c r="G829" s="37" t="n">
        <v>3098</v>
      </c>
      <c r="H829" s="37" t="n">
        <v>18588</v>
      </c>
      <c r="I829" s="11" t="s">
        <v>283</v>
      </c>
      <c r="J829" s="11"/>
      <c r="K829" s="11" t="s">
        <v>4152</v>
      </c>
      <c r="L829" s="38" t="n">
        <v>46168</v>
      </c>
      <c r="M829" s="11" t="n">
        <v>2</v>
      </c>
      <c r="N829" s="11"/>
      <c r="O829" s="11"/>
    </row>
    <row r="830" customFormat="false" ht="15" hidden="false" customHeight="false" outlineLevel="0" collapsed="false">
      <c r="A830" s="11" t="s">
        <v>3443</v>
      </c>
      <c r="B830" s="11" t="s">
        <v>336</v>
      </c>
      <c r="C830" s="11" t="s">
        <v>335</v>
      </c>
      <c r="D830" s="38" t="n">
        <v>46121</v>
      </c>
      <c r="E830" s="38" t="n">
        <v>46166</v>
      </c>
      <c r="F830" s="37" t="n">
        <v>4030</v>
      </c>
      <c r="G830" s="37" t="n">
        <v>806</v>
      </c>
      <c r="H830" s="37" t="n">
        <v>4836</v>
      </c>
      <c r="I830" s="11" t="s">
        <v>283</v>
      </c>
      <c r="J830" s="11"/>
      <c r="K830" s="11" t="s">
        <v>4152</v>
      </c>
      <c r="L830" s="38" t="n">
        <v>46160</v>
      </c>
      <c r="M830" s="11" t="n">
        <v>-6</v>
      </c>
      <c r="N830" s="11"/>
      <c r="O830" s="11"/>
    </row>
    <row r="831" customFormat="false" ht="15" hidden="false" customHeight="false" outlineLevel="0" collapsed="false">
      <c r="A831" s="11" t="s">
        <v>3459</v>
      </c>
      <c r="B831" s="11" t="s">
        <v>324</v>
      </c>
      <c r="C831" s="11" t="s">
        <v>323</v>
      </c>
      <c r="D831" s="38" t="n">
        <v>46122</v>
      </c>
      <c r="E831" s="38" t="n">
        <v>46152</v>
      </c>
      <c r="F831" s="37" t="n">
        <v>6620</v>
      </c>
      <c r="G831" s="37" t="n">
        <v>1324</v>
      </c>
      <c r="H831" s="37" t="n">
        <v>7944</v>
      </c>
      <c r="I831" s="11" t="s">
        <v>283</v>
      </c>
      <c r="J831" s="11"/>
      <c r="K831" s="11" t="s">
        <v>4152</v>
      </c>
      <c r="L831" s="38" t="n">
        <v>46162</v>
      </c>
      <c r="M831" s="11" t="n">
        <v>10</v>
      </c>
      <c r="N831" s="11"/>
      <c r="O831" s="11"/>
    </row>
    <row r="832" customFormat="false" ht="15" hidden="false" customHeight="false" outlineLevel="0" collapsed="false">
      <c r="A832" s="11" t="s">
        <v>3523</v>
      </c>
      <c r="B832" s="11" t="s">
        <v>336</v>
      </c>
      <c r="C832" s="11" t="s">
        <v>335</v>
      </c>
      <c r="D832" s="38" t="n">
        <v>46122</v>
      </c>
      <c r="E832" s="38" t="n">
        <v>46167</v>
      </c>
      <c r="F832" s="37" t="n">
        <v>3230</v>
      </c>
      <c r="G832" s="37" t="n">
        <v>646</v>
      </c>
      <c r="H832" s="37" t="n">
        <v>3876</v>
      </c>
      <c r="I832" s="11" t="s">
        <v>283</v>
      </c>
      <c r="J832" s="11"/>
      <c r="K832" s="11" t="s">
        <v>4152</v>
      </c>
      <c r="L832" s="38" t="n">
        <v>46176</v>
      </c>
      <c r="M832" s="11" t="n">
        <v>9</v>
      </c>
      <c r="N832" s="11"/>
      <c r="O832" s="11"/>
    </row>
    <row r="833" customFormat="false" ht="15" hidden="false" customHeight="false" outlineLevel="0" collapsed="false">
      <c r="A833" s="11" t="s">
        <v>3472</v>
      </c>
      <c r="B833" s="11" t="s">
        <v>281</v>
      </c>
      <c r="C833" s="11" t="s">
        <v>280</v>
      </c>
      <c r="D833" s="38" t="n">
        <v>46122</v>
      </c>
      <c r="E833" s="38" t="n">
        <v>46167</v>
      </c>
      <c r="F833" s="37" t="n">
        <v>7490</v>
      </c>
      <c r="G833" s="37" t="n">
        <v>1498</v>
      </c>
      <c r="H833" s="37" t="n">
        <v>8988</v>
      </c>
      <c r="I833" s="11" t="s">
        <v>283</v>
      </c>
      <c r="J833" s="11"/>
      <c r="K833" s="11" t="s">
        <v>4152</v>
      </c>
      <c r="L833" s="38" t="n">
        <v>46168</v>
      </c>
      <c r="M833" s="11" t="n">
        <v>1</v>
      </c>
      <c r="N833" s="11"/>
      <c r="O833" s="11"/>
    </row>
    <row r="834" customFormat="false" ht="15" hidden="false" customHeight="false" outlineLevel="0" collapsed="false">
      <c r="A834" s="11" t="s">
        <v>3714</v>
      </c>
      <c r="B834" s="11" t="s">
        <v>328</v>
      </c>
      <c r="C834" s="11" t="s">
        <v>327</v>
      </c>
      <c r="D834" s="38" t="n">
        <v>46122</v>
      </c>
      <c r="E834" s="38" t="n">
        <v>46182</v>
      </c>
      <c r="F834" s="37" t="n">
        <v>6730</v>
      </c>
      <c r="G834" s="37" t="n">
        <v>1346</v>
      </c>
      <c r="H834" s="37" t="n">
        <v>8076</v>
      </c>
      <c r="I834" s="11" t="s">
        <v>283</v>
      </c>
      <c r="J834" s="11"/>
      <c r="K834" s="11" t="s">
        <v>4152</v>
      </c>
      <c r="L834" s="38" t="n">
        <v>46216</v>
      </c>
      <c r="M834" s="11" t="n">
        <v>34</v>
      </c>
      <c r="N834" s="11"/>
      <c r="O834" s="11"/>
    </row>
    <row r="835" customFormat="false" ht="15" hidden="false" customHeight="false" outlineLevel="0" collapsed="false">
      <c r="A835" s="11" t="s">
        <v>3582</v>
      </c>
      <c r="B835" s="11" t="s">
        <v>328</v>
      </c>
      <c r="C835" s="11" t="s">
        <v>327</v>
      </c>
      <c r="D835" s="38" t="n">
        <v>46122</v>
      </c>
      <c r="E835" s="38" t="n">
        <v>46182</v>
      </c>
      <c r="F835" s="37" t="n">
        <v>25980</v>
      </c>
      <c r="G835" s="37" t="n">
        <v>5196</v>
      </c>
      <c r="H835" s="37" t="n">
        <v>31176</v>
      </c>
      <c r="I835" s="11" t="s">
        <v>283</v>
      </c>
      <c r="J835" s="11"/>
      <c r="K835" s="11" t="s">
        <v>4152</v>
      </c>
      <c r="L835" s="38" t="n">
        <v>46188</v>
      </c>
      <c r="M835" s="11" t="n">
        <v>6</v>
      </c>
      <c r="N835" s="11"/>
      <c r="O835" s="11"/>
    </row>
    <row r="836" customFormat="false" ht="15" hidden="false" customHeight="false" outlineLevel="0" collapsed="false">
      <c r="A836" s="11" t="s">
        <v>3499</v>
      </c>
      <c r="B836" s="11" t="s">
        <v>336</v>
      </c>
      <c r="C836" s="11" t="s">
        <v>335</v>
      </c>
      <c r="D836" s="38" t="n">
        <v>46125</v>
      </c>
      <c r="E836" s="38" t="n">
        <v>46170</v>
      </c>
      <c r="F836" s="37" t="n">
        <v>3710</v>
      </c>
      <c r="G836" s="37" t="n">
        <v>742</v>
      </c>
      <c r="H836" s="37" t="n">
        <v>4452</v>
      </c>
      <c r="I836" s="11" t="s">
        <v>283</v>
      </c>
      <c r="J836" s="11"/>
      <c r="K836" s="11" t="s">
        <v>4152</v>
      </c>
      <c r="L836" s="38" t="n">
        <v>46171</v>
      </c>
      <c r="M836" s="11" t="n">
        <v>1</v>
      </c>
      <c r="N836" s="11"/>
      <c r="O836" s="11"/>
    </row>
    <row r="837" customFormat="false" ht="15" hidden="false" customHeight="false" outlineLevel="0" collapsed="false">
      <c r="A837" s="11" t="s">
        <v>3623</v>
      </c>
      <c r="B837" s="11" t="s">
        <v>328</v>
      </c>
      <c r="C837" s="11" t="s">
        <v>327</v>
      </c>
      <c r="D837" s="38" t="n">
        <v>46125</v>
      </c>
      <c r="E837" s="38" t="n">
        <v>46185</v>
      </c>
      <c r="F837" s="37" t="n">
        <v>6550</v>
      </c>
      <c r="G837" s="37" t="n">
        <v>1310</v>
      </c>
      <c r="H837" s="37" t="n">
        <v>7860</v>
      </c>
      <c r="I837" s="11" t="s">
        <v>283</v>
      </c>
      <c r="J837" s="11"/>
      <c r="K837" s="11" t="s">
        <v>4152</v>
      </c>
      <c r="L837" s="38" t="n">
        <v>46196</v>
      </c>
      <c r="M837" s="11" t="n">
        <v>11</v>
      </c>
      <c r="N837" s="11"/>
      <c r="O837" s="11"/>
    </row>
    <row r="838" customFormat="false" ht="15" hidden="false" customHeight="false" outlineLevel="0" collapsed="false">
      <c r="A838" s="11" t="s">
        <v>3441</v>
      </c>
      <c r="B838" s="11" t="s">
        <v>288</v>
      </c>
      <c r="C838" s="11" t="s">
        <v>287</v>
      </c>
      <c r="D838" s="38" t="n">
        <v>46125</v>
      </c>
      <c r="E838" s="38" t="n">
        <v>46155</v>
      </c>
      <c r="F838" s="37" t="n">
        <v>1910</v>
      </c>
      <c r="G838" s="37" t="n">
        <v>382</v>
      </c>
      <c r="H838" s="37" t="n">
        <v>2292</v>
      </c>
      <c r="I838" s="11" t="s">
        <v>283</v>
      </c>
      <c r="J838" s="11"/>
      <c r="K838" s="11" t="s">
        <v>4152</v>
      </c>
      <c r="L838" s="38" t="n">
        <v>46157</v>
      </c>
      <c r="M838" s="11" t="n">
        <v>2</v>
      </c>
      <c r="N838" s="11"/>
      <c r="O838" s="11"/>
    </row>
    <row r="839" customFormat="false" ht="15" hidden="false" customHeight="false" outlineLevel="0" collapsed="false">
      <c r="A839" s="11" t="s">
        <v>3570</v>
      </c>
      <c r="B839" s="11" t="s">
        <v>299</v>
      </c>
      <c r="C839" s="11" t="s">
        <v>298</v>
      </c>
      <c r="D839" s="38" t="n">
        <v>46125</v>
      </c>
      <c r="E839" s="38" t="n">
        <v>46185</v>
      </c>
      <c r="F839" s="37" t="n">
        <v>14340</v>
      </c>
      <c r="G839" s="37" t="n">
        <v>0</v>
      </c>
      <c r="H839" s="37" t="n">
        <v>14340</v>
      </c>
      <c r="I839" s="11" t="s">
        <v>283</v>
      </c>
      <c r="J839" s="11"/>
      <c r="K839" s="11" t="s">
        <v>4152</v>
      </c>
      <c r="L839" s="38" t="n">
        <v>46185</v>
      </c>
      <c r="M839" s="11" t="n">
        <v>0</v>
      </c>
      <c r="N839" s="11"/>
      <c r="O839" s="11"/>
    </row>
    <row r="840" customFormat="false" ht="15" hidden="false" customHeight="false" outlineLevel="0" collapsed="false">
      <c r="A840" s="11" t="s">
        <v>3588</v>
      </c>
      <c r="B840" s="11" t="s">
        <v>336</v>
      </c>
      <c r="C840" s="11" t="s">
        <v>335</v>
      </c>
      <c r="D840" s="38" t="n">
        <v>46125</v>
      </c>
      <c r="E840" s="38" t="n">
        <v>46170</v>
      </c>
      <c r="F840" s="37" t="n">
        <v>7300</v>
      </c>
      <c r="G840" s="37" t="n">
        <v>1460</v>
      </c>
      <c r="H840" s="37" t="n">
        <v>8760</v>
      </c>
      <c r="I840" s="11" t="s">
        <v>283</v>
      </c>
      <c r="J840" s="11"/>
      <c r="K840" s="11" t="s">
        <v>4152</v>
      </c>
      <c r="L840" s="38" t="n">
        <v>46189</v>
      </c>
      <c r="M840" s="11" t="n">
        <v>19</v>
      </c>
      <c r="N840" s="11"/>
      <c r="O840" s="11"/>
    </row>
    <row r="841" customFormat="false" ht="15" hidden="false" customHeight="false" outlineLevel="0" collapsed="false">
      <c r="A841" s="11" t="s">
        <v>3510</v>
      </c>
      <c r="B841" s="11" t="s">
        <v>281</v>
      </c>
      <c r="C841" s="11" t="s">
        <v>280</v>
      </c>
      <c r="D841" s="38" t="n">
        <v>46127</v>
      </c>
      <c r="E841" s="38" t="n">
        <v>46172</v>
      </c>
      <c r="F841" s="37" t="n">
        <v>5980</v>
      </c>
      <c r="G841" s="37" t="n">
        <v>1196</v>
      </c>
      <c r="H841" s="37" t="n">
        <v>7176</v>
      </c>
      <c r="I841" s="11" t="s">
        <v>283</v>
      </c>
      <c r="J841" s="11"/>
      <c r="K841" s="11" t="s">
        <v>4152</v>
      </c>
      <c r="L841" s="38" t="n">
        <v>46174</v>
      </c>
      <c r="M841" s="11" t="n">
        <v>2</v>
      </c>
      <c r="N841" s="11"/>
      <c r="O841" s="11"/>
    </row>
    <row r="842" customFormat="false" ht="15" hidden="false" customHeight="false" outlineLevel="0" collapsed="false">
      <c r="A842" s="11" t="s">
        <v>3512</v>
      </c>
      <c r="B842" s="11" t="s">
        <v>281</v>
      </c>
      <c r="C842" s="11" t="s">
        <v>280</v>
      </c>
      <c r="D842" s="38" t="n">
        <v>46128</v>
      </c>
      <c r="E842" s="38" t="n">
        <v>46173</v>
      </c>
      <c r="F842" s="37" t="n">
        <v>8790</v>
      </c>
      <c r="G842" s="37" t="n">
        <v>1758</v>
      </c>
      <c r="H842" s="37" t="n">
        <v>10548</v>
      </c>
      <c r="I842" s="11" t="s">
        <v>283</v>
      </c>
      <c r="J842" s="11"/>
      <c r="K842" s="11" t="s">
        <v>4152</v>
      </c>
      <c r="L842" s="38" t="n">
        <v>46174</v>
      </c>
      <c r="M842" s="11" t="n">
        <v>1</v>
      </c>
      <c r="N842" s="11"/>
      <c r="O842" s="11"/>
    </row>
    <row r="843" customFormat="false" ht="15" hidden="false" customHeight="false" outlineLevel="0" collapsed="false">
      <c r="A843" s="11" t="s">
        <v>3672</v>
      </c>
      <c r="B843" s="11" t="s">
        <v>336</v>
      </c>
      <c r="C843" s="11" t="s">
        <v>335</v>
      </c>
      <c r="D843" s="38" t="n">
        <v>46128</v>
      </c>
      <c r="E843" s="38" t="n">
        <v>46173</v>
      </c>
      <c r="F843" s="37" t="n">
        <v>8330</v>
      </c>
      <c r="G843" s="37" t="n">
        <v>1666</v>
      </c>
      <c r="H843" s="37" t="n">
        <v>9996</v>
      </c>
      <c r="I843" s="11" t="s">
        <v>283</v>
      </c>
      <c r="J843" s="11"/>
      <c r="K843" s="11" t="s">
        <v>4152</v>
      </c>
      <c r="L843" s="38" t="n">
        <v>46209</v>
      </c>
      <c r="M843" s="11" t="n">
        <v>36</v>
      </c>
      <c r="N843" s="11"/>
      <c r="O843" s="11"/>
    </row>
    <row r="844" customFormat="false" ht="15" hidden="false" customHeight="false" outlineLevel="0" collapsed="false">
      <c r="A844" s="11" t="s">
        <v>3632</v>
      </c>
      <c r="B844" s="11" t="s">
        <v>350</v>
      </c>
      <c r="C844" s="11" t="s">
        <v>349</v>
      </c>
      <c r="D844" s="38" t="n">
        <v>46128</v>
      </c>
      <c r="E844" s="38" t="n">
        <v>46188</v>
      </c>
      <c r="F844" s="37" t="n">
        <v>4520</v>
      </c>
      <c r="G844" s="37" t="n">
        <v>904</v>
      </c>
      <c r="H844" s="37" t="n">
        <v>5424</v>
      </c>
      <c r="I844" s="11" t="s">
        <v>283</v>
      </c>
      <c r="J844" s="11"/>
      <c r="K844" s="11" t="s">
        <v>4152</v>
      </c>
      <c r="L844" s="38" t="n">
        <v>46198</v>
      </c>
      <c r="M844" s="11" t="n">
        <v>10</v>
      </c>
      <c r="N844" s="11"/>
      <c r="O844" s="11"/>
    </row>
    <row r="845" customFormat="false" ht="15" hidden="false" customHeight="false" outlineLevel="0" collapsed="false">
      <c r="A845" s="11" t="s">
        <v>3445</v>
      </c>
      <c r="B845" s="11" t="s">
        <v>324</v>
      </c>
      <c r="C845" s="11" t="s">
        <v>323</v>
      </c>
      <c r="D845" s="38" t="n">
        <v>46128</v>
      </c>
      <c r="E845" s="38" t="n">
        <v>46158</v>
      </c>
      <c r="F845" s="37" t="n">
        <v>5080</v>
      </c>
      <c r="G845" s="37" t="n">
        <v>1016</v>
      </c>
      <c r="H845" s="37" t="n">
        <v>6096</v>
      </c>
      <c r="I845" s="11" t="s">
        <v>283</v>
      </c>
      <c r="J845" s="11"/>
      <c r="K845" s="11" t="s">
        <v>4152</v>
      </c>
      <c r="L845" s="38" t="n">
        <v>46160</v>
      </c>
      <c r="M845" s="11" t="n">
        <v>2</v>
      </c>
      <c r="N845" s="11"/>
      <c r="O845" s="11"/>
    </row>
    <row r="846" customFormat="false" ht="15" hidden="false" customHeight="false" outlineLevel="0" collapsed="false">
      <c r="A846" s="11" t="s">
        <v>3647</v>
      </c>
      <c r="B846" s="11" t="s">
        <v>350</v>
      </c>
      <c r="C846" s="11" t="s">
        <v>349</v>
      </c>
      <c r="D846" s="38" t="n">
        <v>46129</v>
      </c>
      <c r="E846" s="38" t="n">
        <v>46189</v>
      </c>
      <c r="F846" s="37" t="n">
        <v>11240</v>
      </c>
      <c r="G846" s="37" t="n">
        <v>2248</v>
      </c>
      <c r="H846" s="37" t="n">
        <v>13488</v>
      </c>
      <c r="I846" s="11" t="s">
        <v>283</v>
      </c>
      <c r="J846" s="11"/>
      <c r="K846" s="11" t="s">
        <v>4152</v>
      </c>
      <c r="L846" s="38" t="n">
        <v>46202</v>
      </c>
      <c r="M846" s="11" t="n">
        <v>13</v>
      </c>
      <c r="N846" s="11"/>
      <c r="O846" s="11"/>
    </row>
    <row r="847" customFormat="false" ht="15" hidden="false" customHeight="false" outlineLevel="0" collapsed="false">
      <c r="A847" s="11" t="s">
        <v>3508</v>
      </c>
      <c r="B847" s="11" t="s">
        <v>281</v>
      </c>
      <c r="C847" s="11" t="s">
        <v>280</v>
      </c>
      <c r="D847" s="38" t="n">
        <v>46129</v>
      </c>
      <c r="E847" s="38" t="n">
        <v>46174</v>
      </c>
      <c r="F847" s="37" t="n">
        <v>4350</v>
      </c>
      <c r="G847" s="37" t="n">
        <v>870</v>
      </c>
      <c r="H847" s="37" t="n">
        <v>5220</v>
      </c>
      <c r="I847" s="11" t="s">
        <v>283</v>
      </c>
      <c r="J847" s="11"/>
      <c r="K847" s="11" t="s">
        <v>4152</v>
      </c>
      <c r="L847" s="38" t="n">
        <v>46174</v>
      </c>
      <c r="M847" s="11" t="n">
        <v>0</v>
      </c>
      <c r="N847" s="11"/>
      <c r="O847" s="11"/>
    </row>
    <row r="848" customFormat="false" ht="15" hidden="false" customHeight="false" outlineLevel="0" collapsed="false">
      <c r="A848" s="11" t="s">
        <v>3575</v>
      </c>
      <c r="B848" s="11" t="s">
        <v>350</v>
      </c>
      <c r="C848" s="11" t="s">
        <v>349</v>
      </c>
      <c r="D848" s="38" t="n">
        <v>46129</v>
      </c>
      <c r="E848" s="38" t="n">
        <v>46189</v>
      </c>
      <c r="F848" s="37" t="n">
        <v>9700</v>
      </c>
      <c r="G848" s="37" t="n">
        <v>1940</v>
      </c>
      <c r="H848" s="37" t="n">
        <v>11640</v>
      </c>
      <c r="I848" s="11" t="s">
        <v>283</v>
      </c>
      <c r="J848" s="11"/>
      <c r="K848" s="11" t="s">
        <v>4152</v>
      </c>
      <c r="L848" s="38" t="n">
        <v>46188</v>
      </c>
      <c r="M848" s="11" t="n">
        <v>-1</v>
      </c>
      <c r="N848" s="11"/>
      <c r="O848" s="11"/>
    </row>
    <row r="849" customFormat="false" ht="15" hidden="false" customHeight="false" outlineLevel="0" collapsed="false">
      <c r="A849" s="11" t="s">
        <v>3726</v>
      </c>
      <c r="B849" s="11" t="s">
        <v>332</v>
      </c>
      <c r="C849" s="11" t="s">
        <v>331</v>
      </c>
      <c r="D849" s="38" t="n">
        <v>46133</v>
      </c>
      <c r="E849" s="38" t="n">
        <v>46178</v>
      </c>
      <c r="F849" s="37" t="n">
        <v>9800</v>
      </c>
      <c r="G849" s="37" t="n">
        <v>1960</v>
      </c>
      <c r="H849" s="37" t="n">
        <v>11760</v>
      </c>
      <c r="I849" s="11" t="s">
        <v>283</v>
      </c>
      <c r="J849" s="11"/>
      <c r="K849" s="11" t="s">
        <v>4152</v>
      </c>
      <c r="L849" s="38" t="n">
        <v>46219</v>
      </c>
      <c r="M849" s="11" t="n">
        <v>41</v>
      </c>
      <c r="N849" s="11"/>
      <c r="O849" s="11"/>
    </row>
    <row r="850" customFormat="false" ht="15" hidden="false" customHeight="false" outlineLevel="0" collapsed="false">
      <c r="A850" s="11" t="s">
        <v>3546</v>
      </c>
      <c r="B850" s="11" t="s">
        <v>281</v>
      </c>
      <c r="C850" s="11" t="s">
        <v>280</v>
      </c>
      <c r="D850" s="38" t="n">
        <v>46134</v>
      </c>
      <c r="E850" s="38" t="n">
        <v>46179</v>
      </c>
      <c r="F850" s="37" t="n">
        <v>13340</v>
      </c>
      <c r="G850" s="37" t="n">
        <v>2668</v>
      </c>
      <c r="H850" s="37" t="n">
        <v>16008</v>
      </c>
      <c r="I850" s="11" t="s">
        <v>283</v>
      </c>
      <c r="J850" s="11"/>
      <c r="K850" s="11" t="s">
        <v>4152</v>
      </c>
      <c r="L850" s="38" t="n">
        <v>46181</v>
      </c>
      <c r="M850" s="11" t="n">
        <v>2</v>
      </c>
      <c r="N850" s="11"/>
      <c r="O850" s="11"/>
    </row>
    <row r="851" customFormat="false" ht="15" hidden="false" customHeight="false" outlineLevel="0" collapsed="false">
      <c r="A851" s="11" t="s">
        <v>3468</v>
      </c>
      <c r="B851" s="11" t="s">
        <v>288</v>
      </c>
      <c r="C851" s="11" t="s">
        <v>287</v>
      </c>
      <c r="D851" s="38" t="n">
        <v>46134</v>
      </c>
      <c r="E851" s="38" t="n">
        <v>46164</v>
      </c>
      <c r="F851" s="37" t="n">
        <v>1240</v>
      </c>
      <c r="G851" s="37" t="n">
        <v>248</v>
      </c>
      <c r="H851" s="37" t="n">
        <v>1488</v>
      </c>
      <c r="I851" s="11" t="s">
        <v>283</v>
      </c>
      <c r="J851" s="11"/>
      <c r="K851" s="11" t="s">
        <v>4152</v>
      </c>
      <c r="L851" s="38" t="n">
        <v>46163</v>
      </c>
      <c r="M851" s="11" t="n">
        <v>-1</v>
      </c>
      <c r="N851" s="11"/>
      <c r="O851" s="11"/>
    </row>
    <row r="852" customFormat="false" ht="15" hidden="false" customHeight="false" outlineLevel="0" collapsed="false">
      <c r="A852" s="11" t="s">
        <v>3506</v>
      </c>
      <c r="B852" s="11" t="s">
        <v>288</v>
      </c>
      <c r="C852" s="11" t="s">
        <v>287</v>
      </c>
      <c r="D852" s="38" t="n">
        <v>46134</v>
      </c>
      <c r="E852" s="38" t="n">
        <v>46164</v>
      </c>
      <c r="F852" s="37" t="n">
        <v>1470</v>
      </c>
      <c r="G852" s="37" t="n">
        <v>294</v>
      </c>
      <c r="H852" s="37" t="n">
        <v>1764</v>
      </c>
      <c r="I852" s="11" t="s">
        <v>283</v>
      </c>
      <c r="J852" s="11"/>
      <c r="K852" s="11" t="s">
        <v>4152</v>
      </c>
      <c r="L852" s="38" t="n">
        <v>46171</v>
      </c>
      <c r="M852" s="11" t="n">
        <v>7</v>
      </c>
      <c r="N852" s="11"/>
      <c r="O852" s="11"/>
    </row>
    <row r="853" customFormat="false" ht="15" hidden="false" customHeight="false" outlineLevel="0" collapsed="false">
      <c r="A853" s="11" t="s">
        <v>3474</v>
      </c>
      <c r="B853" s="11" t="s">
        <v>288</v>
      </c>
      <c r="C853" s="11" t="s">
        <v>287</v>
      </c>
      <c r="D853" s="38" t="n">
        <v>46135</v>
      </c>
      <c r="E853" s="38" t="n">
        <v>46165</v>
      </c>
      <c r="F853" s="37" t="n">
        <v>3050</v>
      </c>
      <c r="G853" s="37" t="n">
        <v>610</v>
      </c>
      <c r="H853" s="37" t="n">
        <v>3660</v>
      </c>
      <c r="I853" s="11" t="s">
        <v>283</v>
      </c>
      <c r="J853" s="11"/>
      <c r="K853" s="11" t="s">
        <v>4152</v>
      </c>
      <c r="L853" s="38" t="n">
        <v>46168</v>
      </c>
      <c r="M853" s="11" t="n">
        <v>3</v>
      </c>
      <c r="N853" s="11"/>
      <c r="O853" s="11"/>
    </row>
    <row r="854" customFormat="false" ht="15" hidden="false" customHeight="false" outlineLevel="0" collapsed="false">
      <c r="A854" s="11" t="s">
        <v>3640</v>
      </c>
      <c r="B854" s="11" t="s">
        <v>299</v>
      </c>
      <c r="C854" s="11" t="s">
        <v>298</v>
      </c>
      <c r="D854" s="38" t="n">
        <v>46136</v>
      </c>
      <c r="E854" s="38" t="n">
        <v>46196</v>
      </c>
      <c r="F854" s="37" t="n">
        <v>9470</v>
      </c>
      <c r="G854" s="37" t="n">
        <v>0</v>
      </c>
      <c r="H854" s="37" t="n">
        <v>9470</v>
      </c>
      <c r="I854" s="11" t="s">
        <v>283</v>
      </c>
      <c r="J854" s="11"/>
      <c r="K854" s="11" t="s">
        <v>4152</v>
      </c>
      <c r="L854" s="38" t="n">
        <v>46199</v>
      </c>
      <c r="M854" s="11" t="n">
        <v>3</v>
      </c>
      <c r="N854" s="11"/>
      <c r="O854" s="11"/>
    </row>
    <row r="855" customFormat="false" ht="15" hidden="false" customHeight="false" outlineLevel="0" collapsed="false">
      <c r="A855" s="11" t="s">
        <v>3658</v>
      </c>
      <c r="B855" s="11" t="s">
        <v>299</v>
      </c>
      <c r="C855" s="11" t="s">
        <v>298</v>
      </c>
      <c r="D855" s="38" t="n">
        <v>46136</v>
      </c>
      <c r="E855" s="38" t="n">
        <v>46196</v>
      </c>
      <c r="F855" s="37" t="n">
        <v>6370</v>
      </c>
      <c r="G855" s="37" t="n">
        <v>0</v>
      </c>
      <c r="H855" s="37" t="n">
        <v>6370</v>
      </c>
      <c r="I855" s="11" t="s">
        <v>283</v>
      </c>
      <c r="J855" s="11"/>
      <c r="K855" s="11" t="s">
        <v>4152</v>
      </c>
      <c r="L855" s="38" t="n">
        <v>46204</v>
      </c>
      <c r="M855" s="11" t="n">
        <v>8</v>
      </c>
      <c r="N855" s="11"/>
      <c r="O855" s="11"/>
    </row>
    <row r="856" customFormat="false" ht="15" hidden="false" customHeight="false" outlineLevel="0" collapsed="false">
      <c r="A856" s="11" t="s">
        <v>3586</v>
      </c>
      <c r="B856" s="11" t="s">
        <v>336</v>
      </c>
      <c r="C856" s="11" t="s">
        <v>335</v>
      </c>
      <c r="D856" s="38" t="n">
        <v>46136</v>
      </c>
      <c r="E856" s="38" t="n">
        <v>46181</v>
      </c>
      <c r="F856" s="37" t="n">
        <v>7110</v>
      </c>
      <c r="G856" s="37" t="n">
        <v>1422</v>
      </c>
      <c r="H856" s="37" t="n">
        <v>8532</v>
      </c>
      <c r="I856" s="11" t="s">
        <v>283</v>
      </c>
      <c r="J856" s="11"/>
      <c r="K856" s="11" t="s">
        <v>4152</v>
      </c>
      <c r="L856" s="38" t="n">
        <v>46189</v>
      </c>
      <c r="M856" s="11" t="n">
        <v>8</v>
      </c>
      <c r="N856" s="11"/>
      <c r="O856" s="11"/>
    </row>
    <row r="857" customFormat="false" ht="15" hidden="false" customHeight="false" outlineLevel="0" collapsed="false">
      <c r="A857" s="11" t="s">
        <v>3759</v>
      </c>
      <c r="B857" s="11" t="s">
        <v>328</v>
      </c>
      <c r="C857" s="11" t="s">
        <v>327</v>
      </c>
      <c r="D857" s="38" t="n">
        <v>46136</v>
      </c>
      <c r="E857" s="38" t="n">
        <v>46196</v>
      </c>
      <c r="F857" s="37" t="n">
        <v>23880</v>
      </c>
      <c r="G857" s="37" t="n">
        <v>4776</v>
      </c>
      <c r="H857" s="37" t="n">
        <v>28656</v>
      </c>
      <c r="I857" s="11" t="s">
        <v>283</v>
      </c>
      <c r="J857" s="11"/>
      <c r="K857" s="11" t="s">
        <v>4152</v>
      </c>
      <c r="L857" s="38" t="n">
        <v>46226</v>
      </c>
      <c r="M857" s="11" t="n">
        <v>30</v>
      </c>
      <c r="N857" s="11"/>
      <c r="O857" s="11"/>
    </row>
    <row r="858" customFormat="false" ht="15" hidden="false" customHeight="false" outlineLevel="0" collapsed="false">
      <c r="A858" s="11" t="s">
        <v>3669</v>
      </c>
      <c r="B858" s="11" t="s">
        <v>332</v>
      </c>
      <c r="C858" s="11" t="s">
        <v>331</v>
      </c>
      <c r="D858" s="38" t="n">
        <v>46136</v>
      </c>
      <c r="E858" s="38" t="n">
        <v>46181</v>
      </c>
      <c r="F858" s="37" t="n">
        <v>9920</v>
      </c>
      <c r="G858" s="37" t="n">
        <v>1984</v>
      </c>
      <c r="H858" s="37" t="n">
        <v>11904</v>
      </c>
      <c r="I858" s="11" t="s">
        <v>283</v>
      </c>
      <c r="J858" s="11"/>
      <c r="K858" s="11" t="s">
        <v>4152</v>
      </c>
      <c r="L858" s="38" t="n">
        <v>46206</v>
      </c>
      <c r="M858" s="11" t="n">
        <v>25</v>
      </c>
      <c r="N858" s="11"/>
      <c r="O858" s="11"/>
    </row>
    <row r="859" customFormat="false" ht="15" hidden="false" customHeight="false" outlineLevel="0" collapsed="false">
      <c r="A859" s="11" t="s">
        <v>3537</v>
      </c>
      <c r="B859" s="11" t="s">
        <v>336</v>
      </c>
      <c r="C859" s="11" t="s">
        <v>335</v>
      </c>
      <c r="D859" s="38" t="n">
        <v>46136</v>
      </c>
      <c r="E859" s="38" t="n">
        <v>46181</v>
      </c>
      <c r="F859" s="37" t="n">
        <v>9060</v>
      </c>
      <c r="G859" s="37" t="n">
        <v>1812</v>
      </c>
      <c r="H859" s="37" t="n">
        <v>10872</v>
      </c>
      <c r="I859" s="11" t="s">
        <v>283</v>
      </c>
      <c r="J859" s="11"/>
      <c r="K859" s="11" t="s">
        <v>4152</v>
      </c>
      <c r="L859" s="38" t="n">
        <v>46181</v>
      </c>
      <c r="M859" s="11" t="n">
        <v>0</v>
      </c>
      <c r="N859" s="11"/>
      <c r="O859" s="11"/>
    </row>
    <row r="860" customFormat="false" ht="15" hidden="false" customHeight="false" outlineLevel="0" collapsed="false">
      <c r="A860" s="11" t="s">
        <v>3550</v>
      </c>
      <c r="B860" s="11" t="s">
        <v>324</v>
      </c>
      <c r="C860" s="11" t="s">
        <v>323</v>
      </c>
      <c r="D860" s="38" t="n">
        <v>46136</v>
      </c>
      <c r="E860" s="38" t="n">
        <v>46166</v>
      </c>
      <c r="F860" s="37" t="n">
        <v>7470</v>
      </c>
      <c r="G860" s="37" t="n">
        <v>1494</v>
      </c>
      <c r="H860" s="37" t="n">
        <v>8964</v>
      </c>
      <c r="I860" s="11" t="s">
        <v>283</v>
      </c>
      <c r="J860" s="11"/>
      <c r="K860" s="11" t="s">
        <v>4152</v>
      </c>
      <c r="L860" s="38" t="n">
        <v>46183</v>
      </c>
      <c r="M860" s="11" t="n">
        <v>17</v>
      </c>
      <c r="N860" s="11"/>
      <c r="O860" s="11"/>
    </row>
    <row r="861" customFormat="false" ht="15" hidden="false" customHeight="false" outlineLevel="0" collapsed="false">
      <c r="A861" s="11" t="s">
        <v>3643</v>
      </c>
      <c r="B861" s="11" t="s">
        <v>336</v>
      </c>
      <c r="C861" s="11" t="s">
        <v>335</v>
      </c>
      <c r="D861" s="38" t="n">
        <v>46139</v>
      </c>
      <c r="E861" s="38" t="n">
        <v>46184</v>
      </c>
      <c r="F861" s="37" t="n">
        <v>4950</v>
      </c>
      <c r="G861" s="37" t="n">
        <v>990</v>
      </c>
      <c r="H861" s="37" t="n">
        <v>5940</v>
      </c>
      <c r="I861" s="11" t="s">
        <v>283</v>
      </c>
      <c r="J861" s="11"/>
      <c r="K861" s="11" t="s">
        <v>4152</v>
      </c>
      <c r="L861" s="38" t="n">
        <v>46202</v>
      </c>
      <c r="M861" s="11" t="n">
        <v>18</v>
      </c>
      <c r="N861" s="11"/>
      <c r="O861" s="11"/>
    </row>
    <row r="862" customFormat="false" ht="15" hidden="false" customHeight="false" outlineLevel="0" collapsed="false">
      <c r="A862" s="11" t="s">
        <v>3744</v>
      </c>
      <c r="B862" s="11" t="s">
        <v>328</v>
      </c>
      <c r="C862" s="11" t="s">
        <v>327</v>
      </c>
      <c r="D862" s="38" t="n">
        <v>46139</v>
      </c>
      <c r="E862" s="38" t="n">
        <v>46199</v>
      </c>
      <c r="F862" s="37" t="n">
        <v>13980</v>
      </c>
      <c r="G862" s="37" t="n">
        <v>2796</v>
      </c>
      <c r="H862" s="37" t="n">
        <v>16776</v>
      </c>
      <c r="I862" s="11" t="s">
        <v>283</v>
      </c>
      <c r="J862" s="11"/>
      <c r="K862" s="11" t="s">
        <v>4152</v>
      </c>
      <c r="L862" s="38" t="n">
        <v>46224</v>
      </c>
      <c r="M862" s="11" t="n">
        <v>25</v>
      </c>
      <c r="N862" s="11"/>
      <c r="O862" s="11"/>
    </row>
    <row r="863" customFormat="false" ht="15" hidden="false" customHeight="false" outlineLevel="0" collapsed="false">
      <c r="A863" s="11" t="s">
        <v>3554</v>
      </c>
      <c r="B863" s="11" t="s">
        <v>324</v>
      </c>
      <c r="C863" s="11" t="s">
        <v>323</v>
      </c>
      <c r="D863" s="38" t="n">
        <v>46139</v>
      </c>
      <c r="E863" s="38" t="n">
        <v>46169</v>
      </c>
      <c r="F863" s="37" t="n">
        <v>6330</v>
      </c>
      <c r="G863" s="37" t="n">
        <v>1266</v>
      </c>
      <c r="H863" s="37" t="n">
        <v>7596</v>
      </c>
      <c r="I863" s="11" t="s">
        <v>283</v>
      </c>
      <c r="J863" s="11"/>
      <c r="K863" s="11" t="s">
        <v>4152</v>
      </c>
      <c r="L863" s="38" t="n">
        <v>46183</v>
      </c>
      <c r="M863" s="11" t="n">
        <v>14</v>
      </c>
      <c r="N863" s="11"/>
      <c r="O863" s="11"/>
    </row>
    <row r="864" customFormat="false" ht="15" hidden="false" customHeight="false" outlineLevel="0" collapsed="false">
      <c r="A864" s="11" t="s">
        <v>3627</v>
      </c>
      <c r="B864" s="11" t="s">
        <v>350</v>
      </c>
      <c r="C864" s="11" t="s">
        <v>349</v>
      </c>
      <c r="D864" s="38" t="n">
        <v>46139</v>
      </c>
      <c r="E864" s="38" t="n">
        <v>46199</v>
      </c>
      <c r="F864" s="37" t="n">
        <v>3820</v>
      </c>
      <c r="G864" s="37" t="n">
        <v>764</v>
      </c>
      <c r="H864" s="37" t="n">
        <v>4584</v>
      </c>
      <c r="I864" s="11" t="s">
        <v>283</v>
      </c>
      <c r="J864" s="11"/>
      <c r="K864" s="11" t="s">
        <v>4152</v>
      </c>
      <c r="L864" s="38" t="n">
        <v>46197</v>
      </c>
      <c r="M864" s="11" t="n">
        <v>-2</v>
      </c>
      <c r="N864" s="11"/>
      <c r="O864" s="11"/>
    </row>
    <row r="865" customFormat="false" ht="15" hidden="false" customHeight="false" outlineLevel="0" collapsed="false">
      <c r="A865" s="11" t="s">
        <v>3718</v>
      </c>
      <c r="B865" s="11" t="s">
        <v>350</v>
      </c>
      <c r="C865" s="11" t="s">
        <v>349</v>
      </c>
      <c r="D865" s="38" t="n">
        <v>46142</v>
      </c>
      <c r="E865" s="38" t="n">
        <v>46202</v>
      </c>
      <c r="F865" s="37" t="n">
        <v>8980</v>
      </c>
      <c r="G865" s="37" t="n">
        <v>1796</v>
      </c>
      <c r="H865" s="37" t="n">
        <v>10776</v>
      </c>
      <c r="I865" s="11" t="s">
        <v>283</v>
      </c>
      <c r="J865" s="11"/>
      <c r="K865" s="11" t="s">
        <v>4152</v>
      </c>
      <c r="L865" s="38" t="n">
        <v>46216</v>
      </c>
      <c r="M865" s="11" t="n">
        <v>14</v>
      </c>
      <c r="N865" s="11"/>
      <c r="O865" s="11"/>
    </row>
    <row r="866" customFormat="false" ht="15" hidden="false" customHeight="false" outlineLevel="0" collapsed="false">
      <c r="A866" s="11" t="s">
        <v>3591</v>
      </c>
      <c r="B866" s="11" t="s">
        <v>281</v>
      </c>
      <c r="C866" s="11" t="s">
        <v>280</v>
      </c>
      <c r="D866" s="38" t="n">
        <v>46146</v>
      </c>
      <c r="E866" s="38" t="n">
        <v>46191</v>
      </c>
      <c r="F866" s="37" t="n">
        <v>10040</v>
      </c>
      <c r="G866" s="37" t="n">
        <v>2008</v>
      </c>
      <c r="H866" s="37" t="n">
        <v>12048</v>
      </c>
      <c r="I866" s="11" t="s">
        <v>283</v>
      </c>
      <c r="J866" s="11"/>
      <c r="K866" s="11" t="s">
        <v>4152</v>
      </c>
      <c r="L866" s="38" t="n">
        <v>46191</v>
      </c>
      <c r="M866" s="11" t="n">
        <v>0</v>
      </c>
      <c r="N866" s="11"/>
      <c r="O866" s="11"/>
    </row>
    <row r="867" customFormat="false" ht="15" hidden="false" customHeight="false" outlineLevel="0" collapsed="false">
      <c r="A867" s="11" t="s">
        <v>3597</v>
      </c>
      <c r="B867" s="11" t="s">
        <v>281</v>
      </c>
      <c r="C867" s="11" t="s">
        <v>280</v>
      </c>
      <c r="D867" s="38" t="n">
        <v>46146</v>
      </c>
      <c r="E867" s="38" t="n">
        <v>46191</v>
      </c>
      <c r="F867" s="37" t="n">
        <v>5350</v>
      </c>
      <c r="G867" s="37" t="n">
        <v>1070</v>
      </c>
      <c r="H867" s="37" t="n">
        <v>6420</v>
      </c>
      <c r="I867" s="11" t="s">
        <v>283</v>
      </c>
      <c r="J867" s="11"/>
      <c r="K867" s="11" t="s">
        <v>4152</v>
      </c>
      <c r="L867" s="38" t="n">
        <v>46191</v>
      </c>
      <c r="M867" s="11" t="n">
        <v>0</v>
      </c>
      <c r="N867" s="11"/>
      <c r="O867" s="11"/>
    </row>
    <row r="868" customFormat="false" ht="15" hidden="false" customHeight="false" outlineLevel="0" collapsed="false">
      <c r="A868" s="11" t="s">
        <v>3599</v>
      </c>
      <c r="B868" s="11" t="s">
        <v>281</v>
      </c>
      <c r="C868" s="11" t="s">
        <v>280</v>
      </c>
      <c r="D868" s="38" t="n">
        <v>46146</v>
      </c>
      <c r="E868" s="38" t="n">
        <v>46191</v>
      </c>
      <c r="F868" s="37" t="n">
        <v>8730</v>
      </c>
      <c r="G868" s="37" t="n">
        <v>1746</v>
      </c>
      <c r="H868" s="37" t="n">
        <v>10476</v>
      </c>
      <c r="I868" s="11" t="s">
        <v>283</v>
      </c>
      <c r="J868" s="11"/>
      <c r="K868" s="11" t="s">
        <v>4152</v>
      </c>
      <c r="L868" s="38" t="n">
        <v>46191</v>
      </c>
      <c r="M868" s="11" t="n">
        <v>0</v>
      </c>
      <c r="N868" s="11"/>
      <c r="O868" s="11"/>
    </row>
    <row r="869" customFormat="false" ht="15" hidden="false" customHeight="false" outlineLevel="0" collapsed="false">
      <c r="A869" s="11" t="s">
        <v>3525</v>
      </c>
      <c r="B869" s="11" t="s">
        <v>324</v>
      </c>
      <c r="C869" s="11" t="s">
        <v>323</v>
      </c>
      <c r="D869" s="38" t="n">
        <v>46146</v>
      </c>
      <c r="E869" s="38" t="n">
        <v>46176</v>
      </c>
      <c r="F869" s="37" t="n">
        <v>3970</v>
      </c>
      <c r="G869" s="37" t="n">
        <v>794</v>
      </c>
      <c r="H869" s="37" t="n">
        <v>4764</v>
      </c>
      <c r="I869" s="11" t="s">
        <v>283</v>
      </c>
      <c r="J869" s="11"/>
      <c r="K869" s="11" t="s">
        <v>4152</v>
      </c>
      <c r="L869" s="38" t="n">
        <v>46176</v>
      </c>
      <c r="M869" s="11" t="n">
        <v>0</v>
      </c>
      <c r="N869" s="11"/>
      <c r="O869" s="11"/>
    </row>
    <row r="870" customFormat="false" ht="15" hidden="false" customHeight="false" outlineLevel="0" collapsed="false">
      <c r="A870" s="11" t="s">
        <v>3595</v>
      </c>
      <c r="B870" s="11" t="s">
        <v>281</v>
      </c>
      <c r="C870" s="11" t="s">
        <v>280</v>
      </c>
      <c r="D870" s="38" t="n">
        <v>46146</v>
      </c>
      <c r="E870" s="38" t="n">
        <v>46191</v>
      </c>
      <c r="F870" s="37" t="n">
        <v>7180</v>
      </c>
      <c r="G870" s="37" t="n">
        <v>1436</v>
      </c>
      <c r="H870" s="37" t="n">
        <v>8616</v>
      </c>
      <c r="I870" s="11" t="s">
        <v>283</v>
      </c>
      <c r="J870" s="11"/>
      <c r="K870" s="11" t="s">
        <v>4152</v>
      </c>
      <c r="L870" s="38" t="n">
        <v>46191</v>
      </c>
      <c r="M870" s="11" t="n">
        <v>0</v>
      </c>
      <c r="N870" s="11"/>
      <c r="O870" s="11"/>
    </row>
    <row r="871" customFormat="false" ht="15" hidden="false" customHeight="false" outlineLevel="0" collapsed="false">
      <c r="A871" s="11" t="s">
        <v>3699</v>
      </c>
      <c r="B871" s="11" t="s">
        <v>299</v>
      </c>
      <c r="C871" s="11" t="s">
        <v>298</v>
      </c>
      <c r="D871" s="38" t="n">
        <v>46146</v>
      </c>
      <c r="E871" s="38" t="n">
        <v>46206</v>
      </c>
      <c r="F871" s="37" t="n">
        <v>4540</v>
      </c>
      <c r="G871" s="37" t="n">
        <v>0</v>
      </c>
      <c r="H871" s="37" t="n">
        <v>4540</v>
      </c>
      <c r="I871" s="11" t="s">
        <v>283</v>
      </c>
      <c r="J871" s="11"/>
      <c r="K871" s="11" t="s">
        <v>4152</v>
      </c>
      <c r="L871" s="38" t="n">
        <v>46212</v>
      </c>
      <c r="M871" s="11" t="n">
        <v>6</v>
      </c>
      <c r="N871" s="11"/>
      <c r="O871" s="11"/>
    </row>
    <row r="872" customFormat="false" ht="15" hidden="false" customHeight="false" outlineLevel="0" collapsed="false">
      <c r="A872" s="11" t="s">
        <v>3740</v>
      </c>
      <c r="B872" s="11" t="s">
        <v>332</v>
      </c>
      <c r="C872" s="11" t="s">
        <v>331</v>
      </c>
      <c r="D872" s="38" t="n">
        <v>46147</v>
      </c>
      <c r="E872" s="38" t="n">
        <v>46192</v>
      </c>
      <c r="F872" s="37" t="n">
        <v>7540</v>
      </c>
      <c r="G872" s="37" t="n">
        <v>1508</v>
      </c>
      <c r="H872" s="37" t="n">
        <v>9048</v>
      </c>
      <c r="I872" s="11" t="s">
        <v>283</v>
      </c>
      <c r="J872" s="11"/>
      <c r="K872" s="11" t="s">
        <v>4152</v>
      </c>
      <c r="L872" s="38" t="n">
        <v>46223</v>
      </c>
      <c r="M872" s="11" t="n">
        <v>31</v>
      </c>
      <c r="N872" s="11"/>
      <c r="O872" s="11"/>
    </row>
    <row r="873" customFormat="false" ht="15" hidden="false" customHeight="false" outlineLevel="0" collapsed="false">
      <c r="A873" s="11" t="s">
        <v>3568</v>
      </c>
      <c r="B873" s="11" t="s">
        <v>324</v>
      </c>
      <c r="C873" s="11" t="s">
        <v>323</v>
      </c>
      <c r="D873" s="38" t="n">
        <v>46147</v>
      </c>
      <c r="E873" s="38" t="n">
        <v>46177</v>
      </c>
      <c r="F873" s="37" t="n">
        <v>11260</v>
      </c>
      <c r="G873" s="37" t="n">
        <v>2252</v>
      </c>
      <c r="H873" s="37" t="n">
        <v>13512</v>
      </c>
      <c r="I873" s="11" t="s">
        <v>283</v>
      </c>
      <c r="J873" s="11"/>
      <c r="K873" s="11" t="s">
        <v>4152</v>
      </c>
      <c r="L873" s="38" t="n">
        <v>46184</v>
      </c>
      <c r="M873" s="11" t="n">
        <v>7</v>
      </c>
      <c r="N873" s="11"/>
      <c r="O873" s="11"/>
    </row>
    <row r="874" customFormat="false" ht="15" hidden="false" customHeight="false" outlineLevel="0" collapsed="false">
      <c r="A874" s="11" t="s">
        <v>3580</v>
      </c>
      <c r="B874" s="11" t="s">
        <v>336</v>
      </c>
      <c r="C874" s="11" t="s">
        <v>335</v>
      </c>
      <c r="D874" s="38" t="n">
        <v>46148</v>
      </c>
      <c r="E874" s="38" t="n">
        <v>46193</v>
      </c>
      <c r="F874" s="37" t="n">
        <v>4440</v>
      </c>
      <c r="G874" s="37" t="n">
        <v>888</v>
      </c>
      <c r="H874" s="37" t="n">
        <v>5328</v>
      </c>
      <c r="I874" s="11" t="s">
        <v>283</v>
      </c>
      <c r="J874" s="11"/>
      <c r="K874" s="11" t="s">
        <v>4152</v>
      </c>
      <c r="L874" s="38" t="n">
        <v>46188</v>
      </c>
      <c r="M874" s="11" t="n">
        <v>-5</v>
      </c>
      <c r="N874" s="11"/>
      <c r="O874" s="11"/>
    </row>
    <row r="875" customFormat="false" ht="15" hidden="false" customHeight="false" outlineLevel="0" collapsed="false">
      <c r="A875" s="11" t="s">
        <v>3621</v>
      </c>
      <c r="B875" s="11" t="s">
        <v>336</v>
      </c>
      <c r="C875" s="11" t="s">
        <v>335</v>
      </c>
      <c r="D875" s="38" t="n">
        <v>46149</v>
      </c>
      <c r="E875" s="38" t="n">
        <v>46194</v>
      </c>
      <c r="F875" s="37" t="n">
        <v>4170</v>
      </c>
      <c r="G875" s="37" t="n">
        <v>834</v>
      </c>
      <c r="H875" s="37" t="n">
        <v>5004</v>
      </c>
      <c r="I875" s="11" t="s">
        <v>283</v>
      </c>
      <c r="J875" s="11"/>
      <c r="K875" s="11" t="s">
        <v>4152</v>
      </c>
      <c r="L875" s="38" t="n">
        <v>46196</v>
      </c>
      <c r="M875" s="11" t="n">
        <v>2</v>
      </c>
      <c r="N875" s="11"/>
      <c r="O875" s="11"/>
    </row>
    <row r="876" customFormat="false" ht="15" hidden="false" customHeight="false" outlineLevel="0" collapsed="false">
      <c r="A876" s="11" t="s">
        <v>3634</v>
      </c>
      <c r="B876" s="11" t="s">
        <v>336</v>
      </c>
      <c r="C876" s="11" t="s">
        <v>335</v>
      </c>
      <c r="D876" s="38" t="n">
        <v>46149</v>
      </c>
      <c r="E876" s="38" t="n">
        <v>46194</v>
      </c>
      <c r="F876" s="37" t="n">
        <v>6850</v>
      </c>
      <c r="G876" s="37" t="n">
        <v>1370</v>
      </c>
      <c r="H876" s="37" t="n">
        <v>8220</v>
      </c>
      <c r="I876" s="11" t="s">
        <v>283</v>
      </c>
      <c r="J876" s="11"/>
      <c r="K876" s="11" t="s">
        <v>4152</v>
      </c>
      <c r="L876" s="38" t="n">
        <v>46198</v>
      </c>
      <c r="M876" s="11" t="n">
        <v>4</v>
      </c>
      <c r="N876" s="11"/>
      <c r="O876" s="11"/>
    </row>
    <row r="877" customFormat="false" ht="15" hidden="false" customHeight="false" outlineLevel="0" collapsed="false">
      <c r="A877" s="11" t="s">
        <v>3617</v>
      </c>
      <c r="B877" s="11" t="s">
        <v>281</v>
      </c>
      <c r="C877" s="11" t="s">
        <v>280</v>
      </c>
      <c r="D877" s="38" t="n">
        <v>46149</v>
      </c>
      <c r="E877" s="38" t="n">
        <v>46194</v>
      </c>
      <c r="F877" s="37" t="n">
        <v>8410</v>
      </c>
      <c r="G877" s="37" t="n">
        <v>1682</v>
      </c>
      <c r="H877" s="37" t="n">
        <v>10092</v>
      </c>
      <c r="I877" s="11" t="s">
        <v>283</v>
      </c>
      <c r="J877" s="11"/>
      <c r="K877" s="11" t="s">
        <v>4152</v>
      </c>
      <c r="L877" s="38" t="n">
        <v>46195</v>
      </c>
      <c r="M877" s="11" t="n">
        <v>1</v>
      </c>
      <c r="N877" s="11"/>
      <c r="O877" s="11"/>
    </row>
    <row r="878" customFormat="false" ht="15" hidden="false" customHeight="false" outlineLevel="0" collapsed="false">
      <c r="A878" s="11" t="s">
        <v>3593</v>
      </c>
      <c r="B878" s="11" t="s">
        <v>336</v>
      </c>
      <c r="C878" s="11" t="s">
        <v>335</v>
      </c>
      <c r="D878" s="38" t="n">
        <v>46149</v>
      </c>
      <c r="E878" s="38" t="n">
        <v>46194</v>
      </c>
      <c r="F878" s="37" t="n">
        <v>6090</v>
      </c>
      <c r="G878" s="37" t="n">
        <v>1218</v>
      </c>
      <c r="H878" s="37" t="n">
        <v>7308</v>
      </c>
      <c r="I878" s="11" t="s">
        <v>283</v>
      </c>
      <c r="J878" s="11"/>
      <c r="K878" s="11" t="s">
        <v>4152</v>
      </c>
      <c r="L878" s="38" t="n">
        <v>46191</v>
      </c>
      <c r="M878" s="11" t="n">
        <v>-3</v>
      </c>
      <c r="N878" s="11"/>
      <c r="O878" s="11"/>
    </row>
    <row r="879" customFormat="false" ht="15" hidden="false" customHeight="false" outlineLevel="0" collapsed="false">
      <c r="A879" s="11" t="s">
        <v>3556</v>
      </c>
      <c r="B879" s="11" t="s">
        <v>288</v>
      </c>
      <c r="C879" s="11" t="s">
        <v>287</v>
      </c>
      <c r="D879" s="38" t="n">
        <v>46149</v>
      </c>
      <c r="E879" s="38" t="n">
        <v>46179</v>
      </c>
      <c r="F879" s="37" t="n">
        <v>2950</v>
      </c>
      <c r="G879" s="37" t="n">
        <v>590</v>
      </c>
      <c r="H879" s="37" t="n">
        <v>3540</v>
      </c>
      <c r="I879" s="11" t="s">
        <v>283</v>
      </c>
      <c r="J879" s="11"/>
      <c r="K879" s="11" t="s">
        <v>4152</v>
      </c>
      <c r="L879" s="38" t="n">
        <v>46183</v>
      </c>
      <c r="M879" s="11" t="n">
        <v>4</v>
      </c>
      <c r="N879" s="11"/>
      <c r="O879" s="11"/>
    </row>
    <row r="880" customFormat="false" ht="15" hidden="false" customHeight="false" outlineLevel="0" collapsed="false">
      <c r="A880" s="11" t="s">
        <v>3578</v>
      </c>
      <c r="B880" s="11" t="s">
        <v>400</v>
      </c>
      <c r="C880" s="11" t="s">
        <v>399</v>
      </c>
      <c r="D880" s="38" t="n">
        <v>46149</v>
      </c>
      <c r="E880" s="38" t="n">
        <v>46179</v>
      </c>
      <c r="F880" s="37" t="n">
        <v>12970</v>
      </c>
      <c r="G880" s="37" t="n">
        <v>2594</v>
      </c>
      <c r="H880" s="37" t="n">
        <v>15564</v>
      </c>
      <c r="I880" s="11" t="s">
        <v>283</v>
      </c>
      <c r="J880" s="11"/>
      <c r="K880" s="11" t="s">
        <v>4152</v>
      </c>
      <c r="L880" s="38" t="n">
        <v>46188</v>
      </c>
      <c r="M880" s="11" t="n">
        <v>9</v>
      </c>
      <c r="N880" s="11"/>
      <c r="O880" s="11"/>
    </row>
    <row r="881" customFormat="false" ht="15" hidden="false" customHeight="false" outlineLevel="0" collapsed="false">
      <c r="A881" s="11" t="s">
        <v>3651</v>
      </c>
      <c r="B881" s="11" t="s">
        <v>336</v>
      </c>
      <c r="C881" s="11" t="s">
        <v>335</v>
      </c>
      <c r="D881" s="38" t="n">
        <v>46149</v>
      </c>
      <c r="E881" s="38" t="n">
        <v>46194</v>
      </c>
      <c r="F881" s="37" t="n">
        <v>3430</v>
      </c>
      <c r="G881" s="37" t="n">
        <v>686</v>
      </c>
      <c r="H881" s="37" t="n">
        <v>4116</v>
      </c>
      <c r="I881" s="11" t="s">
        <v>283</v>
      </c>
      <c r="J881" s="11"/>
      <c r="K881" s="11" t="s">
        <v>4152</v>
      </c>
      <c r="L881" s="38" t="n">
        <v>46202</v>
      </c>
      <c r="M881" s="11" t="n">
        <v>8</v>
      </c>
      <c r="N881" s="11"/>
      <c r="O881" s="11"/>
    </row>
    <row r="882" customFormat="false" ht="15" hidden="false" customHeight="false" outlineLevel="0" collapsed="false">
      <c r="A882" s="11" t="s">
        <v>3724</v>
      </c>
      <c r="B882" s="11" t="s">
        <v>299</v>
      </c>
      <c r="C882" s="11" t="s">
        <v>298</v>
      </c>
      <c r="D882" s="38" t="n">
        <v>46149</v>
      </c>
      <c r="E882" s="38" t="n">
        <v>46209</v>
      </c>
      <c r="F882" s="37" t="n">
        <v>14880</v>
      </c>
      <c r="G882" s="37" t="n">
        <v>0</v>
      </c>
      <c r="H882" s="37" t="n">
        <v>14880</v>
      </c>
      <c r="I882" s="11" t="s">
        <v>283</v>
      </c>
      <c r="J882" s="11"/>
      <c r="K882" s="11" t="s">
        <v>4152</v>
      </c>
      <c r="L882" s="38" t="n">
        <v>46218</v>
      </c>
      <c r="M882" s="11" t="n">
        <v>9</v>
      </c>
      <c r="N882" s="11"/>
      <c r="O882" s="11"/>
    </row>
    <row r="883" customFormat="false" ht="15" hidden="false" customHeight="false" outlineLevel="0" collapsed="false">
      <c r="A883" s="11" t="s">
        <v>3611</v>
      </c>
      <c r="B883" s="11" t="s">
        <v>281</v>
      </c>
      <c r="C883" s="11" t="s">
        <v>280</v>
      </c>
      <c r="D883" s="38" t="n">
        <v>46149</v>
      </c>
      <c r="E883" s="38" t="n">
        <v>46194</v>
      </c>
      <c r="F883" s="37" t="n">
        <v>5590</v>
      </c>
      <c r="G883" s="37" t="n">
        <v>1118</v>
      </c>
      <c r="H883" s="37" t="n">
        <v>6708</v>
      </c>
      <c r="I883" s="11" t="s">
        <v>283</v>
      </c>
      <c r="J883" s="11"/>
      <c r="K883" s="11" t="s">
        <v>4152</v>
      </c>
      <c r="L883" s="38" t="n">
        <v>46195</v>
      </c>
      <c r="M883" s="11" t="n">
        <v>1</v>
      </c>
      <c r="N883" s="11"/>
      <c r="O883" s="11"/>
    </row>
    <row r="884" customFormat="false" ht="15" hidden="false" customHeight="false" outlineLevel="0" collapsed="false">
      <c r="A884" s="11" t="s">
        <v>3775</v>
      </c>
      <c r="B884" s="11" t="s">
        <v>332</v>
      </c>
      <c r="C884" s="11" t="s">
        <v>331</v>
      </c>
      <c r="D884" s="38" t="n">
        <v>46149</v>
      </c>
      <c r="E884" s="38" t="n">
        <v>46194</v>
      </c>
      <c r="F884" s="37" t="n">
        <v>7590</v>
      </c>
      <c r="G884" s="37" t="n">
        <v>1518</v>
      </c>
      <c r="H884" s="37" t="n">
        <v>9108</v>
      </c>
      <c r="I884" s="11" t="s">
        <v>283</v>
      </c>
      <c r="J884" s="11"/>
      <c r="K884" s="11" t="s">
        <v>4152</v>
      </c>
      <c r="L884" s="38" t="n">
        <v>46230</v>
      </c>
      <c r="M884" s="11" t="n">
        <v>36</v>
      </c>
      <c r="N884" s="11"/>
      <c r="O884" s="11"/>
    </row>
    <row r="885" customFormat="false" ht="15" hidden="false" customHeight="false" outlineLevel="0" collapsed="false">
      <c r="A885" s="11" t="s">
        <v>3742</v>
      </c>
      <c r="B885" s="11" t="s">
        <v>332</v>
      </c>
      <c r="C885" s="11" t="s">
        <v>331</v>
      </c>
      <c r="D885" s="38" t="n">
        <v>46149</v>
      </c>
      <c r="E885" s="38" t="n">
        <v>46194</v>
      </c>
      <c r="F885" s="37" t="n">
        <v>12510</v>
      </c>
      <c r="G885" s="37" t="n">
        <v>2502</v>
      </c>
      <c r="H885" s="37" t="n">
        <v>15012</v>
      </c>
      <c r="I885" s="11" t="s">
        <v>283</v>
      </c>
      <c r="J885" s="11"/>
      <c r="K885" s="11" t="s">
        <v>4152</v>
      </c>
      <c r="L885" s="38" t="n">
        <v>46224</v>
      </c>
      <c r="M885" s="11" t="n">
        <v>30</v>
      </c>
      <c r="N885" s="11"/>
      <c r="O885" s="11"/>
    </row>
    <row r="886" customFormat="false" ht="15" hidden="false" customHeight="false" outlineLevel="0" collapsed="false">
      <c r="A886" s="11" t="s">
        <v>3716</v>
      </c>
      <c r="B886" s="11" t="s">
        <v>350</v>
      </c>
      <c r="C886" s="11" t="s">
        <v>349</v>
      </c>
      <c r="D886" s="38" t="n">
        <v>46149</v>
      </c>
      <c r="E886" s="38" t="n">
        <v>46209</v>
      </c>
      <c r="F886" s="37" t="n">
        <v>13910</v>
      </c>
      <c r="G886" s="37" t="n">
        <v>2782</v>
      </c>
      <c r="H886" s="37" t="n">
        <v>16692</v>
      </c>
      <c r="I886" s="11" t="s">
        <v>283</v>
      </c>
      <c r="J886" s="11"/>
      <c r="K886" s="11" t="s">
        <v>4152</v>
      </c>
      <c r="L886" s="38" t="n">
        <v>46216</v>
      </c>
      <c r="M886" s="11" t="n">
        <v>7</v>
      </c>
      <c r="N886" s="11"/>
      <c r="O886" s="11"/>
    </row>
    <row r="887" customFormat="false" ht="15" hidden="false" customHeight="false" outlineLevel="0" collapsed="false">
      <c r="A887" s="11" t="s">
        <v>3613</v>
      </c>
      <c r="B887" s="11" t="s">
        <v>281</v>
      </c>
      <c r="C887" s="11" t="s">
        <v>280</v>
      </c>
      <c r="D887" s="38" t="n">
        <v>46149</v>
      </c>
      <c r="E887" s="38" t="n">
        <v>46194</v>
      </c>
      <c r="F887" s="37" t="n">
        <v>3480</v>
      </c>
      <c r="G887" s="37" t="n">
        <v>696</v>
      </c>
      <c r="H887" s="37" t="n">
        <v>4176</v>
      </c>
      <c r="I887" s="11" t="s">
        <v>283</v>
      </c>
      <c r="J887" s="11"/>
      <c r="K887" s="11" t="s">
        <v>4152</v>
      </c>
      <c r="L887" s="38" t="n">
        <v>46195</v>
      </c>
      <c r="M887" s="11" t="n">
        <v>1</v>
      </c>
      <c r="N887" s="11"/>
      <c r="O887" s="11"/>
    </row>
    <row r="888" customFormat="false" ht="15" hidden="false" customHeight="false" outlineLevel="0" collapsed="false">
      <c r="A888" s="11" t="s">
        <v>3761</v>
      </c>
      <c r="B888" s="11" t="s">
        <v>336</v>
      </c>
      <c r="C888" s="11" t="s">
        <v>335</v>
      </c>
      <c r="D888" s="38" t="n">
        <v>46153</v>
      </c>
      <c r="E888" s="38" t="n">
        <v>46198</v>
      </c>
      <c r="F888" s="37" t="n">
        <v>7720</v>
      </c>
      <c r="G888" s="37" t="n">
        <v>1544</v>
      </c>
      <c r="H888" s="37" t="n">
        <v>9264</v>
      </c>
      <c r="I888" s="11" t="s">
        <v>283</v>
      </c>
      <c r="J888" s="11"/>
      <c r="K888" s="11" t="s">
        <v>4152</v>
      </c>
      <c r="L888" s="38" t="n">
        <v>46226</v>
      </c>
      <c r="M888" s="11" t="n">
        <v>28</v>
      </c>
      <c r="N888" s="11"/>
      <c r="O888" s="11"/>
    </row>
    <row r="889" customFormat="false" ht="15" hidden="false" customHeight="false" outlineLevel="0" collapsed="false">
      <c r="A889" s="11" t="s">
        <v>3947</v>
      </c>
      <c r="B889" s="11" t="s">
        <v>393</v>
      </c>
      <c r="C889" s="11" t="s">
        <v>392</v>
      </c>
      <c r="D889" s="38" t="n">
        <v>46154</v>
      </c>
      <c r="E889" s="38" t="n">
        <v>46204</v>
      </c>
      <c r="F889" s="37" t="n">
        <v>18660</v>
      </c>
      <c r="G889" s="37" t="n">
        <v>3732</v>
      </c>
      <c r="H889" s="37" t="n">
        <v>22392</v>
      </c>
      <c r="I889" s="11" t="s">
        <v>283</v>
      </c>
      <c r="J889" s="11"/>
      <c r="K889" s="11" t="s">
        <v>4152</v>
      </c>
      <c r="L889" s="38" t="n">
        <v>46266</v>
      </c>
      <c r="M889" s="11" t="n">
        <v>62</v>
      </c>
      <c r="N889" s="11"/>
      <c r="O889" s="11"/>
    </row>
    <row r="890" customFormat="false" ht="15" hidden="false" customHeight="false" outlineLevel="0" collapsed="false">
      <c r="A890" s="11" t="s">
        <v>3560</v>
      </c>
      <c r="B890" s="11" t="s">
        <v>288</v>
      </c>
      <c r="C890" s="11" t="s">
        <v>287</v>
      </c>
      <c r="D890" s="38" t="n">
        <v>46154</v>
      </c>
      <c r="E890" s="38" t="n">
        <v>46184</v>
      </c>
      <c r="F890" s="37" t="n">
        <v>5000</v>
      </c>
      <c r="G890" s="37" t="n">
        <v>1000</v>
      </c>
      <c r="H890" s="37" t="n">
        <v>6000</v>
      </c>
      <c r="I890" s="11" t="s">
        <v>283</v>
      </c>
      <c r="J890" s="11"/>
      <c r="K890" s="11" t="s">
        <v>4152</v>
      </c>
      <c r="L890" s="38" t="n">
        <v>46184</v>
      </c>
      <c r="M890" s="11" t="n">
        <v>0</v>
      </c>
      <c r="N890" s="11"/>
      <c r="O890" s="11"/>
    </row>
    <row r="891" customFormat="false" ht="15" hidden="false" customHeight="false" outlineLevel="0" collapsed="false">
      <c r="A891" s="11" t="s">
        <v>3860</v>
      </c>
      <c r="B891" s="11" t="s">
        <v>328</v>
      </c>
      <c r="C891" s="11" t="s">
        <v>327</v>
      </c>
      <c r="D891" s="38" t="n">
        <v>46155</v>
      </c>
      <c r="E891" s="38" t="n">
        <v>46215</v>
      </c>
      <c r="F891" s="37" t="n">
        <v>28960</v>
      </c>
      <c r="G891" s="37" t="n">
        <v>5792</v>
      </c>
      <c r="H891" s="37" t="n">
        <v>34752</v>
      </c>
      <c r="I891" s="11" t="s">
        <v>283</v>
      </c>
      <c r="J891" s="11"/>
      <c r="K891" s="11" t="s">
        <v>4152</v>
      </c>
      <c r="L891" s="38" t="n">
        <v>46244</v>
      </c>
      <c r="M891" s="11" t="n">
        <v>29</v>
      </c>
      <c r="N891" s="11"/>
      <c r="O891" s="11"/>
    </row>
    <row r="892" customFormat="false" ht="15" hidden="false" customHeight="false" outlineLevel="0" collapsed="false">
      <c r="A892" s="11" t="s">
        <v>3855</v>
      </c>
      <c r="B892" s="11" t="s">
        <v>328</v>
      </c>
      <c r="C892" s="11" t="s">
        <v>327</v>
      </c>
      <c r="D892" s="38" t="n">
        <v>46155</v>
      </c>
      <c r="E892" s="38" t="n">
        <v>46215</v>
      </c>
      <c r="F892" s="37" t="n">
        <v>12190</v>
      </c>
      <c r="G892" s="37" t="n">
        <v>2438</v>
      </c>
      <c r="H892" s="37" t="n">
        <v>14628</v>
      </c>
      <c r="I892" s="11" t="s">
        <v>283</v>
      </c>
      <c r="J892" s="11"/>
      <c r="K892" s="11" t="s">
        <v>4152</v>
      </c>
      <c r="L892" s="38" t="n">
        <v>46244</v>
      </c>
      <c r="M892" s="11" t="n">
        <v>29</v>
      </c>
      <c r="N892" s="11"/>
      <c r="O892" s="11"/>
    </row>
    <row r="893" customFormat="false" ht="15" hidden="false" customHeight="false" outlineLevel="0" collapsed="false">
      <c r="A893" s="11" t="s">
        <v>3676</v>
      </c>
      <c r="B893" s="11" t="s">
        <v>336</v>
      </c>
      <c r="C893" s="11" t="s">
        <v>335</v>
      </c>
      <c r="D893" s="38" t="n">
        <v>46155</v>
      </c>
      <c r="E893" s="38" t="n">
        <v>46200</v>
      </c>
      <c r="F893" s="37" t="n">
        <v>6730</v>
      </c>
      <c r="G893" s="37" t="n">
        <v>1346</v>
      </c>
      <c r="H893" s="37" t="n">
        <v>8076</v>
      </c>
      <c r="I893" s="11" t="s">
        <v>283</v>
      </c>
      <c r="J893" s="11"/>
      <c r="K893" s="11" t="s">
        <v>4152</v>
      </c>
      <c r="L893" s="38" t="n">
        <v>46209</v>
      </c>
      <c r="M893" s="11" t="n">
        <v>9</v>
      </c>
      <c r="N893" s="11"/>
      <c r="O893" s="11"/>
    </row>
    <row r="894" customFormat="false" ht="15" hidden="false" customHeight="false" outlineLevel="0" collapsed="false">
      <c r="A894" s="11" t="s">
        <v>3765</v>
      </c>
      <c r="B894" s="11" t="s">
        <v>393</v>
      </c>
      <c r="C894" s="11" t="s">
        <v>392</v>
      </c>
      <c r="D894" s="38" t="n">
        <v>46155</v>
      </c>
      <c r="E894" s="38" t="n">
        <v>46205</v>
      </c>
      <c r="F894" s="37" t="n">
        <v>6820</v>
      </c>
      <c r="G894" s="37" t="n">
        <v>1364</v>
      </c>
      <c r="H894" s="37" t="n">
        <v>8184</v>
      </c>
      <c r="I894" s="11" t="s">
        <v>283</v>
      </c>
      <c r="J894" s="11"/>
      <c r="K894" s="11" t="s">
        <v>4152</v>
      </c>
      <c r="L894" s="38" t="n">
        <v>46227</v>
      </c>
      <c r="M894" s="11" t="n">
        <v>22</v>
      </c>
      <c r="N894" s="11"/>
      <c r="O894" s="11"/>
    </row>
    <row r="895" customFormat="false" ht="15" hidden="false" customHeight="false" outlineLevel="0" collapsed="false">
      <c r="A895" s="11" t="s">
        <v>3552</v>
      </c>
      <c r="B895" s="11" t="s">
        <v>288</v>
      </c>
      <c r="C895" s="11" t="s">
        <v>287</v>
      </c>
      <c r="D895" s="38" t="n">
        <v>46155</v>
      </c>
      <c r="E895" s="38" t="n">
        <v>46185</v>
      </c>
      <c r="F895" s="37" t="n">
        <v>2930</v>
      </c>
      <c r="G895" s="37" t="n">
        <v>586</v>
      </c>
      <c r="H895" s="37" t="n">
        <v>3516</v>
      </c>
      <c r="I895" s="11" t="s">
        <v>283</v>
      </c>
      <c r="J895" s="11"/>
      <c r="K895" s="11" t="s">
        <v>4152</v>
      </c>
      <c r="L895" s="38" t="n">
        <v>46183</v>
      </c>
      <c r="M895" s="11" t="n">
        <v>-2</v>
      </c>
      <c r="N895" s="11"/>
      <c r="O895" s="11"/>
    </row>
    <row r="896" customFormat="false" ht="15" hidden="false" customHeight="false" outlineLevel="0" collapsed="false">
      <c r="A896" s="11" t="s">
        <v>3746</v>
      </c>
      <c r="B896" s="11" t="s">
        <v>299</v>
      </c>
      <c r="C896" s="11" t="s">
        <v>298</v>
      </c>
      <c r="D896" s="38" t="n">
        <v>46155</v>
      </c>
      <c r="E896" s="38" t="n">
        <v>46215</v>
      </c>
      <c r="F896" s="37" t="n">
        <v>6630</v>
      </c>
      <c r="G896" s="37" t="n">
        <v>0</v>
      </c>
      <c r="H896" s="37" t="n">
        <v>6630</v>
      </c>
      <c r="I896" s="11" t="s">
        <v>283</v>
      </c>
      <c r="J896" s="11"/>
      <c r="K896" s="11" t="s">
        <v>4152</v>
      </c>
      <c r="L896" s="38" t="n">
        <v>46224</v>
      </c>
      <c r="M896" s="11" t="n">
        <v>9</v>
      </c>
      <c r="N896" s="11"/>
      <c r="O896" s="11"/>
    </row>
    <row r="897" customFormat="false" ht="15" hidden="false" customHeight="false" outlineLevel="0" collapsed="false">
      <c r="A897" s="11" t="s">
        <v>3601</v>
      </c>
      <c r="B897" s="11" t="s">
        <v>288</v>
      </c>
      <c r="C897" s="11" t="s">
        <v>287</v>
      </c>
      <c r="D897" s="38" t="n">
        <v>46157</v>
      </c>
      <c r="E897" s="38" t="n">
        <v>46187</v>
      </c>
      <c r="F897" s="37" t="n">
        <v>3940</v>
      </c>
      <c r="G897" s="37" t="n">
        <v>788</v>
      </c>
      <c r="H897" s="37" t="n">
        <v>4728</v>
      </c>
      <c r="I897" s="11" t="s">
        <v>283</v>
      </c>
      <c r="J897" s="11"/>
      <c r="K897" s="11" t="s">
        <v>4152</v>
      </c>
      <c r="L897" s="38" t="n">
        <v>46191</v>
      </c>
      <c r="M897" s="11" t="n">
        <v>4</v>
      </c>
      <c r="N897" s="11"/>
      <c r="O897" s="11"/>
    </row>
    <row r="898" customFormat="false" ht="15" hidden="false" customHeight="false" outlineLevel="0" collapsed="false">
      <c r="A898" s="11" t="s">
        <v>3792</v>
      </c>
      <c r="B898" s="11" t="s">
        <v>332</v>
      </c>
      <c r="C898" s="11" t="s">
        <v>331</v>
      </c>
      <c r="D898" s="38" t="n">
        <v>46157</v>
      </c>
      <c r="E898" s="38" t="n">
        <v>46202</v>
      </c>
      <c r="F898" s="37" t="n">
        <v>7110</v>
      </c>
      <c r="G898" s="37" t="n">
        <v>1422</v>
      </c>
      <c r="H898" s="37" t="n">
        <v>8532</v>
      </c>
      <c r="I898" s="11" t="s">
        <v>283</v>
      </c>
      <c r="J898" s="11"/>
      <c r="K898" s="11" t="s">
        <v>4152</v>
      </c>
      <c r="L898" s="38" t="n">
        <v>46233</v>
      </c>
      <c r="M898" s="11" t="n">
        <v>31</v>
      </c>
      <c r="N898" s="11"/>
      <c r="O898" s="11"/>
    </row>
    <row r="899" customFormat="false" ht="15" hidden="false" customHeight="false" outlineLevel="0" collapsed="false">
      <c r="A899" s="11" t="s">
        <v>3824</v>
      </c>
      <c r="B899" s="11" t="s">
        <v>328</v>
      </c>
      <c r="C899" s="11" t="s">
        <v>327</v>
      </c>
      <c r="D899" s="38" t="n">
        <v>46157</v>
      </c>
      <c r="E899" s="38" t="n">
        <v>46217</v>
      </c>
      <c r="F899" s="37" t="n">
        <v>14230</v>
      </c>
      <c r="G899" s="37" t="n">
        <v>2846</v>
      </c>
      <c r="H899" s="37" t="n">
        <v>17076</v>
      </c>
      <c r="I899" s="11" t="s">
        <v>283</v>
      </c>
      <c r="J899" s="11"/>
      <c r="K899" s="11" t="s">
        <v>4152</v>
      </c>
      <c r="L899" s="38" t="n">
        <v>46237</v>
      </c>
      <c r="M899" s="11" t="n">
        <v>20</v>
      </c>
      <c r="N899" s="11"/>
      <c r="O899" s="11"/>
    </row>
    <row r="900" customFormat="false" ht="15" hidden="false" customHeight="false" outlineLevel="0" collapsed="false">
      <c r="A900" s="11" t="s">
        <v>3712</v>
      </c>
      <c r="B900" s="11" t="s">
        <v>299</v>
      </c>
      <c r="C900" s="11" t="s">
        <v>298</v>
      </c>
      <c r="D900" s="38" t="n">
        <v>46157</v>
      </c>
      <c r="E900" s="38" t="n">
        <v>46217</v>
      </c>
      <c r="F900" s="37" t="n">
        <v>12190</v>
      </c>
      <c r="G900" s="37" t="n">
        <v>0</v>
      </c>
      <c r="H900" s="37" t="n">
        <v>12190</v>
      </c>
      <c r="I900" s="11" t="s">
        <v>283</v>
      </c>
      <c r="J900" s="11"/>
      <c r="K900" s="11" t="s">
        <v>4152</v>
      </c>
      <c r="L900" s="38" t="n">
        <v>46216</v>
      </c>
      <c r="M900" s="11" t="n">
        <v>-1</v>
      </c>
      <c r="N900" s="11"/>
      <c r="O900" s="11"/>
    </row>
    <row r="901" customFormat="false" ht="15" hidden="false" customHeight="false" outlineLevel="0" collapsed="false">
      <c r="A901" s="11" t="s">
        <v>3678</v>
      </c>
      <c r="B901" s="11" t="s">
        <v>336</v>
      </c>
      <c r="C901" s="11" t="s">
        <v>335</v>
      </c>
      <c r="D901" s="38" t="n">
        <v>46157</v>
      </c>
      <c r="E901" s="38" t="n">
        <v>46202</v>
      </c>
      <c r="F901" s="37" t="n">
        <v>2410</v>
      </c>
      <c r="G901" s="37" t="n">
        <v>482</v>
      </c>
      <c r="H901" s="37" t="n">
        <v>2892</v>
      </c>
      <c r="I901" s="11" t="s">
        <v>283</v>
      </c>
      <c r="J901" s="11"/>
      <c r="K901" s="11" t="s">
        <v>4152</v>
      </c>
      <c r="L901" s="38" t="n">
        <v>46209</v>
      </c>
      <c r="M901" s="11" t="n">
        <v>7</v>
      </c>
      <c r="N901" s="11"/>
      <c r="O901" s="11"/>
    </row>
    <row r="902" customFormat="false" ht="15" hidden="false" customHeight="false" outlineLevel="0" collapsed="false">
      <c r="A902" s="11" t="s">
        <v>3721</v>
      </c>
      <c r="B902" s="11" t="s">
        <v>350</v>
      </c>
      <c r="C902" s="11" t="s">
        <v>349</v>
      </c>
      <c r="D902" s="38" t="n">
        <v>46157</v>
      </c>
      <c r="E902" s="38" t="n">
        <v>46217</v>
      </c>
      <c r="F902" s="37" t="n">
        <v>19850</v>
      </c>
      <c r="G902" s="37" t="n">
        <v>3970</v>
      </c>
      <c r="H902" s="37" t="n">
        <v>23820</v>
      </c>
      <c r="I902" s="11" t="s">
        <v>283</v>
      </c>
      <c r="J902" s="11"/>
      <c r="K902" s="11" t="s">
        <v>4152</v>
      </c>
      <c r="L902" s="38" t="n">
        <v>46218</v>
      </c>
      <c r="M902" s="11" t="n">
        <v>1</v>
      </c>
      <c r="N902" s="11"/>
      <c r="O902" s="11"/>
    </row>
    <row r="903" customFormat="false" ht="15" hidden="false" customHeight="false" outlineLevel="0" collapsed="false">
      <c r="A903" s="11" t="s">
        <v>3748</v>
      </c>
      <c r="B903" s="11" t="s">
        <v>350</v>
      </c>
      <c r="C903" s="11" t="s">
        <v>349</v>
      </c>
      <c r="D903" s="38" t="n">
        <v>46157</v>
      </c>
      <c r="E903" s="38" t="n">
        <v>46217</v>
      </c>
      <c r="F903" s="37" t="n">
        <v>5420</v>
      </c>
      <c r="G903" s="37" t="n">
        <v>1084</v>
      </c>
      <c r="H903" s="37" t="n">
        <v>6504</v>
      </c>
      <c r="I903" s="11" t="s">
        <v>283</v>
      </c>
      <c r="J903" s="11"/>
      <c r="K903" s="11" t="s">
        <v>4152</v>
      </c>
      <c r="L903" s="38" t="n">
        <v>46224</v>
      </c>
      <c r="M903" s="11" t="n">
        <v>7</v>
      </c>
      <c r="N903" s="11"/>
      <c r="O903" s="11"/>
    </row>
    <row r="904" customFormat="false" ht="15" hidden="false" customHeight="false" outlineLevel="0" collapsed="false">
      <c r="A904" s="11" t="s">
        <v>3704</v>
      </c>
      <c r="B904" s="11" t="s">
        <v>324</v>
      </c>
      <c r="C904" s="11" t="s">
        <v>323</v>
      </c>
      <c r="D904" s="38" t="n">
        <v>46157</v>
      </c>
      <c r="E904" s="38" t="n">
        <v>46187</v>
      </c>
      <c r="F904" s="37" t="n">
        <v>5190</v>
      </c>
      <c r="G904" s="37" t="n">
        <v>1038</v>
      </c>
      <c r="H904" s="37" t="n">
        <v>6228</v>
      </c>
      <c r="I904" s="11" t="s">
        <v>283</v>
      </c>
      <c r="J904" s="11"/>
      <c r="K904" s="11" t="s">
        <v>4152</v>
      </c>
      <c r="L904" s="38" t="n">
        <v>46213</v>
      </c>
      <c r="M904" s="11" t="n">
        <v>26</v>
      </c>
      <c r="N904" s="11"/>
      <c r="O904" s="11"/>
    </row>
    <row r="905" customFormat="false" ht="15" hidden="false" customHeight="false" outlineLevel="0" collapsed="false">
      <c r="A905" s="11" t="s">
        <v>3809</v>
      </c>
      <c r="B905" s="11" t="s">
        <v>350</v>
      </c>
      <c r="C905" s="11" t="s">
        <v>349</v>
      </c>
      <c r="D905" s="38" t="n">
        <v>46162</v>
      </c>
      <c r="E905" s="38" t="n">
        <v>46222</v>
      </c>
      <c r="F905" s="37" t="n">
        <v>12220</v>
      </c>
      <c r="G905" s="37" t="n">
        <v>2444</v>
      </c>
      <c r="H905" s="37" t="n">
        <v>14664</v>
      </c>
      <c r="I905" s="11" t="s">
        <v>283</v>
      </c>
      <c r="J905" s="11"/>
      <c r="K905" s="11" t="s">
        <v>4152</v>
      </c>
      <c r="L905" s="38" t="n">
        <v>46237</v>
      </c>
      <c r="M905" s="11" t="n">
        <v>15</v>
      </c>
      <c r="N905" s="11"/>
      <c r="O905" s="11"/>
    </row>
    <row r="906" customFormat="false" ht="15" hidden="false" customHeight="false" outlineLevel="0" collapsed="false">
      <c r="A906" s="11" t="s">
        <v>3584</v>
      </c>
      <c r="B906" s="11" t="s">
        <v>288</v>
      </c>
      <c r="C906" s="11" t="s">
        <v>287</v>
      </c>
      <c r="D906" s="38" t="n">
        <v>46162</v>
      </c>
      <c r="E906" s="38" t="n">
        <v>46192</v>
      </c>
      <c r="F906" s="37" t="n">
        <v>2720</v>
      </c>
      <c r="G906" s="37" t="n">
        <v>544</v>
      </c>
      <c r="H906" s="37" t="n">
        <v>3264</v>
      </c>
      <c r="I906" s="11" t="s">
        <v>283</v>
      </c>
      <c r="J906" s="11"/>
      <c r="K906" s="11" t="s">
        <v>4152</v>
      </c>
      <c r="L906" s="38" t="n">
        <v>46188</v>
      </c>
      <c r="M906" s="11" t="n">
        <v>-4</v>
      </c>
      <c r="N906" s="11"/>
      <c r="O906" s="11"/>
    </row>
    <row r="907" customFormat="false" ht="15" hidden="false" customHeight="false" outlineLevel="0" collapsed="false">
      <c r="A907" s="11" t="s">
        <v>3708</v>
      </c>
      <c r="B907" s="11" t="s">
        <v>336</v>
      </c>
      <c r="C907" s="11" t="s">
        <v>335</v>
      </c>
      <c r="D907" s="38" t="n">
        <v>46163</v>
      </c>
      <c r="E907" s="38" t="n">
        <v>46208</v>
      </c>
      <c r="F907" s="37" t="n">
        <v>8660</v>
      </c>
      <c r="G907" s="37" t="n">
        <v>1732</v>
      </c>
      <c r="H907" s="37" t="n">
        <v>10392</v>
      </c>
      <c r="I907" s="11" t="s">
        <v>283</v>
      </c>
      <c r="J907" s="11"/>
      <c r="K907" s="11" t="s">
        <v>4152</v>
      </c>
      <c r="L907" s="38" t="n">
        <v>46216</v>
      </c>
      <c r="M907" s="11" t="n">
        <v>8</v>
      </c>
      <c r="N907" s="11"/>
      <c r="O907" s="11"/>
    </row>
    <row r="908" customFormat="false" ht="15" hidden="false" customHeight="false" outlineLevel="0" collapsed="false">
      <c r="A908" s="11" t="s">
        <v>3674</v>
      </c>
      <c r="B908" s="11" t="s">
        <v>281</v>
      </c>
      <c r="C908" s="11" t="s">
        <v>280</v>
      </c>
      <c r="D908" s="38" t="n">
        <v>46164</v>
      </c>
      <c r="E908" s="38" t="n">
        <v>46209</v>
      </c>
      <c r="F908" s="37" t="n">
        <v>8290</v>
      </c>
      <c r="G908" s="37" t="n">
        <v>1658</v>
      </c>
      <c r="H908" s="37" t="n">
        <v>9948</v>
      </c>
      <c r="I908" s="11" t="s">
        <v>283</v>
      </c>
      <c r="J908" s="11"/>
      <c r="K908" s="11" t="s">
        <v>4152</v>
      </c>
      <c r="L908" s="38" t="n">
        <v>46209</v>
      </c>
      <c r="M908" s="11" t="n">
        <v>0</v>
      </c>
      <c r="N908" s="11"/>
      <c r="O908" s="11"/>
    </row>
    <row r="909" customFormat="false" ht="15" hidden="false" customHeight="false" outlineLevel="0" collapsed="false">
      <c r="A909" s="11" t="s">
        <v>3916</v>
      </c>
      <c r="B909" s="11" t="s">
        <v>328</v>
      </c>
      <c r="C909" s="11" t="s">
        <v>327</v>
      </c>
      <c r="D909" s="38" t="n">
        <v>46164</v>
      </c>
      <c r="E909" s="38" t="n">
        <v>46224</v>
      </c>
      <c r="F909" s="37" t="n">
        <v>16460</v>
      </c>
      <c r="G909" s="37" t="n">
        <v>3292</v>
      </c>
      <c r="H909" s="37" t="n">
        <v>19752</v>
      </c>
      <c r="I909" s="11" t="s">
        <v>283</v>
      </c>
      <c r="J909" s="11"/>
      <c r="K909" s="11" t="s">
        <v>4152</v>
      </c>
      <c r="L909" s="38" t="n">
        <v>46260</v>
      </c>
      <c r="M909" s="11" t="n">
        <v>36</v>
      </c>
      <c r="N909" s="11"/>
      <c r="O909" s="11"/>
    </row>
    <row r="910" customFormat="false" ht="15" hidden="false" customHeight="false" outlineLevel="0" collapsed="false">
      <c r="A910" s="11" t="s">
        <v>3689</v>
      </c>
      <c r="B910" s="11" t="s">
        <v>336</v>
      </c>
      <c r="C910" s="11" t="s">
        <v>335</v>
      </c>
      <c r="D910" s="38" t="n">
        <v>46164</v>
      </c>
      <c r="E910" s="38" t="n">
        <v>46209</v>
      </c>
      <c r="F910" s="37" t="n">
        <v>3850</v>
      </c>
      <c r="G910" s="37" t="n">
        <v>770</v>
      </c>
      <c r="H910" s="37" t="n">
        <v>4620</v>
      </c>
      <c r="I910" s="11" t="s">
        <v>283</v>
      </c>
      <c r="J910" s="11"/>
      <c r="K910" s="11" t="s">
        <v>4152</v>
      </c>
      <c r="L910" s="38" t="n">
        <v>46211</v>
      </c>
      <c r="M910" s="11" t="n">
        <v>2</v>
      </c>
      <c r="N910" s="11"/>
      <c r="O910" s="11"/>
    </row>
    <row r="911" customFormat="false" ht="15" hidden="false" customHeight="false" outlineLevel="0" collapsed="false">
      <c r="A911" s="11" t="s">
        <v>3687</v>
      </c>
      <c r="B911" s="11" t="s">
        <v>336</v>
      </c>
      <c r="C911" s="11" t="s">
        <v>335</v>
      </c>
      <c r="D911" s="38" t="n">
        <v>46164</v>
      </c>
      <c r="E911" s="38" t="n">
        <v>46209</v>
      </c>
      <c r="F911" s="37" t="n">
        <v>3010</v>
      </c>
      <c r="G911" s="37" t="n">
        <v>602</v>
      </c>
      <c r="H911" s="37" t="n">
        <v>3612</v>
      </c>
      <c r="I911" s="11" t="s">
        <v>283</v>
      </c>
      <c r="J911" s="11"/>
      <c r="K911" s="11" t="s">
        <v>4152</v>
      </c>
      <c r="L911" s="38" t="n">
        <v>46211</v>
      </c>
      <c r="M911" s="11" t="n">
        <v>2</v>
      </c>
      <c r="N911" s="11"/>
      <c r="O911" s="11"/>
    </row>
    <row r="912" customFormat="false" ht="15" hidden="false" customHeight="false" outlineLevel="0" collapsed="false">
      <c r="A912" s="11" t="s">
        <v>3862</v>
      </c>
      <c r="B912" s="11" t="s">
        <v>328</v>
      </c>
      <c r="C912" s="11" t="s">
        <v>327</v>
      </c>
      <c r="D912" s="38" t="n">
        <v>46164</v>
      </c>
      <c r="E912" s="38" t="n">
        <v>46224</v>
      </c>
      <c r="F912" s="37" t="n">
        <v>15800</v>
      </c>
      <c r="G912" s="37" t="n">
        <v>3160</v>
      </c>
      <c r="H912" s="37" t="n">
        <v>18960</v>
      </c>
      <c r="I912" s="11" t="s">
        <v>283</v>
      </c>
      <c r="J912" s="11"/>
      <c r="K912" s="11" t="s">
        <v>4152</v>
      </c>
      <c r="L912" s="38" t="n">
        <v>46244</v>
      </c>
      <c r="M912" s="11" t="n">
        <v>20</v>
      </c>
      <c r="N912" s="11"/>
      <c r="O912" s="11"/>
    </row>
    <row r="913" customFormat="false" ht="15" hidden="false" customHeight="false" outlineLevel="0" collapsed="false">
      <c r="A913" s="11" t="s">
        <v>3680</v>
      </c>
      <c r="B913" s="11" t="s">
        <v>281</v>
      </c>
      <c r="C913" s="11" t="s">
        <v>280</v>
      </c>
      <c r="D913" s="38" t="n">
        <v>46164</v>
      </c>
      <c r="E913" s="38" t="n">
        <v>46209</v>
      </c>
      <c r="F913" s="37" t="n">
        <v>9320</v>
      </c>
      <c r="G913" s="37" t="n">
        <v>1864</v>
      </c>
      <c r="H913" s="37" t="n">
        <v>11184</v>
      </c>
      <c r="I913" s="11" t="s">
        <v>283</v>
      </c>
      <c r="J913" s="11"/>
      <c r="K913" s="11" t="s">
        <v>4152</v>
      </c>
      <c r="L913" s="38" t="n">
        <v>46209</v>
      </c>
      <c r="M913" s="11" t="n">
        <v>0</v>
      </c>
      <c r="N913" s="11"/>
      <c r="O913" s="11"/>
    </row>
    <row r="914" customFormat="false" ht="15" hidden="false" customHeight="false" outlineLevel="0" collapsed="false">
      <c r="A914" s="11" t="s">
        <v>3805</v>
      </c>
      <c r="B914" s="11" t="s">
        <v>328</v>
      </c>
      <c r="C914" s="11" t="s">
        <v>327</v>
      </c>
      <c r="D914" s="38" t="n">
        <v>46164</v>
      </c>
      <c r="E914" s="38" t="n">
        <v>46224</v>
      </c>
      <c r="F914" s="37" t="n">
        <v>20690</v>
      </c>
      <c r="G914" s="37" t="n">
        <v>4138</v>
      </c>
      <c r="H914" s="37" t="n">
        <v>24828</v>
      </c>
      <c r="I914" s="11" t="s">
        <v>283</v>
      </c>
      <c r="J914" s="11"/>
      <c r="K914" s="11" t="s">
        <v>4152</v>
      </c>
      <c r="L914" s="38" t="n">
        <v>46234</v>
      </c>
      <c r="M914" s="11" t="n">
        <v>10</v>
      </c>
      <c r="N914" s="11"/>
      <c r="O914" s="11"/>
    </row>
    <row r="915" customFormat="false" ht="15" hidden="false" customHeight="false" outlineLevel="0" collapsed="false">
      <c r="A915" s="11" t="s">
        <v>3630</v>
      </c>
      <c r="B915" s="11" t="s">
        <v>288</v>
      </c>
      <c r="C915" s="11" t="s">
        <v>287</v>
      </c>
      <c r="D915" s="38" t="n">
        <v>46164</v>
      </c>
      <c r="E915" s="38" t="n">
        <v>46194</v>
      </c>
      <c r="F915" s="37" t="n">
        <v>6130</v>
      </c>
      <c r="G915" s="37" t="n">
        <v>1226</v>
      </c>
      <c r="H915" s="37" t="n">
        <v>7356</v>
      </c>
      <c r="I915" s="11" t="s">
        <v>283</v>
      </c>
      <c r="J915" s="11"/>
      <c r="K915" s="11" t="s">
        <v>4152</v>
      </c>
      <c r="L915" s="38" t="n">
        <v>46198</v>
      </c>
      <c r="M915" s="11" t="n">
        <v>4</v>
      </c>
      <c r="N915" s="11"/>
      <c r="O915" s="11"/>
    </row>
    <row r="916" customFormat="false" ht="15" hidden="false" customHeight="false" outlineLevel="0" collapsed="false">
      <c r="A916" s="11" t="s">
        <v>3645</v>
      </c>
      <c r="B916" s="11" t="s">
        <v>324</v>
      </c>
      <c r="C916" s="11" t="s">
        <v>323</v>
      </c>
      <c r="D916" s="38" t="n">
        <v>46168</v>
      </c>
      <c r="E916" s="38" t="n">
        <v>46198</v>
      </c>
      <c r="F916" s="37" t="n">
        <v>5060</v>
      </c>
      <c r="G916" s="37" t="n">
        <v>1012</v>
      </c>
      <c r="H916" s="37" t="n">
        <v>6072</v>
      </c>
      <c r="I916" s="11" t="s">
        <v>283</v>
      </c>
      <c r="J916" s="11"/>
      <c r="K916" s="11" t="s">
        <v>4152</v>
      </c>
      <c r="L916" s="38" t="n">
        <v>46202</v>
      </c>
      <c r="M916" s="11" t="n">
        <v>4</v>
      </c>
      <c r="N916" s="11"/>
      <c r="O916" s="11"/>
    </row>
    <row r="917" customFormat="false" ht="15" hidden="false" customHeight="false" outlineLevel="0" collapsed="false">
      <c r="A917" s="11" t="s">
        <v>3848</v>
      </c>
      <c r="B917" s="11" t="s">
        <v>350</v>
      </c>
      <c r="C917" s="11" t="s">
        <v>349</v>
      </c>
      <c r="D917" s="38" t="n">
        <v>46169</v>
      </c>
      <c r="E917" s="38" t="n">
        <v>46229</v>
      </c>
      <c r="F917" s="37" t="n">
        <v>18700</v>
      </c>
      <c r="G917" s="37" t="n">
        <v>3740</v>
      </c>
      <c r="H917" s="37" t="n">
        <v>22440</v>
      </c>
      <c r="I917" s="11" t="s">
        <v>283</v>
      </c>
      <c r="J917" s="11"/>
      <c r="K917" s="11" t="s">
        <v>4152</v>
      </c>
      <c r="L917" s="38" t="n">
        <v>46244</v>
      </c>
      <c r="M917" s="11" t="n">
        <v>15</v>
      </c>
      <c r="N917" s="11"/>
      <c r="O917" s="11"/>
    </row>
    <row r="918" customFormat="false" ht="15" hidden="false" customHeight="false" outlineLevel="0" collapsed="false">
      <c r="A918" s="11" t="s">
        <v>3661</v>
      </c>
      <c r="B918" s="11" t="s">
        <v>288</v>
      </c>
      <c r="C918" s="11" t="s">
        <v>287</v>
      </c>
      <c r="D918" s="38" t="n">
        <v>46169</v>
      </c>
      <c r="E918" s="38" t="n">
        <v>46199</v>
      </c>
      <c r="F918" s="37" t="n">
        <v>1810</v>
      </c>
      <c r="G918" s="37" t="n">
        <v>362</v>
      </c>
      <c r="H918" s="37" t="n">
        <v>2172</v>
      </c>
      <c r="I918" s="11" t="s">
        <v>283</v>
      </c>
      <c r="J918" s="11"/>
      <c r="K918" s="11" t="s">
        <v>4152</v>
      </c>
      <c r="L918" s="38" t="n">
        <v>46204</v>
      </c>
      <c r="M918" s="11" t="n">
        <v>5</v>
      </c>
      <c r="N918" s="11"/>
      <c r="O918" s="11"/>
    </row>
    <row r="919" customFormat="false" ht="15" hidden="false" customHeight="false" outlineLevel="0" collapsed="false">
      <c r="A919" s="11" t="s">
        <v>3738</v>
      </c>
      <c r="B919" s="11" t="s">
        <v>332</v>
      </c>
      <c r="C919" s="11" t="s">
        <v>331</v>
      </c>
      <c r="D919" s="38" t="n">
        <v>46170</v>
      </c>
      <c r="E919" s="38" t="n">
        <v>46215</v>
      </c>
      <c r="F919" s="37" t="n">
        <v>3770</v>
      </c>
      <c r="G919" s="37" t="n">
        <v>754</v>
      </c>
      <c r="H919" s="37" t="n">
        <v>4524</v>
      </c>
      <c r="I919" s="11" t="s">
        <v>283</v>
      </c>
      <c r="J919" s="11"/>
      <c r="K919" s="11" t="s">
        <v>4152</v>
      </c>
      <c r="L919" s="38" t="n">
        <v>46223</v>
      </c>
      <c r="M919" s="11" t="n">
        <v>8</v>
      </c>
      <c r="N919" s="11"/>
      <c r="O919" s="11"/>
    </row>
    <row r="920" customFormat="false" ht="15" hidden="false" customHeight="false" outlineLevel="0" collapsed="false">
      <c r="A920" s="11" t="s">
        <v>3802</v>
      </c>
      <c r="B920" s="11" t="s">
        <v>332</v>
      </c>
      <c r="C920" s="11" t="s">
        <v>331</v>
      </c>
      <c r="D920" s="38" t="n">
        <v>46171</v>
      </c>
      <c r="E920" s="38" t="n">
        <v>46216</v>
      </c>
      <c r="F920" s="37" t="n">
        <v>12450</v>
      </c>
      <c r="G920" s="37" t="n">
        <v>2490</v>
      </c>
      <c r="H920" s="37" t="n">
        <v>14940</v>
      </c>
      <c r="I920" s="11" t="s">
        <v>283</v>
      </c>
      <c r="J920" s="11"/>
      <c r="K920" s="11" t="s">
        <v>4152</v>
      </c>
      <c r="L920" s="38" t="n">
        <v>46233</v>
      </c>
      <c r="M920" s="11" t="n">
        <v>17</v>
      </c>
      <c r="N920" s="11"/>
      <c r="O920" s="11"/>
    </row>
    <row r="921" customFormat="false" ht="15" hidden="false" customHeight="false" outlineLevel="0" collapsed="false">
      <c r="A921" s="11" t="s">
        <v>3710</v>
      </c>
      <c r="B921" s="11" t="s">
        <v>281</v>
      </c>
      <c r="C921" s="11" t="s">
        <v>280</v>
      </c>
      <c r="D921" s="38" t="n">
        <v>46171</v>
      </c>
      <c r="E921" s="38" t="n">
        <v>46216</v>
      </c>
      <c r="F921" s="37" t="n">
        <v>5250</v>
      </c>
      <c r="G921" s="37" t="n">
        <v>1050</v>
      </c>
      <c r="H921" s="37" t="n">
        <v>6300</v>
      </c>
      <c r="I921" s="11" t="s">
        <v>283</v>
      </c>
      <c r="J921" s="11"/>
      <c r="K921" s="11" t="s">
        <v>4152</v>
      </c>
      <c r="L921" s="38" t="n">
        <v>46216</v>
      </c>
      <c r="M921" s="11" t="n">
        <v>0</v>
      </c>
      <c r="N921" s="11"/>
      <c r="O921" s="11"/>
    </row>
    <row r="922" customFormat="false" ht="15" hidden="false" customHeight="false" outlineLevel="0" collapsed="false">
      <c r="A922" s="11" t="s">
        <v>3685</v>
      </c>
      <c r="B922" s="11" t="s">
        <v>400</v>
      </c>
      <c r="C922" s="11" t="s">
        <v>399</v>
      </c>
      <c r="D922" s="38" t="n">
        <v>46171</v>
      </c>
      <c r="E922" s="38" t="n">
        <v>46201</v>
      </c>
      <c r="F922" s="37" t="n">
        <v>18890</v>
      </c>
      <c r="G922" s="37" t="n">
        <v>3778</v>
      </c>
      <c r="H922" s="37" t="n">
        <v>22668</v>
      </c>
      <c r="I922" s="11" t="s">
        <v>283</v>
      </c>
      <c r="J922" s="11"/>
      <c r="K922" s="11" t="s">
        <v>4152</v>
      </c>
      <c r="L922" s="38" t="n">
        <v>46210</v>
      </c>
      <c r="M922" s="11" t="n">
        <v>9</v>
      </c>
      <c r="N922" s="11"/>
      <c r="O922" s="11"/>
    </row>
    <row r="923" customFormat="false" ht="15" hidden="false" customHeight="false" outlineLevel="0" collapsed="false">
      <c r="A923" s="11" t="s">
        <v>3706</v>
      </c>
      <c r="B923" s="11" t="s">
        <v>281</v>
      </c>
      <c r="C923" s="11" t="s">
        <v>280</v>
      </c>
      <c r="D923" s="38" t="n">
        <v>46171</v>
      </c>
      <c r="E923" s="38" t="n">
        <v>46216</v>
      </c>
      <c r="F923" s="37" t="n">
        <v>4830</v>
      </c>
      <c r="G923" s="37" t="n">
        <v>966</v>
      </c>
      <c r="H923" s="37" t="n">
        <v>5796</v>
      </c>
      <c r="I923" s="11" t="s">
        <v>283</v>
      </c>
      <c r="J923" s="11"/>
      <c r="K923" s="11" t="s">
        <v>4152</v>
      </c>
      <c r="L923" s="38" t="n">
        <v>46216</v>
      </c>
      <c r="M923" s="11" t="n">
        <v>0</v>
      </c>
      <c r="N923" s="11"/>
      <c r="O923" s="11"/>
    </row>
    <row r="924" customFormat="false" ht="15" hidden="false" customHeight="false" outlineLevel="0" collapsed="false">
      <c r="A924" s="11" t="s">
        <v>3783</v>
      </c>
      <c r="B924" s="11" t="s">
        <v>336</v>
      </c>
      <c r="C924" s="11" t="s">
        <v>335</v>
      </c>
      <c r="D924" s="38" t="n">
        <v>46174</v>
      </c>
      <c r="E924" s="38" t="n">
        <v>46219</v>
      </c>
      <c r="F924" s="37" t="n">
        <v>4950</v>
      </c>
      <c r="G924" s="37" t="n">
        <v>990</v>
      </c>
      <c r="H924" s="37" t="n">
        <v>5940</v>
      </c>
      <c r="I924" s="11" t="s">
        <v>283</v>
      </c>
      <c r="J924" s="11"/>
      <c r="K924" s="11" t="s">
        <v>4152</v>
      </c>
      <c r="L924" s="38" t="n">
        <v>46232</v>
      </c>
      <c r="M924" s="11" t="n">
        <v>13</v>
      </c>
      <c r="N924" s="11"/>
      <c r="O924" s="11"/>
    </row>
    <row r="925" customFormat="false" ht="15" hidden="false" customHeight="false" outlineLevel="0" collapsed="false">
      <c r="A925" s="11" t="s">
        <v>3736</v>
      </c>
      <c r="B925" s="11" t="s">
        <v>336</v>
      </c>
      <c r="C925" s="11" t="s">
        <v>335</v>
      </c>
      <c r="D925" s="38" t="n">
        <v>46174</v>
      </c>
      <c r="E925" s="38" t="n">
        <v>46219</v>
      </c>
      <c r="F925" s="37" t="n">
        <v>8790</v>
      </c>
      <c r="G925" s="37" t="n">
        <v>1758</v>
      </c>
      <c r="H925" s="37" t="n">
        <v>10548</v>
      </c>
      <c r="I925" s="11" t="s">
        <v>283</v>
      </c>
      <c r="J925" s="11"/>
      <c r="K925" s="11" t="s">
        <v>4152</v>
      </c>
      <c r="L925" s="38" t="n">
        <v>46220</v>
      </c>
      <c r="M925" s="11" t="n">
        <v>1</v>
      </c>
      <c r="N925" s="11"/>
      <c r="O925" s="11"/>
    </row>
    <row r="926" customFormat="false" ht="15" hidden="false" customHeight="false" outlineLevel="0" collapsed="false">
      <c r="A926" s="11" t="s">
        <v>3763</v>
      </c>
      <c r="B926" s="11" t="s">
        <v>336</v>
      </c>
      <c r="C926" s="11" t="s">
        <v>335</v>
      </c>
      <c r="D926" s="38" t="n">
        <v>46174</v>
      </c>
      <c r="E926" s="38" t="n">
        <v>46219</v>
      </c>
      <c r="F926" s="37" t="n">
        <v>4850</v>
      </c>
      <c r="G926" s="37" t="n">
        <v>970</v>
      </c>
      <c r="H926" s="37" t="n">
        <v>5820</v>
      </c>
      <c r="I926" s="11" t="s">
        <v>283</v>
      </c>
      <c r="J926" s="11"/>
      <c r="K926" s="11" t="s">
        <v>4152</v>
      </c>
      <c r="L926" s="38" t="n">
        <v>46226</v>
      </c>
      <c r="M926" s="11" t="n">
        <v>7</v>
      </c>
      <c r="N926" s="11"/>
      <c r="O926" s="11"/>
    </row>
    <row r="927" customFormat="false" ht="15" hidden="false" customHeight="false" outlineLevel="0" collapsed="false">
      <c r="A927" s="11" t="s">
        <v>3975</v>
      </c>
      <c r="B927" s="11" t="s">
        <v>328</v>
      </c>
      <c r="C927" s="11" t="s">
        <v>327</v>
      </c>
      <c r="D927" s="38" t="n">
        <v>46175</v>
      </c>
      <c r="E927" s="38" t="n">
        <v>46235</v>
      </c>
      <c r="F927" s="37" t="n">
        <v>5630</v>
      </c>
      <c r="G927" s="37" t="n">
        <v>1126</v>
      </c>
      <c r="H927" s="37" t="n">
        <v>6756</v>
      </c>
      <c r="I927" s="11" t="s">
        <v>283</v>
      </c>
      <c r="J927" s="11"/>
      <c r="K927" s="11" t="s">
        <v>4152</v>
      </c>
      <c r="L927" s="38" t="n">
        <v>46272</v>
      </c>
      <c r="M927" s="11" t="n">
        <v>37</v>
      </c>
      <c r="N927" s="11"/>
      <c r="O927" s="11"/>
    </row>
    <row r="928" customFormat="false" ht="15" hidden="false" customHeight="false" outlineLevel="0" collapsed="false">
      <c r="A928" s="11" t="s">
        <v>3864</v>
      </c>
      <c r="B928" s="11" t="s">
        <v>332</v>
      </c>
      <c r="C928" s="11" t="s">
        <v>331</v>
      </c>
      <c r="D928" s="38" t="n">
        <v>46176</v>
      </c>
      <c r="E928" s="38" t="n">
        <v>46221</v>
      </c>
      <c r="F928" s="37" t="n">
        <v>5400</v>
      </c>
      <c r="G928" s="37" t="n">
        <v>1080</v>
      </c>
      <c r="H928" s="37" t="n">
        <v>6480</v>
      </c>
      <c r="I928" s="11" t="s">
        <v>283</v>
      </c>
      <c r="J928" s="11"/>
      <c r="K928" s="11" t="s">
        <v>4152</v>
      </c>
      <c r="L928" s="38" t="n">
        <v>46245</v>
      </c>
      <c r="M928" s="11" t="n">
        <v>24</v>
      </c>
      <c r="N928" s="11"/>
      <c r="O928" s="11"/>
    </row>
    <row r="929" customFormat="false" ht="15" hidden="false" customHeight="false" outlineLevel="0" collapsed="false">
      <c r="A929" s="11" t="s">
        <v>3654</v>
      </c>
      <c r="B929" s="11" t="s">
        <v>400</v>
      </c>
      <c r="C929" s="11" t="s">
        <v>399</v>
      </c>
      <c r="D929" s="38" t="n">
        <v>46176</v>
      </c>
      <c r="E929" s="38" t="n">
        <v>46206</v>
      </c>
      <c r="F929" s="37" t="n">
        <v>5800</v>
      </c>
      <c r="G929" s="37" t="n">
        <v>1160</v>
      </c>
      <c r="H929" s="37" t="n">
        <v>6960</v>
      </c>
      <c r="I929" s="11" t="s">
        <v>283</v>
      </c>
      <c r="J929" s="11"/>
      <c r="K929" s="11" t="s">
        <v>4152</v>
      </c>
      <c r="L929" s="38" t="n">
        <v>46204</v>
      </c>
      <c r="M929" s="11" t="n">
        <v>-2</v>
      </c>
      <c r="N929" s="11"/>
      <c r="O929" s="11"/>
    </row>
    <row r="930" customFormat="false" ht="15" hidden="false" customHeight="false" outlineLevel="0" collapsed="false">
      <c r="A930" s="11" t="s">
        <v>3869</v>
      </c>
      <c r="B930" s="11" t="s">
        <v>598</v>
      </c>
      <c r="C930" s="11" t="s">
        <v>597</v>
      </c>
      <c r="D930" s="38" t="n">
        <v>46176</v>
      </c>
      <c r="E930" s="38" t="n">
        <v>46236</v>
      </c>
      <c r="F930" s="37" t="n">
        <v>144000</v>
      </c>
      <c r="G930" s="37" t="n">
        <v>28800</v>
      </c>
      <c r="H930" s="37" t="n">
        <v>172800</v>
      </c>
      <c r="I930" s="11" t="s">
        <v>4220</v>
      </c>
      <c r="J930" s="11" t="s">
        <v>4221</v>
      </c>
      <c r="K930" s="11" t="s">
        <v>4152</v>
      </c>
      <c r="L930" s="38" t="n">
        <v>46247</v>
      </c>
      <c r="M930" s="11" t="n">
        <v>11</v>
      </c>
      <c r="N930" s="11"/>
      <c r="O930" s="11"/>
    </row>
    <row r="931" customFormat="false" ht="15" hidden="false" customHeight="false" outlineLevel="0" collapsed="false">
      <c r="A931" s="11" t="s">
        <v>3822</v>
      </c>
      <c r="B931" s="11" t="s">
        <v>400</v>
      </c>
      <c r="C931" s="11" t="s">
        <v>399</v>
      </c>
      <c r="D931" s="38" t="n">
        <v>46178</v>
      </c>
      <c r="E931" s="38" t="n">
        <v>46208</v>
      </c>
      <c r="F931" s="37" t="n">
        <v>12660</v>
      </c>
      <c r="G931" s="37" t="n">
        <v>2532</v>
      </c>
      <c r="H931" s="37" t="n">
        <v>15192</v>
      </c>
      <c r="I931" s="11" t="s">
        <v>283</v>
      </c>
      <c r="J931" s="11"/>
      <c r="K931" s="11" t="s">
        <v>4152</v>
      </c>
      <c r="L931" s="38" t="n">
        <v>46237</v>
      </c>
      <c r="M931" s="11" t="n">
        <v>29</v>
      </c>
      <c r="N931" s="11"/>
      <c r="O931" s="11"/>
    </row>
    <row r="932" customFormat="false" ht="15" hidden="false" customHeight="false" outlineLevel="0" collapsed="false">
      <c r="A932" s="11" t="s">
        <v>3779</v>
      </c>
      <c r="B932" s="11" t="s">
        <v>336</v>
      </c>
      <c r="C932" s="11" t="s">
        <v>335</v>
      </c>
      <c r="D932" s="38" t="n">
        <v>46178</v>
      </c>
      <c r="E932" s="38" t="n">
        <v>46223</v>
      </c>
      <c r="F932" s="37" t="n">
        <v>5510</v>
      </c>
      <c r="G932" s="37" t="n">
        <v>1102</v>
      </c>
      <c r="H932" s="37" t="n">
        <v>6612</v>
      </c>
      <c r="I932" s="11" t="s">
        <v>283</v>
      </c>
      <c r="J932" s="11"/>
      <c r="K932" s="11" t="s">
        <v>4152</v>
      </c>
      <c r="L932" s="38" t="n">
        <v>46230</v>
      </c>
      <c r="M932" s="11" t="n">
        <v>7</v>
      </c>
      <c r="N932" s="11"/>
      <c r="O932" s="11"/>
    </row>
    <row r="933" customFormat="false" ht="15" hidden="false" customHeight="false" outlineLevel="0" collapsed="false">
      <c r="A933" s="11" t="s">
        <v>3788</v>
      </c>
      <c r="B933" s="11" t="s">
        <v>336</v>
      </c>
      <c r="C933" s="11" t="s">
        <v>335</v>
      </c>
      <c r="D933" s="38" t="n">
        <v>46178</v>
      </c>
      <c r="E933" s="38" t="n">
        <v>46223</v>
      </c>
      <c r="F933" s="37" t="n">
        <v>3950</v>
      </c>
      <c r="G933" s="37" t="n">
        <v>790</v>
      </c>
      <c r="H933" s="37" t="n">
        <v>4740</v>
      </c>
      <c r="I933" s="11" t="s">
        <v>283</v>
      </c>
      <c r="J933" s="11"/>
      <c r="K933" s="11" t="s">
        <v>4152</v>
      </c>
      <c r="L933" s="38" t="n">
        <v>46233</v>
      </c>
      <c r="M933" s="11" t="n">
        <v>10</v>
      </c>
      <c r="N933" s="11"/>
      <c r="O933" s="11"/>
    </row>
    <row r="934" customFormat="false" ht="15" hidden="false" customHeight="false" outlineLevel="0" collapsed="false">
      <c r="A934" s="11" t="s">
        <v>3683</v>
      </c>
      <c r="B934" s="11" t="s">
        <v>288</v>
      </c>
      <c r="C934" s="11" t="s">
        <v>287</v>
      </c>
      <c r="D934" s="38" t="n">
        <v>46178</v>
      </c>
      <c r="E934" s="38" t="n">
        <v>46208</v>
      </c>
      <c r="F934" s="37" t="n">
        <v>4740</v>
      </c>
      <c r="G934" s="37" t="n">
        <v>948</v>
      </c>
      <c r="H934" s="37" t="n">
        <v>5688</v>
      </c>
      <c r="I934" s="11" t="s">
        <v>283</v>
      </c>
      <c r="J934" s="11"/>
      <c r="K934" s="11" t="s">
        <v>4152</v>
      </c>
      <c r="L934" s="38" t="n">
        <v>46210</v>
      </c>
      <c r="M934" s="11" t="n">
        <v>2</v>
      </c>
      <c r="N934" s="11"/>
      <c r="O934" s="11"/>
    </row>
    <row r="935" customFormat="false" ht="15" hidden="false" customHeight="false" outlineLevel="0" collapsed="false">
      <c r="A935" s="11" t="s">
        <v>3899</v>
      </c>
      <c r="B935" s="11" t="s">
        <v>328</v>
      </c>
      <c r="C935" s="11" t="s">
        <v>327</v>
      </c>
      <c r="D935" s="38" t="n">
        <v>46178</v>
      </c>
      <c r="E935" s="38" t="n">
        <v>46238</v>
      </c>
      <c r="F935" s="37" t="n">
        <v>11240</v>
      </c>
      <c r="G935" s="37" t="n">
        <v>2248</v>
      </c>
      <c r="H935" s="37" t="n">
        <v>13488</v>
      </c>
      <c r="I935" s="11" t="s">
        <v>283</v>
      </c>
      <c r="J935" s="11"/>
      <c r="K935" s="11" t="s">
        <v>4152</v>
      </c>
      <c r="L935" s="38" t="n">
        <v>46258</v>
      </c>
      <c r="M935" s="11" t="n">
        <v>20</v>
      </c>
      <c r="N935" s="11"/>
      <c r="O935" s="11"/>
    </row>
    <row r="936" customFormat="false" ht="15" hidden="false" customHeight="false" outlineLevel="0" collapsed="false">
      <c r="A936" s="11" t="s">
        <v>3945</v>
      </c>
      <c r="B936" s="11" t="s">
        <v>332</v>
      </c>
      <c r="C936" s="11" t="s">
        <v>331</v>
      </c>
      <c r="D936" s="38" t="n">
        <v>46178</v>
      </c>
      <c r="E936" s="38" t="n">
        <v>46223</v>
      </c>
      <c r="F936" s="37" t="n">
        <v>6210</v>
      </c>
      <c r="G936" s="37" t="n">
        <v>1242</v>
      </c>
      <c r="H936" s="37" t="n">
        <v>7452</v>
      </c>
      <c r="I936" s="11" t="s">
        <v>283</v>
      </c>
      <c r="J936" s="11"/>
      <c r="K936" s="11" t="s">
        <v>4152</v>
      </c>
      <c r="L936" s="38" t="n">
        <v>46265</v>
      </c>
      <c r="M936" s="11" t="n">
        <v>42</v>
      </c>
      <c r="N936" s="11"/>
      <c r="O936" s="11"/>
    </row>
    <row r="937" customFormat="false" ht="15" hidden="false" customHeight="false" outlineLevel="0" collapsed="false">
      <c r="A937" s="11" t="s">
        <v>3755</v>
      </c>
      <c r="B937" s="11" t="s">
        <v>281</v>
      </c>
      <c r="C937" s="11" t="s">
        <v>280</v>
      </c>
      <c r="D937" s="38" t="n">
        <v>46181</v>
      </c>
      <c r="E937" s="38" t="n">
        <v>46226</v>
      </c>
      <c r="F937" s="37" t="n">
        <v>10650</v>
      </c>
      <c r="G937" s="37" t="n">
        <v>2130</v>
      </c>
      <c r="H937" s="37" t="n">
        <v>12780</v>
      </c>
      <c r="I937" s="11" t="s">
        <v>283</v>
      </c>
      <c r="J937" s="11"/>
      <c r="K937" s="11" t="s">
        <v>4152</v>
      </c>
      <c r="L937" s="38" t="n">
        <v>46226</v>
      </c>
      <c r="M937" s="11" t="n">
        <v>0</v>
      </c>
      <c r="N937" s="11"/>
      <c r="O937" s="11"/>
    </row>
    <row r="938" customFormat="false" ht="15" hidden="false" customHeight="false" outlineLevel="0" collapsed="false">
      <c r="A938" s="11" t="s">
        <v>3752</v>
      </c>
      <c r="B938" s="11" t="s">
        <v>400</v>
      </c>
      <c r="C938" s="11" t="s">
        <v>399</v>
      </c>
      <c r="D938" s="38" t="n">
        <v>46182</v>
      </c>
      <c r="E938" s="38" t="n">
        <v>46212</v>
      </c>
      <c r="F938" s="37" t="n">
        <v>15000</v>
      </c>
      <c r="G938" s="37" t="n">
        <v>3000</v>
      </c>
      <c r="H938" s="37" t="n">
        <v>18000</v>
      </c>
      <c r="I938" s="11" t="s">
        <v>283</v>
      </c>
      <c r="J938" s="11"/>
      <c r="K938" s="11" t="s">
        <v>4152</v>
      </c>
      <c r="L938" s="38" t="n">
        <v>46225</v>
      </c>
      <c r="M938" s="11" t="n">
        <v>13</v>
      </c>
      <c r="N938" s="11"/>
      <c r="O938" s="11"/>
    </row>
    <row r="939" customFormat="false" ht="15" hidden="false" customHeight="false" outlineLevel="0" collapsed="false">
      <c r="A939" s="11" t="s">
        <v>3844</v>
      </c>
      <c r="B939" s="11" t="s">
        <v>336</v>
      </c>
      <c r="C939" s="11" t="s">
        <v>335</v>
      </c>
      <c r="D939" s="38" t="n">
        <v>46182</v>
      </c>
      <c r="E939" s="38" t="n">
        <v>46227</v>
      </c>
      <c r="F939" s="37" t="n">
        <v>4010</v>
      </c>
      <c r="G939" s="37" t="n">
        <v>802</v>
      </c>
      <c r="H939" s="37" t="n">
        <v>4812</v>
      </c>
      <c r="I939" s="11" t="s">
        <v>283</v>
      </c>
      <c r="J939" s="11"/>
      <c r="K939" s="11" t="s">
        <v>4152</v>
      </c>
      <c r="L939" s="38" t="n">
        <v>46240</v>
      </c>
      <c r="M939" s="11" t="n">
        <v>13</v>
      </c>
      <c r="N939" s="11"/>
      <c r="O939" s="11"/>
    </row>
    <row r="940" customFormat="false" ht="15" hidden="false" customHeight="false" outlineLevel="0" collapsed="false">
      <c r="A940" s="11" t="s">
        <v>3813</v>
      </c>
      <c r="B940" s="11" t="s">
        <v>336</v>
      </c>
      <c r="C940" s="11" t="s">
        <v>335</v>
      </c>
      <c r="D940" s="38" t="n">
        <v>46183</v>
      </c>
      <c r="E940" s="38" t="n">
        <v>46228</v>
      </c>
      <c r="F940" s="37" t="n">
        <v>6240</v>
      </c>
      <c r="G940" s="37" t="n">
        <v>1248</v>
      </c>
      <c r="H940" s="37" t="n">
        <v>7488</v>
      </c>
      <c r="I940" s="11" t="s">
        <v>283</v>
      </c>
      <c r="J940" s="11"/>
      <c r="K940" s="11" t="s">
        <v>4152</v>
      </c>
      <c r="L940" s="38" t="n">
        <v>46237</v>
      </c>
      <c r="M940" s="11" t="n">
        <v>9</v>
      </c>
      <c r="N940" s="11"/>
      <c r="O940" s="11"/>
    </row>
    <row r="941" customFormat="false" ht="15" hidden="false" customHeight="false" outlineLevel="0" collapsed="false">
      <c r="A941" s="11" t="s">
        <v>3773</v>
      </c>
      <c r="B941" s="11" t="s">
        <v>281</v>
      </c>
      <c r="C941" s="11" t="s">
        <v>280</v>
      </c>
      <c r="D941" s="38" t="n">
        <v>46184</v>
      </c>
      <c r="E941" s="38" t="n">
        <v>46229</v>
      </c>
      <c r="F941" s="37" t="n">
        <v>4770</v>
      </c>
      <c r="G941" s="37" t="n">
        <v>954</v>
      </c>
      <c r="H941" s="37" t="n">
        <v>5724</v>
      </c>
      <c r="I941" s="11" t="s">
        <v>283</v>
      </c>
      <c r="J941" s="11"/>
      <c r="K941" s="11" t="s">
        <v>4152</v>
      </c>
      <c r="L941" s="38" t="n">
        <v>46230</v>
      </c>
      <c r="M941" s="11" t="n">
        <v>1</v>
      </c>
      <c r="N941" s="11"/>
      <c r="O941" s="11"/>
    </row>
    <row r="942" customFormat="false" ht="15" hidden="false" customHeight="false" outlineLevel="0" collapsed="false">
      <c r="A942" s="11" t="s">
        <v>3895</v>
      </c>
      <c r="B942" s="11" t="s">
        <v>299</v>
      </c>
      <c r="C942" s="11" t="s">
        <v>298</v>
      </c>
      <c r="D942" s="38" t="n">
        <v>46184</v>
      </c>
      <c r="E942" s="38" t="n">
        <v>46244</v>
      </c>
      <c r="F942" s="37" t="n">
        <v>13430</v>
      </c>
      <c r="G942" s="37" t="n">
        <v>0</v>
      </c>
      <c r="H942" s="37" t="n">
        <v>13430</v>
      </c>
      <c r="I942" s="11" t="s">
        <v>283</v>
      </c>
      <c r="J942" s="11"/>
      <c r="K942" s="11" t="s">
        <v>4152</v>
      </c>
      <c r="L942" s="38" t="n">
        <v>46255</v>
      </c>
      <c r="M942" s="11" t="n">
        <v>11</v>
      </c>
      <c r="N942" s="11"/>
      <c r="O942" s="11"/>
    </row>
    <row r="943" customFormat="false" ht="15" hidden="false" customHeight="false" outlineLevel="0" collapsed="false">
      <c r="A943" s="11" t="s">
        <v>3879</v>
      </c>
      <c r="B943" s="11" t="s">
        <v>393</v>
      </c>
      <c r="C943" s="11" t="s">
        <v>392</v>
      </c>
      <c r="D943" s="38" t="n">
        <v>46184</v>
      </c>
      <c r="E943" s="38" t="n">
        <v>46234</v>
      </c>
      <c r="F943" s="37" t="n">
        <v>9750</v>
      </c>
      <c r="G943" s="37" t="n">
        <v>1950</v>
      </c>
      <c r="H943" s="37" t="n">
        <v>11700</v>
      </c>
      <c r="I943" s="11" t="s">
        <v>283</v>
      </c>
      <c r="J943" s="11"/>
      <c r="K943" s="11" t="s">
        <v>4152</v>
      </c>
      <c r="L943" s="38" t="n">
        <v>46251</v>
      </c>
      <c r="M943" s="11" t="n">
        <v>17</v>
      </c>
      <c r="N943" s="11"/>
      <c r="O943" s="11"/>
    </row>
    <row r="944" customFormat="false" ht="15" hidden="false" customHeight="false" outlineLevel="0" collapsed="false">
      <c r="A944" s="11" t="s">
        <v>3701</v>
      </c>
      <c r="B944" s="11" t="s">
        <v>288</v>
      </c>
      <c r="C944" s="11" t="s">
        <v>287</v>
      </c>
      <c r="D944" s="38" t="n">
        <v>46184</v>
      </c>
      <c r="E944" s="38" t="n">
        <v>46214</v>
      </c>
      <c r="F944" s="37" t="n">
        <v>4070</v>
      </c>
      <c r="G944" s="37" t="n">
        <v>814</v>
      </c>
      <c r="H944" s="37" t="n">
        <v>4884</v>
      </c>
      <c r="I944" s="11" t="s">
        <v>283</v>
      </c>
      <c r="J944" s="11"/>
      <c r="K944" s="11" t="s">
        <v>4152</v>
      </c>
      <c r="L944" s="38" t="n">
        <v>46212</v>
      </c>
      <c r="M944" s="11" t="n">
        <v>-2</v>
      </c>
      <c r="N944" s="11"/>
      <c r="O944" s="11"/>
    </row>
    <row r="945" customFormat="false" ht="15" hidden="false" customHeight="false" outlineLevel="0" collapsed="false">
      <c r="A945" s="11" t="s">
        <v>3830</v>
      </c>
      <c r="B945" s="11" t="s">
        <v>350</v>
      </c>
      <c r="C945" s="11" t="s">
        <v>349</v>
      </c>
      <c r="D945" s="38" t="n">
        <v>46184</v>
      </c>
      <c r="E945" s="38" t="n">
        <v>46244</v>
      </c>
      <c r="F945" s="37" t="n">
        <v>26060</v>
      </c>
      <c r="G945" s="37" t="n">
        <v>5212</v>
      </c>
      <c r="H945" s="37" t="n">
        <v>31272</v>
      </c>
      <c r="I945" s="11" t="s">
        <v>283</v>
      </c>
      <c r="J945" s="11"/>
      <c r="K945" s="11" t="s">
        <v>4152</v>
      </c>
      <c r="L945" s="38" t="n">
        <v>46238</v>
      </c>
      <c r="M945" s="11" t="n">
        <v>-6</v>
      </c>
      <c r="N945" s="11"/>
      <c r="O945" s="11"/>
    </row>
    <row r="946" customFormat="false" ht="15" hidden="false" customHeight="false" outlineLevel="0" collapsed="false">
      <c r="A946" s="11" t="s">
        <v>4002</v>
      </c>
      <c r="B946" s="11" t="s">
        <v>332</v>
      </c>
      <c r="C946" s="11" t="s">
        <v>331</v>
      </c>
      <c r="D946" s="38" t="n">
        <v>46185</v>
      </c>
      <c r="E946" s="38" t="n">
        <v>46230</v>
      </c>
      <c r="F946" s="37" t="n">
        <v>13550</v>
      </c>
      <c r="G946" s="37" t="n">
        <v>2710</v>
      </c>
      <c r="H946" s="37" t="n">
        <v>16260</v>
      </c>
      <c r="I946" s="11" t="s">
        <v>283</v>
      </c>
      <c r="J946" s="11"/>
      <c r="K946" s="11" t="s">
        <v>4152</v>
      </c>
      <c r="L946" s="38" t="n">
        <v>46274</v>
      </c>
      <c r="M946" s="11" t="n">
        <v>44</v>
      </c>
      <c r="N946" s="11"/>
      <c r="O946" s="11"/>
    </row>
    <row r="947" customFormat="false" ht="15" hidden="false" customHeight="false" outlineLevel="0" collapsed="false">
      <c r="A947" s="11" t="s">
        <v>3955</v>
      </c>
      <c r="B947" s="11" t="s">
        <v>328</v>
      </c>
      <c r="C947" s="11" t="s">
        <v>327</v>
      </c>
      <c r="D947" s="38" t="n">
        <v>46185</v>
      </c>
      <c r="E947" s="38" t="n">
        <v>46245</v>
      </c>
      <c r="F947" s="37" t="n">
        <v>19530</v>
      </c>
      <c r="G947" s="37" t="n">
        <v>3906</v>
      </c>
      <c r="H947" s="37" t="n">
        <v>23436</v>
      </c>
      <c r="I947" s="11" t="s">
        <v>283</v>
      </c>
      <c r="J947" s="11"/>
      <c r="K947" s="11" t="s">
        <v>4152</v>
      </c>
      <c r="L947" s="38" t="n">
        <v>46266</v>
      </c>
      <c r="M947" s="11" t="n">
        <v>21</v>
      </c>
      <c r="N947" s="11"/>
      <c r="O947" s="11"/>
    </row>
    <row r="948" customFormat="false" ht="15" hidden="false" customHeight="false" outlineLevel="0" collapsed="false">
      <c r="A948" s="11" t="s">
        <v>3728</v>
      </c>
      <c r="B948" s="11" t="s">
        <v>324</v>
      </c>
      <c r="C948" s="11" t="s">
        <v>323</v>
      </c>
      <c r="D948" s="38" t="n">
        <v>46185</v>
      </c>
      <c r="E948" s="38" t="n">
        <v>46215</v>
      </c>
      <c r="F948" s="37" t="n">
        <v>4200</v>
      </c>
      <c r="G948" s="37" t="n">
        <v>840</v>
      </c>
      <c r="H948" s="37" t="n">
        <v>5040</v>
      </c>
      <c r="I948" s="11" t="s">
        <v>283</v>
      </c>
      <c r="J948" s="11"/>
      <c r="K948" s="11" t="s">
        <v>4152</v>
      </c>
      <c r="L948" s="38" t="n">
        <v>46219</v>
      </c>
      <c r="M948" s="11" t="n">
        <v>4</v>
      </c>
      <c r="N948" s="11"/>
      <c r="O948" s="11"/>
    </row>
    <row r="949" customFormat="false" ht="15" hidden="false" customHeight="false" outlineLevel="0" collapsed="false">
      <c r="A949" s="11" t="s">
        <v>3949</v>
      </c>
      <c r="B949" s="11" t="s">
        <v>350</v>
      </c>
      <c r="C949" s="11" t="s">
        <v>349</v>
      </c>
      <c r="D949" s="38" t="n">
        <v>46185</v>
      </c>
      <c r="E949" s="38" t="n">
        <v>46245</v>
      </c>
      <c r="F949" s="37" t="n">
        <v>8450</v>
      </c>
      <c r="G949" s="37" t="n">
        <v>1690</v>
      </c>
      <c r="H949" s="37" t="n">
        <v>10140</v>
      </c>
      <c r="I949" s="11" t="s">
        <v>283</v>
      </c>
      <c r="J949" s="11"/>
      <c r="K949" s="11" t="s">
        <v>4152</v>
      </c>
      <c r="L949" s="38" t="n">
        <v>46266</v>
      </c>
      <c r="M949" s="11" t="n">
        <v>21</v>
      </c>
      <c r="N949" s="11"/>
      <c r="O949" s="11"/>
    </row>
    <row r="950" customFormat="false" ht="15" hidden="false" customHeight="false" outlineLevel="0" collapsed="false">
      <c r="A950" s="11" t="s">
        <v>3807</v>
      </c>
      <c r="B950" s="11" t="s">
        <v>336</v>
      </c>
      <c r="C950" s="11" t="s">
        <v>335</v>
      </c>
      <c r="D950" s="38" t="n">
        <v>46185</v>
      </c>
      <c r="E950" s="38" t="n">
        <v>46230</v>
      </c>
      <c r="F950" s="37" t="n">
        <v>11440</v>
      </c>
      <c r="G950" s="37" t="n">
        <v>2288</v>
      </c>
      <c r="H950" s="37" t="n">
        <v>13728</v>
      </c>
      <c r="I950" s="11" t="s">
        <v>283</v>
      </c>
      <c r="J950" s="11"/>
      <c r="K950" s="11" t="s">
        <v>4152</v>
      </c>
      <c r="L950" s="38" t="n">
        <v>46237</v>
      </c>
      <c r="M950" s="11" t="n">
        <v>7</v>
      </c>
      <c r="N950" s="11"/>
      <c r="O950" s="11"/>
    </row>
    <row r="951" customFormat="false" ht="15" hidden="false" customHeight="false" outlineLevel="0" collapsed="false">
      <c r="A951" s="11" t="s">
        <v>3828</v>
      </c>
      <c r="B951" s="11" t="s">
        <v>324</v>
      </c>
      <c r="C951" s="11" t="s">
        <v>323</v>
      </c>
      <c r="D951" s="38" t="n">
        <v>46185</v>
      </c>
      <c r="E951" s="38" t="n">
        <v>46215</v>
      </c>
      <c r="F951" s="37" t="n">
        <v>4950</v>
      </c>
      <c r="G951" s="37" t="n">
        <v>990</v>
      </c>
      <c r="H951" s="37" t="n">
        <v>5940</v>
      </c>
      <c r="I951" s="11" t="s">
        <v>283</v>
      </c>
      <c r="J951" s="11"/>
      <c r="K951" s="11" t="s">
        <v>4152</v>
      </c>
      <c r="L951" s="38" t="n">
        <v>46237</v>
      </c>
      <c r="M951" s="11" t="n">
        <v>22</v>
      </c>
      <c r="N951" s="11"/>
      <c r="O951" s="11"/>
    </row>
    <row r="952" customFormat="false" ht="15" hidden="false" customHeight="false" outlineLevel="0" collapsed="false">
      <c r="A952" s="11" t="s">
        <v>3907</v>
      </c>
      <c r="B952" s="11" t="s">
        <v>332</v>
      </c>
      <c r="C952" s="11" t="s">
        <v>331</v>
      </c>
      <c r="D952" s="38" t="n">
        <v>46185</v>
      </c>
      <c r="E952" s="38" t="n">
        <v>46230</v>
      </c>
      <c r="F952" s="37" t="n">
        <v>4710</v>
      </c>
      <c r="G952" s="37" t="n">
        <v>942</v>
      </c>
      <c r="H952" s="37" t="n">
        <v>5652</v>
      </c>
      <c r="I952" s="11" t="s">
        <v>283</v>
      </c>
      <c r="J952" s="11"/>
      <c r="K952" s="11" t="s">
        <v>4152</v>
      </c>
      <c r="L952" s="38" t="n">
        <v>46259</v>
      </c>
      <c r="M952" s="11" t="n">
        <v>29</v>
      </c>
      <c r="N952" s="11"/>
      <c r="O952" s="11"/>
    </row>
    <row r="953" customFormat="false" ht="15" hidden="false" customHeight="false" outlineLevel="0" collapsed="false">
      <c r="A953" s="11" t="s">
        <v>3777</v>
      </c>
      <c r="B953" s="11" t="s">
        <v>281</v>
      </c>
      <c r="C953" s="11" t="s">
        <v>280</v>
      </c>
      <c r="D953" s="38" t="n">
        <v>46185</v>
      </c>
      <c r="E953" s="38" t="n">
        <v>46230</v>
      </c>
      <c r="F953" s="37" t="n">
        <v>8130</v>
      </c>
      <c r="G953" s="37" t="n">
        <v>1626</v>
      </c>
      <c r="H953" s="37" t="n">
        <v>9756</v>
      </c>
      <c r="I953" s="11" t="s">
        <v>283</v>
      </c>
      <c r="J953" s="11"/>
      <c r="K953" s="11" t="s">
        <v>4152</v>
      </c>
      <c r="L953" s="38" t="n">
        <v>46230</v>
      </c>
      <c r="M953" s="11" t="n">
        <v>0</v>
      </c>
      <c r="N953" s="11"/>
      <c r="O953" s="11"/>
    </row>
    <row r="954" customFormat="false" ht="15" hidden="false" customHeight="false" outlineLevel="0" collapsed="false">
      <c r="A954" s="11" t="s">
        <v>3835</v>
      </c>
      <c r="B954" s="11" t="s">
        <v>336</v>
      </c>
      <c r="C954" s="11" t="s">
        <v>335</v>
      </c>
      <c r="D954" s="38" t="n">
        <v>46188</v>
      </c>
      <c r="E954" s="38" t="n">
        <v>46233</v>
      </c>
      <c r="F954" s="37" t="n">
        <v>3970</v>
      </c>
      <c r="G954" s="37" t="n">
        <v>794</v>
      </c>
      <c r="H954" s="37" t="n">
        <v>4764</v>
      </c>
      <c r="I954" s="11" t="s">
        <v>283</v>
      </c>
      <c r="J954" s="11"/>
      <c r="K954" s="11" t="s">
        <v>4152</v>
      </c>
      <c r="L954" s="38" t="n">
        <v>46239</v>
      </c>
      <c r="M954" s="11" t="n">
        <v>6</v>
      </c>
      <c r="N954" s="11"/>
      <c r="O954" s="11"/>
    </row>
    <row r="955" customFormat="false" ht="15" hidden="false" customHeight="false" outlineLevel="0" collapsed="false">
      <c r="A955" s="11" t="s">
        <v>4017</v>
      </c>
      <c r="B955" s="11" t="s">
        <v>328</v>
      </c>
      <c r="C955" s="11" t="s">
        <v>327</v>
      </c>
      <c r="D955" s="38" t="n">
        <v>46188</v>
      </c>
      <c r="E955" s="38" t="n">
        <v>46248</v>
      </c>
      <c r="F955" s="37" t="n">
        <v>8520</v>
      </c>
      <c r="G955" s="37" t="n">
        <v>1704</v>
      </c>
      <c r="H955" s="37" t="n">
        <v>10224</v>
      </c>
      <c r="I955" s="11" t="s">
        <v>283</v>
      </c>
      <c r="J955" s="11"/>
      <c r="K955" s="11" t="s">
        <v>4152</v>
      </c>
      <c r="L955" s="38" t="n">
        <v>46276</v>
      </c>
      <c r="M955" s="11" t="n">
        <v>28</v>
      </c>
      <c r="N955" s="11"/>
      <c r="O955" s="11"/>
    </row>
    <row r="956" customFormat="false" ht="15" hidden="false" customHeight="false" outlineLevel="0" collapsed="false">
      <c r="A956" s="11" t="s">
        <v>3998</v>
      </c>
      <c r="B956" s="11" t="s">
        <v>350</v>
      </c>
      <c r="C956" s="11" t="s">
        <v>349</v>
      </c>
      <c r="D956" s="38" t="n">
        <v>46189</v>
      </c>
      <c r="E956" s="38" t="n">
        <v>46249</v>
      </c>
      <c r="F956" s="37" t="n">
        <v>14120</v>
      </c>
      <c r="G956" s="37" t="n">
        <v>2824</v>
      </c>
      <c r="H956" s="37" t="n">
        <v>16944</v>
      </c>
      <c r="I956" s="11" t="s">
        <v>283</v>
      </c>
      <c r="J956" s="11"/>
      <c r="K956" s="11" t="s">
        <v>4152</v>
      </c>
      <c r="L956" s="38" t="n">
        <v>46274</v>
      </c>
      <c r="M956" s="11" t="n">
        <v>25</v>
      </c>
      <c r="N956" s="11"/>
      <c r="O956" s="11"/>
    </row>
    <row r="957" customFormat="false" ht="15" hidden="false" customHeight="false" outlineLevel="0" collapsed="false">
      <c r="A957" s="11" t="s">
        <v>4033</v>
      </c>
      <c r="B957" s="11" t="s">
        <v>328</v>
      </c>
      <c r="C957" s="11" t="s">
        <v>327</v>
      </c>
      <c r="D957" s="38" t="n">
        <v>46189</v>
      </c>
      <c r="E957" s="38" t="n">
        <v>46249</v>
      </c>
      <c r="F957" s="37" t="n">
        <v>10460</v>
      </c>
      <c r="G957" s="37" t="n">
        <v>2092</v>
      </c>
      <c r="H957" s="37" t="n">
        <v>12552</v>
      </c>
      <c r="I957" s="11" t="s">
        <v>283</v>
      </c>
      <c r="J957" s="11"/>
      <c r="K957" s="11" t="s">
        <v>4152</v>
      </c>
      <c r="L957" s="38" t="n">
        <v>46281</v>
      </c>
      <c r="M957" s="11" t="n">
        <v>32</v>
      </c>
      <c r="N957" s="11"/>
      <c r="O957" s="11"/>
    </row>
    <row r="958" customFormat="false" ht="15" hidden="false" customHeight="false" outlineLevel="0" collapsed="false">
      <c r="A958" s="11" t="s">
        <v>3914</v>
      </c>
      <c r="B958" s="11" t="s">
        <v>299</v>
      </c>
      <c r="C958" s="11" t="s">
        <v>298</v>
      </c>
      <c r="D958" s="38" t="n">
        <v>46190</v>
      </c>
      <c r="E958" s="38" t="n">
        <v>46250</v>
      </c>
      <c r="F958" s="37" t="n">
        <v>9650</v>
      </c>
      <c r="G958" s="37" t="n">
        <v>0</v>
      </c>
      <c r="H958" s="37" t="n">
        <v>9650</v>
      </c>
      <c r="I958" s="11" t="s">
        <v>283</v>
      </c>
      <c r="J958" s="11"/>
      <c r="K958" s="11" t="s">
        <v>4152</v>
      </c>
      <c r="L958" s="38" t="n">
        <v>46260</v>
      </c>
      <c r="M958" s="11" t="n">
        <v>10</v>
      </c>
      <c r="N958" s="11"/>
      <c r="O958" s="11"/>
    </row>
    <row r="959" customFormat="false" ht="15" hidden="false" customHeight="false" outlineLevel="0" collapsed="false">
      <c r="A959" s="11" t="s">
        <v>4054</v>
      </c>
      <c r="B959" s="11" t="s">
        <v>332</v>
      </c>
      <c r="C959" s="11" t="s">
        <v>331</v>
      </c>
      <c r="D959" s="38" t="n">
        <v>46190</v>
      </c>
      <c r="E959" s="38" t="n">
        <v>46235</v>
      </c>
      <c r="F959" s="37" t="n">
        <v>10390</v>
      </c>
      <c r="G959" s="37" t="n">
        <v>2078</v>
      </c>
      <c r="H959" s="37" t="n">
        <v>12468</v>
      </c>
      <c r="I959" s="11" t="s">
        <v>283</v>
      </c>
      <c r="J959" s="11"/>
      <c r="K959" s="11" t="s">
        <v>4152</v>
      </c>
      <c r="L959" s="38" t="n">
        <v>46287</v>
      </c>
      <c r="M959" s="11" t="n">
        <v>52</v>
      </c>
      <c r="N959" s="11"/>
      <c r="O959" s="11"/>
    </row>
    <row r="960" customFormat="false" ht="15" hidden="false" customHeight="false" outlineLevel="0" collapsed="false">
      <c r="A960" s="11" t="s">
        <v>3971</v>
      </c>
      <c r="B960" s="11" t="s">
        <v>350</v>
      </c>
      <c r="C960" s="11" t="s">
        <v>349</v>
      </c>
      <c r="D960" s="38" t="n">
        <v>46190</v>
      </c>
      <c r="E960" s="38" t="n">
        <v>46250</v>
      </c>
      <c r="F960" s="37" t="n">
        <v>9970</v>
      </c>
      <c r="G960" s="37" t="n">
        <v>1994</v>
      </c>
      <c r="H960" s="37" t="n">
        <v>11964</v>
      </c>
      <c r="I960" s="11" t="s">
        <v>283</v>
      </c>
      <c r="J960" s="11"/>
      <c r="K960" s="11" t="s">
        <v>4152</v>
      </c>
      <c r="L960" s="38" t="n">
        <v>46269</v>
      </c>
      <c r="M960" s="11" t="n">
        <v>19</v>
      </c>
      <c r="N960" s="11"/>
      <c r="O960" s="11"/>
    </row>
    <row r="961" customFormat="false" ht="15" hidden="false" customHeight="false" outlineLevel="0" collapsed="false">
      <c r="A961" s="11" t="s">
        <v>3826</v>
      </c>
      <c r="B961" s="11" t="s">
        <v>281</v>
      </c>
      <c r="C961" s="11" t="s">
        <v>280</v>
      </c>
      <c r="D961" s="38" t="n">
        <v>46191</v>
      </c>
      <c r="E961" s="38" t="n">
        <v>46236</v>
      </c>
      <c r="F961" s="37" t="n">
        <v>10230</v>
      </c>
      <c r="G961" s="37" t="n">
        <v>2046</v>
      </c>
      <c r="H961" s="37" t="n">
        <v>12276</v>
      </c>
      <c r="I961" s="11" t="s">
        <v>283</v>
      </c>
      <c r="J961" s="11"/>
      <c r="K961" s="11" t="s">
        <v>4152</v>
      </c>
      <c r="L961" s="38" t="n">
        <v>46237</v>
      </c>
      <c r="M961" s="11" t="n">
        <v>1</v>
      </c>
      <c r="N961" s="11"/>
      <c r="O961" s="11"/>
    </row>
    <row r="962" customFormat="false" ht="15" hidden="false" customHeight="false" outlineLevel="0" collapsed="false">
      <c r="A962" s="11" t="s">
        <v>3905</v>
      </c>
      <c r="B962" s="11" t="s">
        <v>328</v>
      </c>
      <c r="C962" s="11" t="s">
        <v>327</v>
      </c>
      <c r="D962" s="38" t="n">
        <v>46192</v>
      </c>
      <c r="E962" s="38" t="n">
        <v>46252</v>
      </c>
      <c r="F962" s="37" t="n">
        <v>11610</v>
      </c>
      <c r="G962" s="37" t="n">
        <v>2322</v>
      </c>
      <c r="H962" s="37" t="n">
        <v>13932</v>
      </c>
      <c r="I962" s="11" t="s">
        <v>283</v>
      </c>
      <c r="J962" s="11"/>
      <c r="K962" s="11" t="s">
        <v>4152</v>
      </c>
      <c r="L962" s="38" t="n">
        <v>46258</v>
      </c>
      <c r="M962" s="11" t="n">
        <v>6</v>
      </c>
      <c r="N962" s="11"/>
      <c r="O962" s="11"/>
    </row>
    <row r="963" customFormat="false" ht="15" hidden="false" customHeight="false" outlineLevel="0" collapsed="false">
      <c r="A963" s="11" t="s">
        <v>3781</v>
      </c>
      <c r="B963" s="11" t="s">
        <v>324</v>
      </c>
      <c r="C963" s="11" t="s">
        <v>323</v>
      </c>
      <c r="D963" s="38" t="n">
        <v>46192</v>
      </c>
      <c r="E963" s="38" t="n">
        <v>46222</v>
      </c>
      <c r="F963" s="37" t="n">
        <v>7530</v>
      </c>
      <c r="G963" s="37" t="n">
        <v>1506</v>
      </c>
      <c r="H963" s="37" t="n">
        <v>9036</v>
      </c>
      <c r="I963" s="11" t="s">
        <v>283</v>
      </c>
      <c r="J963" s="11"/>
      <c r="K963" s="11" t="s">
        <v>4152</v>
      </c>
      <c r="L963" s="38" t="n">
        <v>46231</v>
      </c>
      <c r="M963" s="11" t="n">
        <v>9</v>
      </c>
      <c r="N963" s="11"/>
      <c r="O963" s="11"/>
    </row>
    <row r="964" customFormat="false" ht="15" hidden="false" customHeight="false" outlineLevel="0" collapsed="false">
      <c r="A964" s="11" t="s">
        <v>3771</v>
      </c>
      <c r="B964" s="11" t="s">
        <v>324</v>
      </c>
      <c r="C964" s="11" t="s">
        <v>323</v>
      </c>
      <c r="D964" s="38" t="n">
        <v>46192</v>
      </c>
      <c r="E964" s="38" t="n">
        <v>46222</v>
      </c>
      <c r="F964" s="37" t="n">
        <v>4930</v>
      </c>
      <c r="G964" s="37" t="n">
        <v>986</v>
      </c>
      <c r="H964" s="37" t="n">
        <v>5916</v>
      </c>
      <c r="I964" s="11" t="s">
        <v>283</v>
      </c>
      <c r="J964" s="11"/>
      <c r="K964" s="11" t="s">
        <v>4152</v>
      </c>
      <c r="L964" s="38" t="n">
        <v>46230</v>
      </c>
      <c r="M964" s="11" t="n">
        <v>8</v>
      </c>
      <c r="N964" s="11"/>
      <c r="O964" s="11"/>
    </row>
    <row r="965" customFormat="false" ht="15" hidden="false" customHeight="false" outlineLevel="0" collapsed="false">
      <c r="A965" s="11" t="s">
        <v>3934</v>
      </c>
      <c r="B965" s="11" t="s">
        <v>393</v>
      </c>
      <c r="C965" s="11" t="s">
        <v>392</v>
      </c>
      <c r="D965" s="38" t="n">
        <v>46192</v>
      </c>
      <c r="E965" s="38" t="n">
        <v>46242</v>
      </c>
      <c r="F965" s="37" t="n">
        <v>12210</v>
      </c>
      <c r="G965" s="37" t="n">
        <v>2442</v>
      </c>
      <c r="H965" s="37" t="n">
        <v>14652</v>
      </c>
      <c r="I965" s="11" t="s">
        <v>283</v>
      </c>
      <c r="J965" s="11"/>
      <c r="K965" s="11" t="s">
        <v>4152</v>
      </c>
      <c r="L965" s="38" t="n">
        <v>46262</v>
      </c>
      <c r="M965" s="11" t="n">
        <v>20</v>
      </c>
      <c r="N965" s="11"/>
      <c r="O965" s="11"/>
    </row>
    <row r="966" customFormat="false" ht="15" hidden="false" customHeight="false" outlineLevel="0" collapsed="false">
      <c r="A966" s="11" t="s">
        <v>3887</v>
      </c>
      <c r="B966" s="11" t="s">
        <v>393</v>
      </c>
      <c r="C966" s="11" t="s">
        <v>392</v>
      </c>
      <c r="D966" s="38" t="n">
        <v>46192</v>
      </c>
      <c r="E966" s="38" t="n">
        <v>46242</v>
      </c>
      <c r="F966" s="37" t="n">
        <v>4800</v>
      </c>
      <c r="G966" s="37" t="n">
        <v>960</v>
      </c>
      <c r="H966" s="37" t="n">
        <v>5760</v>
      </c>
      <c r="I966" s="11" t="s">
        <v>283</v>
      </c>
      <c r="J966" s="11"/>
      <c r="K966" s="11" t="s">
        <v>4152</v>
      </c>
      <c r="L966" s="38" t="n">
        <v>46253</v>
      </c>
      <c r="M966" s="11" t="n">
        <v>11</v>
      </c>
      <c r="N966" s="11"/>
      <c r="O966" s="11"/>
    </row>
    <row r="967" customFormat="false" ht="15" hidden="false" customHeight="false" outlineLevel="0" collapsed="false">
      <c r="A967" s="11" t="s">
        <v>4010</v>
      </c>
      <c r="B967" s="11" t="s">
        <v>350</v>
      </c>
      <c r="C967" s="11" t="s">
        <v>349</v>
      </c>
      <c r="D967" s="38" t="n">
        <v>46192</v>
      </c>
      <c r="E967" s="38" t="n">
        <v>46252</v>
      </c>
      <c r="F967" s="37" t="n">
        <v>14990</v>
      </c>
      <c r="G967" s="37" t="n">
        <v>2998</v>
      </c>
      <c r="H967" s="37" t="n">
        <v>17988</v>
      </c>
      <c r="I967" s="11" t="s">
        <v>283</v>
      </c>
      <c r="J967" s="11"/>
      <c r="K967" s="11" t="s">
        <v>4152</v>
      </c>
      <c r="L967" s="38" t="n">
        <v>46275</v>
      </c>
      <c r="M967" s="11" t="n">
        <v>23</v>
      </c>
      <c r="N967" s="11"/>
      <c r="O967" s="11"/>
    </row>
    <row r="968" customFormat="false" ht="15" hidden="false" customHeight="false" outlineLevel="0" collapsed="false">
      <c r="A968" s="11" t="s">
        <v>3750</v>
      </c>
      <c r="B968" s="11" t="s">
        <v>288</v>
      </c>
      <c r="C968" s="11" t="s">
        <v>287</v>
      </c>
      <c r="D968" s="38" t="n">
        <v>46192</v>
      </c>
      <c r="E968" s="38" t="n">
        <v>46222</v>
      </c>
      <c r="F968" s="37" t="n">
        <v>2850</v>
      </c>
      <c r="G968" s="37" t="n">
        <v>570</v>
      </c>
      <c r="H968" s="37" t="n">
        <v>3420</v>
      </c>
      <c r="I968" s="11" t="s">
        <v>283</v>
      </c>
      <c r="J968" s="11"/>
      <c r="K968" s="11" t="s">
        <v>4152</v>
      </c>
      <c r="L968" s="38" t="n">
        <v>46224</v>
      </c>
      <c r="M968" s="11" t="n">
        <v>2</v>
      </c>
      <c r="N968" s="11"/>
      <c r="O968" s="11"/>
    </row>
    <row r="969" customFormat="false" ht="15" hidden="false" customHeight="false" outlineLevel="0" collapsed="false">
      <c r="A969" s="11" t="s">
        <v>3818</v>
      </c>
      <c r="B969" s="11" t="s">
        <v>281</v>
      </c>
      <c r="C969" s="11" t="s">
        <v>280</v>
      </c>
      <c r="D969" s="38" t="n">
        <v>46192</v>
      </c>
      <c r="E969" s="38" t="n">
        <v>46237</v>
      </c>
      <c r="F969" s="37" t="n">
        <v>12230</v>
      </c>
      <c r="G969" s="37" t="n">
        <v>2446</v>
      </c>
      <c r="H969" s="37" t="n">
        <v>14676</v>
      </c>
      <c r="I969" s="11" t="s">
        <v>283</v>
      </c>
      <c r="J969" s="11"/>
      <c r="K969" s="11" t="s">
        <v>4152</v>
      </c>
      <c r="L969" s="38" t="n">
        <v>46237</v>
      </c>
      <c r="M969" s="11" t="n">
        <v>0</v>
      </c>
      <c r="N969" s="11"/>
      <c r="O969" s="11"/>
    </row>
    <row r="970" customFormat="false" ht="15" hidden="false" customHeight="false" outlineLevel="0" collapsed="false">
      <c r="A970" s="11" t="s">
        <v>3816</v>
      </c>
      <c r="B970" s="11" t="s">
        <v>336</v>
      </c>
      <c r="C970" s="11" t="s">
        <v>335</v>
      </c>
      <c r="D970" s="38" t="n">
        <v>46192</v>
      </c>
      <c r="E970" s="38" t="n">
        <v>46237</v>
      </c>
      <c r="F970" s="37" t="n">
        <v>4730</v>
      </c>
      <c r="G970" s="37" t="n">
        <v>946</v>
      </c>
      <c r="H970" s="37" t="n">
        <v>5676</v>
      </c>
      <c r="I970" s="11" t="s">
        <v>283</v>
      </c>
      <c r="J970" s="11"/>
      <c r="K970" s="11" t="s">
        <v>4152</v>
      </c>
      <c r="L970" s="38" t="n">
        <v>46237</v>
      </c>
      <c r="M970" s="11" t="n">
        <v>0</v>
      </c>
      <c r="N970" s="11"/>
      <c r="O970" s="11"/>
    </row>
    <row r="971" customFormat="false" ht="15" hidden="false" customHeight="false" outlineLevel="0" collapsed="false">
      <c r="A971" s="11" t="s">
        <v>3832</v>
      </c>
      <c r="B971" s="11" t="s">
        <v>324</v>
      </c>
      <c r="C971" s="11" t="s">
        <v>323</v>
      </c>
      <c r="D971" s="38" t="n">
        <v>46195</v>
      </c>
      <c r="E971" s="38" t="n">
        <v>46225</v>
      </c>
      <c r="F971" s="37" t="n">
        <v>5160</v>
      </c>
      <c r="G971" s="37" t="n">
        <v>1032</v>
      </c>
      <c r="H971" s="37" t="n">
        <v>6192</v>
      </c>
      <c r="I971" s="11" t="s">
        <v>283</v>
      </c>
      <c r="J971" s="11"/>
      <c r="K971" s="11" t="s">
        <v>4152</v>
      </c>
      <c r="L971" s="38" t="n">
        <v>46238</v>
      </c>
      <c r="M971" s="11" t="n">
        <v>13</v>
      </c>
      <c r="N971" s="11"/>
      <c r="O971" s="11"/>
    </row>
    <row r="972" customFormat="false" ht="15" hidden="false" customHeight="false" outlineLevel="0" collapsed="false">
      <c r="A972" s="11" t="s">
        <v>3846</v>
      </c>
      <c r="B972" s="11" t="s">
        <v>281</v>
      </c>
      <c r="C972" s="11" t="s">
        <v>280</v>
      </c>
      <c r="D972" s="38" t="n">
        <v>46195</v>
      </c>
      <c r="E972" s="38" t="n">
        <v>46240</v>
      </c>
      <c r="F972" s="37" t="n">
        <v>7010</v>
      </c>
      <c r="G972" s="37" t="n">
        <v>1402</v>
      </c>
      <c r="H972" s="37" t="n">
        <v>8412</v>
      </c>
      <c r="I972" s="11" t="s">
        <v>283</v>
      </c>
      <c r="J972" s="11"/>
      <c r="K972" s="11" t="s">
        <v>4152</v>
      </c>
      <c r="L972" s="38" t="n">
        <v>46240</v>
      </c>
      <c r="M972" s="11" t="n">
        <v>0</v>
      </c>
      <c r="N972" s="11"/>
      <c r="O972" s="11"/>
    </row>
    <row r="973" customFormat="false" ht="15" hidden="false" customHeight="false" outlineLevel="0" collapsed="false">
      <c r="A973" s="11" t="s">
        <v>3857</v>
      </c>
      <c r="B973" s="11" t="s">
        <v>281</v>
      </c>
      <c r="C973" s="11" t="s">
        <v>280</v>
      </c>
      <c r="D973" s="38" t="n">
        <v>46197</v>
      </c>
      <c r="E973" s="38" t="n">
        <v>46242</v>
      </c>
      <c r="F973" s="37" t="n">
        <v>8030</v>
      </c>
      <c r="G973" s="37" t="n">
        <v>1606</v>
      </c>
      <c r="H973" s="37" t="n">
        <v>9636</v>
      </c>
      <c r="I973" s="11" t="s">
        <v>283</v>
      </c>
      <c r="J973" s="11"/>
      <c r="K973" s="11" t="s">
        <v>4152</v>
      </c>
      <c r="L973" s="38" t="n">
        <v>46244</v>
      </c>
      <c r="M973" s="11" t="n">
        <v>2</v>
      </c>
      <c r="N973" s="11"/>
      <c r="O973" s="11"/>
    </row>
    <row r="974" customFormat="false" ht="15" hidden="false" customHeight="false" outlineLevel="0" collapsed="false">
      <c r="A974" s="11" t="s">
        <v>4077</v>
      </c>
      <c r="B974" s="11" t="s">
        <v>328</v>
      </c>
      <c r="C974" s="11" t="s">
        <v>327</v>
      </c>
      <c r="D974" s="38" t="n">
        <v>46198</v>
      </c>
      <c r="E974" s="38" t="n">
        <v>46258</v>
      </c>
      <c r="F974" s="37" t="n">
        <v>17350</v>
      </c>
      <c r="G974" s="37" t="n">
        <v>3470</v>
      </c>
      <c r="H974" s="37" t="n">
        <v>20820</v>
      </c>
      <c r="I974" s="11" t="s">
        <v>283</v>
      </c>
      <c r="J974" s="11"/>
      <c r="K974" s="11" t="s">
        <v>4152</v>
      </c>
      <c r="L974" s="38" t="n">
        <v>46293</v>
      </c>
      <c r="M974" s="11" t="n">
        <v>35</v>
      </c>
      <c r="N974" s="11"/>
      <c r="O974" s="11"/>
    </row>
    <row r="975" customFormat="false" ht="15" hidden="false" customHeight="false" outlineLevel="0" collapsed="false">
      <c r="A975" s="11" t="s">
        <v>3851</v>
      </c>
      <c r="B975" s="11" t="s">
        <v>281</v>
      </c>
      <c r="C975" s="11" t="s">
        <v>280</v>
      </c>
      <c r="D975" s="38" t="n">
        <v>46198</v>
      </c>
      <c r="E975" s="38" t="n">
        <v>46243</v>
      </c>
      <c r="F975" s="37" t="n">
        <v>6590</v>
      </c>
      <c r="G975" s="37" t="n">
        <v>1318</v>
      </c>
      <c r="H975" s="37" t="n">
        <v>7908</v>
      </c>
      <c r="I975" s="11" t="s">
        <v>283</v>
      </c>
      <c r="J975" s="11"/>
      <c r="K975" s="11" t="s">
        <v>4152</v>
      </c>
      <c r="L975" s="38" t="n">
        <v>46244</v>
      </c>
      <c r="M975" s="11" t="n">
        <v>1</v>
      </c>
      <c r="N975" s="11"/>
      <c r="O975" s="11"/>
    </row>
    <row r="976" customFormat="false" ht="15" hidden="false" customHeight="false" outlineLevel="0" collapsed="false">
      <c r="A976" s="11" t="s">
        <v>3769</v>
      </c>
      <c r="B976" s="11" t="s">
        <v>288</v>
      </c>
      <c r="C976" s="11" t="s">
        <v>287</v>
      </c>
      <c r="D976" s="38" t="n">
        <v>46198</v>
      </c>
      <c r="E976" s="38" t="n">
        <v>46228</v>
      </c>
      <c r="F976" s="37" t="n">
        <v>4360</v>
      </c>
      <c r="G976" s="37" t="n">
        <v>872</v>
      </c>
      <c r="H976" s="37" t="n">
        <v>5232</v>
      </c>
      <c r="I976" s="11" t="s">
        <v>283</v>
      </c>
      <c r="J976" s="11"/>
      <c r="K976" s="11" t="s">
        <v>4152</v>
      </c>
      <c r="L976" s="38" t="n">
        <v>46230</v>
      </c>
      <c r="M976" s="11" t="n">
        <v>2</v>
      </c>
      <c r="N976" s="11"/>
      <c r="O976" s="11"/>
    </row>
    <row r="977" customFormat="false" ht="15" hidden="false" customHeight="false" outlineLevel="0" collapsed="false">
      <c r="A977" s="11" t="s">
        <v>3938</v>
      </c>
      <c r="B977" s="11" t="s">
        <v>328</v>
      </c>
      <c r="C977" s="11" t="s">
        <v>327</v>
      </c>
      <c r="D977" s="38" t="n">
        <v>46198</v>
      </c>
      <c r="E977" s="38" t="n">
        <v>46258</v>
      </c>
      <c r="F977" s="37" t="n">
        <v>29410</v>
      </c>
      <c r="G977" s="37" t="n">
        <v>5882</v>
      </c>
      <c r="H977" s="37" t="n">
        <v>35292</v>
      </c>
      <c r="I977" s="11" t="s">
        <v>283</v>
      </c>
      <c r="J977" s="11"/>
      <c r="K977" s="11" t="s">
        <v>4152</v>
      </c>
      <c r="L977" s="38" t="n">
        <v>46265</v>
      </c>
      <c r="M977" s="11" t="n">
        <v>7</v>
      </c>
      <c r="N977" s="11"/>
      <c r="O977" s="11"/>
    </row>
    <row r="978" customFormat="false" ht="15" hidden="false" customHeight="false" outlineLevel="0" collapsed="false">
      <c r="A978" s="11" t="s">
        <v>3785</v>
      </c>
      <c r="B978" s="11" t="s">
        <v>288</v>
      </c>
      <c r="C978" s="11" t="s">
        <v>287</v>
      </c>
      <c r="D978" s="38" t="n">
        <v>46199</v>
      </c>
      <c r="E978" s="38" t="n">
        <v>46229</v>
      </c>
      <c r="F978" s="37" t="n">
        <v>5400</v>
      </c>
      <c r="G978" s="37" t="n">
        <v>1080</v>
      </c>
      <c r="H978" s="37" t="n">
        <v>6480</v>
      </c>
      <c r="I978" s="11" t="s">
        <v>283</v>
      </c>
      <c r="J978" s="11"/>
      <c r="K978" s="11" t="s">
        <v>4152</v>
      </c>
      <c r="L978" s="38" t="n">
        <v>46232</v>
      </c>
      <c r="M978" s="11" t="n">
        <v>3</v>
      </c>
      <c r="N978" s="11"/>
      <c r="O978" s="11"/>
    </row>
    <row r="979" customFormat="false" ht="15" hidden="false" customHeight="false" outlineLevel="0" collapsed="false">
      <c r="A979" s="11" t="s">
        <v>4075</v>
      </c>
      <c r="B979" s="11" t="s">
        <v>332</v>
      </c>
      <c r="C979" s="11" t="s">
        <v>331</v>
      </c>
      <c r="D979" s="38" t="n">
        <v>46199</v>
      </c>
      <c r="E979" s="38" t="n">
        <v>46244</v>
      </c>
      <c r="F979" s="37" t="n">
        <v>13260</v>
      </c>
      <c r="G979" s="37" t="n">
        <v>2652</v>
      </c>
      <c r="H979" s="37" t="n">
        <v>15912</v>
      </c>
      <c r="I979" s="11" t="s">
        <v>283</v>
      </c>
      <c r="J979" s="11"/>
      <c r="K979" s="11" t="s">
        <v>4152</v>
      </c>
      <c r="L979" s="38" t="n">
        <v>46293</v>
      </c>
      <c r="M979" s="11" t="n">
        <v>49</v>
      </c>
      <c r="N979" s="11"/>
      <c r="O979" s="11"/>
    </row>
    <row r="980" customFormat="false" ht="15" hidden="false" customHeight="false" outlineLevel="0" collapsed="false">
      <c r="A980" s="11" t="s">
        <v>3875</v>
      </c>
      <c r="B980" s="11" t="s">
        <v>281</v>
      </c>
      <c r="C980" s="11" t="s">
        <v>280</v>
      </c>
      <c r="D980" s="38" t="n">
        <v>46202</v>
      </c>
      <c r="E980" s="38" t="n">
        <v>46247</v>
      </c>
      <c r="F980" s="37" t="n">
        <v>4150</v>
      </c>
      <c r="G980" s="37" t="n">
        <v>830</v>
      </c>
      <c r="H980" s="37" t="n">
        <v>4980</v>
      </c>
      <c r="I980" s="11" t="s">
        <v>283</v>
      </c>
      <c r="J980" s="11"/>
      <c r="K980" s="11" t="s">
        <v>4152</v>
      </c>
      <c r="L980" s="38" t="n">
        <v>46247</v>
      </c>
      <c r="M980" s="11" t="n">
        <v>0</v>
      </c>
      <c r="N980" s="11"/>
      <c r="O980" s="11"/>
    </row>
    <row r="981" customFormat="false" ht="15" hidden="false" customHeight="false" outlineLevel="0" collapsed="false">
      <c r="A981" s="11" t="s">
        <v>3983</v>
      </c>
      <c r="B981" s="11" t="s">
        <v>299</v>
      </c>
      <c r="C981" s="11" t="s">
        <v>298</v>
      </c>
      <c r="D981" s="38" t="n">
        <v>46202</v>
      </c>
      <c r="E981" s="38" t="n">
        <v>46262</v>
      </c>
      <c r="F981" s="37" t="n">
        <v>17060</v>
      </c>
      <c r="G981" s="37" t="n">
        <v>0</v>
      </c>
      <c r="H981" s="37" t="n">
        <v>17060</v>
      </c>
      <c r="I981" s="11" t="s">
        <v>283</v>
      </c>
      <c r="J981" s="11"/>
      <c r="K981" s="11" t="s">
        <v>4152</v>
      </c>
      <c r="L981" s="38" t="n">
        <v>46272</v>
      </c>
      <c r="M981" s="11" t="n">
        <v>10</v>
      </c>
      <c r="N981" s="11"/>
      <c r="O981" s="11"/>
    </row>
    <row r="982" customFormat="false" ht="15" hidden="false" customHeight="false" outlineLevel="0" collapsed="false">
      <c r="A982" s="11" t="s">
        <v>3873</v>
      </c>
      <c r="B982" s="11" t="s">
        <v>281</v>
      </c>
      <c r="C982" s="11" t="s">
        <v>280</v>
      </c>
      <c r="D982" s="38" t="n">
        <v>46202</v>
      </c>
      <c r="E982" s="38" t="n">
        <v>46247</v>
      </c>
      <c r="F982" s="37" t="n">
        <v>4520</v>
      </c>
      <c r="G982" s="37" t="n">
        <v>904</v>
      </c>
      <c r="H982" s="37" t="n">
        <v>5424</v>
      </c>
      <c r="I982" s="11" t="s">
        <v>283</v>
      </c>
      <c r="J982" s="11"/>
      <c r="K982" s="11" t="s">
        <v>4152</v>
      </c>
      <c r="L982" s="38" t="n">
        <v>46247</v>
      </c>
      <c r="M982" s="11" t="n">
        <v>0</v>
      </c>
      <c r="N982" s="11"/>
      <c r="O982" s="11"/>
    </row>
    <row r="983" customFormat="false" ht="15" hidden="false" customHeight="false" outlineLevel="0" collapsed="false">
      <c r="A983" s="11" t="s">
        <v>3884</v>
      </c>
      <c r="B983" s="11" t="s">
        <v>336</v>
      </c>
      <c r="C983" s="11" t="s">
        <v>335</v>
      </c>
      <c r="D983" s="38" t="n">
        <v>46203</v>
      </c>
      <c r="E983" s="38" t="n">
        <v>46248</v>
      </c>
      <c r="F983" s="37" t="n">
        <v>1770</v>
      </c>
      <c r="G983" s="37" t="n">
        <v>354</v>
      </c>
      <c r="H983" s="37" t="n">
        <v>2124</v>
      </c>
      <c r="I983" s="11" t="s">
        <v>283</v>
      </c>
      <c r="J983" s="11"/>
      <c r="K983" s="11" t="s">
        <v>4152</v>
      </c>
      <c r="L983" s="38" t="n">
        <v>46251</v>
      </c>
      <c r="M983" s="11" t="n">
        <v>3</v>
      </c>
      <c r="N983" s="11"/>
      <c r="O983" s="11"/>
    </row>
    <row r="984" customFormat="false" ht="15" hidden="false" customHeight="false" outlineLevel="0" collapsed="false">
      <c r="A984" s="11" t="s">
        <v>3820</v>
      </c>
      <c r="B984" s="11" t="s">
        <v>288</v>
      </c>
      <c r="C984" s="11" t="s">
        <v>287</v>
      </c>
      <c r="D984" s="38" t="n">
        <v>46203</v>
      </c>
      <c r="E984" s="38" t="n">
        <v>46233</v>
      </c>
      <c r="F984" s="37" t="n">
        <v>2610</v>
      </c>
      <c r="G984" s="37" t="n">
        <v>522</v>
      </c>
      <c r="H984" s="37" t="n">
        <v>3132</v>
      </c>
      <c r="I984" s="11" t="s">
        <v>283</v>
      </c>
      <c r="J984" s="11"/>
      <c r="K984" s="11" t="s">
        <v>4152</v>
      </c>
      <c r="L984" s="38" t="n">
        <v>46237</v>
      </c>
      <c r="M984" s="11" t="n">
        <v>4</v>
      </c>
      <c r="N984" s="11"/>
      <c r="O984" s="11"/>
    </row>
    <row r="985" customFormat="false" ht="15" hidden="false" customHeight="false" outlineLevel="0" collapsed="false">
      <c r="A985" s="11" t="s">
        <v>3790</v>
      </c>
      <c r="B985" s="11" t="s">
        <v>288</v>
      </c>
      <c r="C985" s="11" t="s">
        <v>287</v>
      </c>
      <c r="D985" s="38" t="n">
        <v>46203</v>
      </c>
      <c r="E985" s="38" t="n">
        <v>46233</v>
      </c>
      <c r="F985" s="37" t="n">
        <v>2730</v>
      </c>
      <c r="G985" s="37" t="n">
        <v>546</v>
      </c>
      <c r="H985" s="37" t="n">
        <v>3276</v>
      </c>
      <c r="I985" s="11" t="s">
        <v>283</v>
      </c>
      <c r="J985" s="11"/>
      <c r="K985" s="11" t="s">
        <v>4152</v>
      </c>
      <c r="L985" s="38" t="n">
        <v>46233</v>
      </c>
      <c r="M985" s="11" t="n">
        <v>0</v>
      </c>
      <c r="N985" s="11"/>
      <c r="O985" s="11"/>
    </row>
    <row r="986" customFormat="false" ht="15" hidden="false" customHeight="false" outlineLevel="0" collapsed="false">
      <c r="A986" s="11" t="s">
        <v>3877</v>
      </c>
      <c r="B986" s="11" t="s">
        <v>281</v>
      </c>
      <c r="C986" s="11" t="s">
        <v>280</v>
      </c>
      <c r="D986" s="38" t="n">
        <v>46203</v>
      </c>
      <c r="E986" s="38" t="n">
        <v>46248</v>
      </c>
      <c r="F986" s="37" t="n">
        <v>3970</v>
      </c>
      <c r="G986" s="37" t="n">
        <v>794</v>
      </c>
      <c r="H986" s="37" t="n">
        <v>4764</v>
      </c>
      <c r="I986" s="11" t="s">
        <v>283</v>
      </c>
      <c r="J986" s="11"/>
      <c r="K986" s="11" t="s">
        <v>4152</v>
      </c>
      <c r="L986" s="38" t="n">
        <v>46248</v>
      </c>
      <c r="M986" s="11" t="n">
        <v>0</v>
      </c>
      <c r="N986" s="11"/>
      <c r="O986" s="11"/>
    </row>
    <row r="987" customFormat="false" ht="15" hidden="false" customHeight="false" outlineLevel="0" collapsed="false">
      <c r="A987" s="11" t="s">
        <v>4060</v>
      </c>
      <c r="B987" s="11" t="s">
        <v>328</v>
      </c>
      <c r="C987" s="11" t="s">
        <v>327</v>
      </c>
      <c r="D987" s="38" t="n">
        <v>46204</v>
      </c>
      <c r="E987" s="38" t="n">
        <v>46264</v>
      </c>
      <c r="F987" s="37" t="n">
        <v>29380</v>
      </c>
      <c r="G987" s="37" t="n">
        <v>5876</v>
      </c>
      <c r="H987" s="37" t="n">
        <v>35256</v>
      </c>
      <c r="I987" s="11" t="s">
        <v>283</v>
      </c>
      <c r="J987" s="11"/>
      <c r="K987" s="11" t="s">
        <v>4152</v>
      </c>
      <c r="L987" s="38" t="n">
        <v>46288</v>
      </c>
      <c r="M987" s="11" t="n">
        <v>24</v>
      </c>
      <c r="N987" s="11"/>
      <c r="O987" s="11"/>
    </row>
    <row r="988" customFormat="false" ht="15" hidden="false" customHeight="false" outlineLevel="0" collapsed="false">
      <c r="A988" s="11" t="s">
        <v>3985</v>
      </c>
      <c r="B988" s="11" t="s">
        <v>299</v>
      </c>
      <c r="C988" s="11" t="s">
        <v>298</v>
      </c>
      <c r="D988" s="38" t="n">
        <v>46204</v>
      </c>
      <c r="E988" s="38" t="n">
        <v>46264</v>
      </c>
      <c r="F988" s="37" t="n">
        <v>14080</v>
      </c>
      <c r="G988" s="37" t="n">
        <v>0</v>
      </c>
      <c r="H988" s="37" t="n">
        <v>14080</v>
      </c>
      <c r="I988" s="11" t="s">
        <v>283</v>
      </c>
      <c r="J988" s="11"/>
      <c r="K988" s="11" t="s">
        <v>4152</v>
      </c>
      <c r="L988" s="38" t="n">
        <v>46272</v>
      </c>
      <c r="M988" s="11" t="n">
        <v>8</v>
      </c>
      <c r="N988" s="11"/>
      <c r="O988" s="11"/>
    </row>
    <row r="989" customFormat="false" ht="15" hidden="false" customHeight="false" outlineLevel="0" collapsed="false">
      <c r="A989" s="11" t="s">
        <v>4056</v>
      </c>
      <c r="B989" s="11" t="s">
        <v>393</v>
      </c>
      <c r="C989" s="11" t="s">
        <v>392</v>
      </c>
      <c r="D989" s="38" t="n">
        <v>46205</v>
      </c>
      <c r="E989" s="38" t="n">
        <v>46255</v>
      </c>
      <c r="F989" s="37" t="n">
        <v>7370</v>
      </c>
      <c r="G989" s="37" t="n">
        <v>1474</v>
      </c>
      <c r="H989" s="37" t="n">
        <v>8844</v>
      </c>
      <c r="I989" s="11" t="s">
        <v>283</v>
      </c>
      <c r="J989" s="11"/>
      <c r="K989" s="11" t="s">
        <v>4152</v>
      </c>
      <c r="L989" s="38" t="n">
        <v>46287</v>
      </c>
      <c r="M989" s="11" t="n">
        <v>32</v>
      </c>
      <c r="N989" s="11"/>
      <c r="O989" s="11"/>
    </row>
    <row r="990" customFormat="false" ht="15" hidden="false" customHeight="false" outlineLevel="0" collapsed="false">
      <c r="A990" s="11" t="s">
        <v>3881</v>
      </c>
      <c r="B990" s="11" t="s">
        <v>281</v>
      </c>
      <c r="C990" s="11" t="s">
        <v>280</v>
      </c>
      <c r="D990" s="38" t="n">
        <v>46205</v>
      </c>
      <c r="E990" s="38" t="n">
        <v>46250</v>
      </c>
      <c r="F990" s="37" t="n">
        <v>6950</v>
      </c>
      <c r="G990" s="37" t="n">
        <v>1390</v>
      </c>
      <c r="H990" s="37" t="n">
        <v>8340</v>
      </c>
      <c r="I990" s="11" t="s">
        <v>283</v>
      </c>
      <c r="J990" s="11"/>
      <c r="K990" s="11" t="s">
        <v>4152</v>
      </c>
      <c r="L990" s="38" t="n">
        <v>46251</v>
      </c>
      <c r="M990" s="11" t="n">
        <v>1</v>
      </c>
      <c r="N990" s="11"/>
      <c r="O990" s="11"/>
    </row>
    <row r="991" customFormat="false" ht="15" hidden="false" customHeight="false" outlineLevel="0" collapsed="false">
      <c r="A991" s="11" t="s">
        <v>4071</v>
      </c>
      <c r="B991" s="11" t="s">
        <v>328</v>
      </c>
      <c r="C991" s="11" t="s">
        <v>327</v>
      </c>
      <c r="D991" s="38" t="n">
        <v>46206</v>
      </c>
      <c r="E991" s="38" t="n">
        <v>46266</v>
      </c>
      <c r="F991" s="37" t="n">
        <v>13030</v>
      </c>
      <c r="G991" s="37" t="n">
        <v>2606</v>
      </c>
      <c r="H991" s="37" t="n">
        <v>15636</v>
      </c>
      <c r="I991" s="11" t="s">
        <v>283</v>
      </c>
      <c r="J991" s="11"/>
      <c r="K991" s="11" t="s">
        <v>4152</v>
      </c>
      <c r="L991" s="38" t="n">
        <v>46290</v>
      </c>
      <c r="M991" s="11" t="n">
        <v>24</v>
      </c>
      <c r="N991" s="11"/>
      <c r="O991" s="11"/>
    </row>
    <row r="992" customFormat="false" ht="15" hidden="false" customHeight="false" outlineLevel="0" collapsed="false">
      <c r="A992" s="11" t="s">
        <v>3994</v>
      </c>
      <c r="B992" s="11" t="s">
        <v>332</v>
      </c>
      <c r="C992" s="11" t="s">
        <v>331</v>
      </c>
      <c r="D992" s="38" t="n">
        <v>46206</v>
      </c>
      <c r="E992" s="38" t="n">
        <v>46251</v>
      </c>
      <c r="F992" s="37" t="n">
        <v>10670</v>
      </c>
      <c r="G992" s="37" t="n">
        <v>2134</v>
      </c>
      <c r="H992" s="37" t="n">
        <v>12804</v>
      </c>
      <c r="I992" s="11" t="s">
        <v>283</v>
      </c>
      <c r="J992" s="11"/>
      <c r="K992" s="11" t="s">
        <v>4152</v>
      </c>
      <c r="L992" s="38" t="n">
        <v>46273</v>
      </c>
      <c r="M992" s="11" t="n">
        <v>22</v>
      </c>
      <c r="N992" s="11"/>
      <c r="O992" s="11"/>
    </row>
    <row r="993" customFormat="false" ht="15" hidden="false" customHeight="false" outlineLevel="0" collapsed="false">
      <c r="A993" s="11" t="s">
        <v>3911</v>
      </c>
      <c r="B993" s="11" t="s">
        <v>336</v>
      </c>
      <c r="C993" s="11" t="s">
        <v>335</v>
      </c>
      <c r="D993" s="38" t="n">
        <v>46206</v>
      </c>
      <c r="E993" s="38" t="n">
        <v>46251</v>
      </c>
      <c r="F993" s="37" t="n">
        <v>5100</v>
      </c>
      <c r="G993" s="37" t="n">
        <v>1020</v>
      </c>
      <c r="H993" s="37" t="n">
        <v>6120</v>
      </c>
      <c r="I993" s="11" t="s">
        <v>283</v>
      </c>
      <c r="J993" s="11"/>
      <c r="K993" s="11" t="s">
        <v>4152</v>
      </c>
      <c r="L993" s="38" t="n">
        <v>46259</v>
      </c>
      <c r="M993" s="11" t="n">
        <v>8</v>
      </c>
      <c r="N993" s="11"/>
      <c r="O993" s="11"/>
    </row>
    <row r="994" customFormat="false" ht="15" hidden="false" customHeight="false" outlineLevel="0" collapsed="false">
      <c r="A994" s="11" t="s">
        <v>3811</v>
      </c>
      <c r="B994" s="11" t="s">
        <v>288</v>
      </c>
      <c r="C994" s="11" t="s">
        <v>287</v>
      </c>
      <c r="D994" s="38" t="n">
        <v>46206</v>
      </c>
      <c r="E994" s="38" t="n">
        <v>46236</v>
      </c>
      <c r="F994" s="37" t="n">
        <v>3140</v>
      </c>
      <c r="G994" s="37" t="n">
        <v>628</v>
      </c>
      <c r="H994" s="37" t="n">
        <v>3768</v>
      </c>
      <c r="I994" s="11" t="s">
        <v>283</v>
      </c>
      <c r="J994" s="11"/>
      <c r="K994" s="11" t="s">
        <v>4152</v>
      </c>
      <c r="L994" s="38" t="n">
        <v>46237</v>
      </c>
      <c r="M994" s="11" t="n">
        <v>1</v>
      </c>
      <c r="N994" s="11"/>
      <c r="O994" s="11"/>
    </row>
    <row r="995" customFormat="false" ht="15" hidden="false" customHeight="false" outlineLevel="0" collapsed="false">
      <c r="A995" s="11" t="s">
        <v>4000</v>
      </c>
      <c r="B995" s="11" t="s">
        <v>288</v>
      </c>
      <c r="C995" s="11" t="s">
        <v>287</v>
      </c>
      <c r="D995" s="38" t="n">
        <v>46210</v>
      </c>
      <c r="E995" s="38" t="n">
        <v>46240</v>
      </c>
      <c r="F995" s="37" t="n">
        <v>3030</v>
      </c>
      <c r="G995" s="37" t="n">
        <v>606</v>
      </c>
      <c r="H995" s="37" t="n">
        <v>3636</v>
      </c>
      <c r="I995" s="11" t="s">
        <v>283</v>
      </c>
      <c r="J995" s="11"/>
      <c r="K995" s="11" t="s">
        <v>4152</v>
      </c>
      <c r="L995" s="38" t="n">
        <v>46274</v>
      </c>
      <c r="M995" s="11" t="n">
        <v>34</v>
      </c>
      <c r="N995" s="11"/>
      <c r="O995" s="11"/>
    </row>
    <row r="996" customFormat="false" ht="15" hidden="false" customHeight="false" outlineLevel="0" collapsed="false">
      <c r="A996" s="11" t="s">
        <v>3901</v>
      </c>
      <c r="B996" s="11" t="s">
        <v>281</v>
      </c>
      <c r="C996" s="11" t="s">
        <v>280</v>
      </c>
      <c r="D996" s="38" t="n">
        <v>46211</v>
      </c>
      <c r="E996" s="38" t="n">
        <v>46256</v>
      </c>
      <c r="F996" s="37" t="n">
        <v>11540</v>
      </c>
      <c r="G996" s="37" t="n">
        <v>2308</v>
      </c>
      <c r="H996" s="37" t="n">
        <v>13848</v>
      </c>
      <c r="I996" s="11" t="s">
        <v>283</v>
      </c>
      <c r="J996" s="11"/>
      <c r="K996" s="11" t="s">
        <v>4152</v>
      </c>
      <c r="L996" s="38" t="n">
        <v>46258</v>
      </c>
      <c r="M996" s="11" t="n">
        <v>2</v>
      </c>
      <c r="N996" s="11"/>
      <c r="O996" s="11"/>
    </row>
    <row r="997" customFormat="false" ht="15" hidden="false" customHeight="false" outlineLevel="0" collapsed="false">
      <c r="A997" s="11" t="s">
        <v>3893</v>
      </c>
      <c r="B997" s="11" t="s">
        <v>324</v>
      </c>
      <c r="C997" s="11" t="s">
        <v>323</v>
      </c>
      <c r="D997" s="38" t="n">
        <v>46212</v>
      </c>
      <c r="E997" s="38" t="n">
        <v>46242</v>
      </c>
      <c r="F997" s="37" t="n">
        <v>7980</v>
      </c>
      <c r="G997" s="37" t="n">
        <v>1596</v>
      </c>
      <c r="H997" s="37" t="n">
        <v>9576</v>
      </c>
      <c r="I997" s="11" t="s">
        <v>283</v>
      </c>
      <c r="J997" s="11"/>
      <c r="K997" s="11" t="s">
        <v>4152</v>
      </c>
      <c r="L997" s="38" t="n">
        <v>46255</v>
      </c>
      <c r="M997" s="11" t="n">
        <v>13</v>
      </c>
      <c r="N997" s="11"/>
      <c r="O997" s="11"/>
    </row>
    <row r="998" customFormat="false" ht="15" hidden="false" customHeight="false" outlineLevel="0" collapsed="false">
      <c r="A998" s="11" t="s">
        <v>3909</v>
      </c>
      <c r="B998" s="11" t="s">
        <v>336</v>
      </c>
      <c r="C998" s="11" t="s">
        <v>335</v>
      </c>
      <c r="D998" s="38" t="n">
        <v>46212</v>
      </c>
      <c r="E998" s="38" t="n">
        <v>46257</v>
      </c>
      <c r="F998" s="37" t="n">
        <v>7600</v>
      </c>
      <c r="G998" s="37" t="n">
        <v>1520</v>
      </c>
      <c r="H998" s="37" t="n">
        <v>9120</v>
      </c>
      <c r="I998" s="11" t="s">
        <v>283</v>
      </c>
      <c r="J998" s="11"/>
      <c r="K998" s="11" t="s">
        <v>4152</v>
      </c>
      <c r="L998" s="38" t="n">
        <v>46259</v>
      </c>
      <c r="M998" s="11" t="n">
        <v>2</v>
      </c>
      <c r="N998" s="11"/>
      <c r="O998" s="11"/>
    </row>
    <row r="999" customFormat="false" ht="15" hidden="false" customHeight="false" outlineLevel="0" collapsed="false">
      <c r="A999" s="11" t="s">
        <v>4021</v>
      </c>
      <c r="B999" s="11" t="s">
        <v>336</v>
      </c>
      <c r="C999" s="11" t="s">
        <v>335</v>
      </c>
      <c r="D999" s="38" t="n">
        <v>46212</v>
      </c>
      <c r="E999" s="38" t="n">
        <v>46257</v>
      </c>
      <c r="F999" s="37" t="n">
        <v>3960</v>
      </c>
      <c r="G999" s="37" t="n">
        <v>792</v>
      </c>
      <c r="H999" s="37" t="n">
        <v>4752</v>
      </c>
      <c r="I999" s="11" t="s">
        <v>283</v>
      </c>
      <c r="J999" s="11"/>
      <c r="K999" s="11" t="s">
        <v>4152</v>
      </c>
      <c r="L999" s="38" t="n">
        <v>46279</v>
      </c>
      <c r="M999" s="11" t="n">
        <v>22</v>
      </c>
      <c r="N999" s="11"/>
      <c r="O999" s="11"/>
    </row>
    <row r="1000" customFormat="false" ht="15" hidden="false" customHeight="false" outlineLevel="0" collapsed="false">
      <c r="A1000" s="11" t="s">
        <v>4035</v>
      </c>
      <c r="B1000" s="11" t="s">
        <v>350</v>
      </c>
      <c r="C1000" s="11" t="s">
        <v>349</v>
      </c>
      <c r="D1000" s="38" t="n">
        <v>46213</v>
      </c>
      <c r="E1000" s="38" t="n">
        <v>46273</v>
      </c>
      <c r="F1000" s="37" t="n">
        <v>20630</v>
      </c>
      <c r="G1000" s="37" t="n">
        <v>4126</v>
      </c>
      <c r="H1000" s="37" t="n">
        <v>24756</v>
      </c>
      <c r="I1000" s="11" t="s">
        <v>283</v>
      </c>
      <c r="J1000" s="11"/>
      <c r="K1000" s="11" t="s">
        <v>4152</v>
      </c>
      <c r="L1000" s="38" t="n">
        <v>46281</v>
      </c>
      <c r="M1000" s="11" t="n">
        <v>8</v>
      </c>
      <c r="N1000" s="11"/>
      <c r="O1000" s="11"/>
    </row>
    <row r="1001" customFormat="false" ht="15" hidden="false" customHeight="false" outlineLevel="0" collapsed="false">
      <c r="A1001" s="11" t="s">
        <v>3926</v>
      </c>
      <c r="B1001" s="11" t="s">
        <v>281</v>
      </c>
      <c r="C1001" s="11" t="s">
        <v>280</v>
      </c>
      <c r="D1001" s="38" t="n">
        <v>46216</v>
      </c>
      <c r="E1001" s="38" t="n">
        <v>46261</v>
      </c>
      <c r="F1001" s="37" t="n">
        <v>3820</v>
      </c>
      <c r="G1001" s="37" t="n">
        <v>764</v>
      </c>
      <c r="H1001" s="37" t="n">
        <v>4584</v>
      </c>
      <c r="I1001" s="11" t="s">
        <v>283</v>
      </c>
      <c r="J1001" s="11"/>
      <c r="K1001" s="11" t="s">
        <v>4152</v>
      </c>
      <c r="L1001" s="38" t="n">
        <v>46261</v>
      </c>
      <c r="M1001" s="11" t="n">
        <v>0</v>
      </c>
      <c r="N1001" s="11"/>
      <c r="O1001" s="11"/>
    </row>
    <row r="1002" customFormat="false" ht="15" hidden="false" customHeight="false" outlineLevel="0" collapsed="false">
      <c r="A1002" s="11" t="s">
        <v>4063</v>
      </c>
      <c r="B1002" s="11" t="s">
        <v>350</v>
      </c>
      <c r="C1002" s="11" t="s">
        <v>349</v>
      </c>
      <c r="D1002" s="38" t="n">
        <v>46216</v>
      </c>
      <c r="E1002" s="38" t="n">
        <v>46276</v>
      </c>
      <c r="F1002" s="37" t="n">
        <v>9010</v>
      </c>
      <c r="G1002" s="37" t="n">
        <v>1802</v>
      </c>
      <c r="H1002" s="37" t="n">
        <v>10812</v>
      </c>
      <c r="I1002" s="11" t="s">
        <v>283</v>
      </c>
      <c r="J1002" s="11"/>
      <c r="K1002" s="11" t="s">
        <v>4152</v>
      </c>
      <c r="L1002" s="38" t="n">
        <v>46289</v>
      </c>
      <c r="M1002" s="11" t="n">
        <v>13</v>
      </c>
      <c r="N1002" s="11"/>
      <c r="O1002" s="11"/>
    </row>
    <row r="1003" customFormat="false" ht="15" hidden="false" customHeight="false" outlineLevel="0" collapsed="false">
      <c r="A1003" s="11" t="s">
        <v>4092</v>
      </c>
      <c r="B1003" s="11" t="s">
        <v>393</v>
      </c>
      <c r="C1003" s="11" t="s">
        <v>392</v>
      </c>
      <c r="D1003" s="38" t="n">
        <v>46216</v>
      </c>
      <c r="E1003" s="38" t="n">
        <v>46266</v>
      </c>
      <c r="F1003" s="37" t="n">
        <v>15570</v>
      </c>
      <c r="G1003" s="37" t="n">
        <v>3114</v>
      </c>
      <c r="H1003" s="37" t="n">
        <v>18684</v>
      </c>
      <c r="I1003" s="11" t="s">
        <v>283</v>
      </c>
      <c r="J1003" s="11"/>
      <c r="K1003" s="11" t="s">
        <v>4152</v>
      </c>
      <c r="L1003" s="38" t="n">
        <v>46295</v>
      </c>
      <c r="M1003" s="11" t="n">
        <v>29</v>
      </c>
      <c r="N1003" s="11"/>
      <c r="O1003" s="11"/>
    </row>
    <row r="1004" customFormat="false" ht="15" hidden="false" customHeight="false" outlineLevel="0" collapsed="false">
      <c r="A1004" s="11" t="s">
        <v>3928</v>
      </c>
      <c r="B1004" s="11" t="s">
        <v>281</v>
      </c>
      <c r="C1004" s="11" t="s">
        <v>280</v>
      </c>
      <c r="D1004" s="38" t="n">
        <v>46216</v>
      </c>
      <c r="E1004" s="38" t="n">
        <v>46261</v>
      </c>
      <c r="F1004" s="37" t="n">
        <v>8900</v>
      </c>
      <c r="G1004" s="37" t="n">
        <v>1780</v>
      </c>
      <c r="H1004" s="37" t="n">
        <v>10680</v>
      </c>
      <c r="I1004" s="11" t="s">
        <v>283</v>
      </c>
      <c r="J1004" s="11"/>
      <c r="K1004" s="11" t="s">
        <v>4152</v>
      </c>
      <c r="L1004" s="38" t="n">
        <v>46261</v>
      </c>
      <c r="M1004" s="11" t="n">
        <v>0</v>
      </c>
      <c r="N1004" s="11"/>
      <c r="O1004" s="11"/>
    </row>
    <row r="1005" customFormat="false" ht="15" hidden="false" customHeight="false" outlineLevel="0" collapsed="false">
      <c r="A1005" s="11" t="s">
        <v>3940</v>
      </c>
      <c r="B1005" s="11" t="s">
        <v>281</v>
      </c>
      <c r="C1005" s="11" t="s">
        <v>280</v>
      </c>
      <c r="D1005" s="38" t="n">
        <v>46218</v>
      </c>
      <c r="E1005" s="38" t="n">
        <v>46263</v>
      </c>
      <c r="F1005" s="37" t="n">
        <v>6910</v>
      </c>
      <c r="G1005" s="37" t="n">
        <v>1382</v>
      </c>
      <c r="H1005" s="37" t="n">
        <v>8292</v>
      </c>
      <c r="I1005" s="11" t="s">
        <v>283</v>
      </c>
      <c r="J1005" s="11"/>
      <c r="K1005" s="11" t="s">
        <v>4152</v>
      </c>
      <c r="L1005" s="38" t="n">
        <v>46265</v>
      </c>
      <c r="M1005" s="11" t="n">
        <v>2</v>
      </c>
      <c r="N1005" s="11"/>
      <c r="O1005" s="11"/>
    </row>
    <row r="1006" customFormat="false" ht="15" hidden="false" customHeight="false" outlineLevel="0" collapsed="false">
      <c r="A1006" s="11" t="s">
        <v>4029</v>
      </c>
      <c r="B1006" s="11" t="s">
        <v>299</v>
      </c>
      <c r="C1006" s="11" t="s">
        <v>298</v>
      </c>
      <c r="D1006" s="38" t="n">
        <v>46219</v>
      </c>
      <c r="E1006" s="38" t="n">
        <v>46279</v>
      </c>
      <c r="F1006" s="37" t="n">
        <v>10920</v>
      </c>
      <c r="G1006" s="37" t="n">
        <v>0</v>
      </c>
      <c r="H1006" s="37" t="n">
        <v>10920</v>
      </c>
      <c r="I1006" s="11" t="s">
        <v>283</v>
      </c>
      <c r="J1006" s="11"/>
      <c r="K1006" s="11" t="s">
        <v>4152</v>
      </c>
      <c r="L1006" s="38" t="n">
        <v>46280</v>
      </c>
      <c r="M1006" s="11" t="n">
        <v>1</v>
      </c>
      <c r="N1006" s="11"/>
      <c r="O1006" s="11"/>
    </row>
    <row r="1007" customFormat="false" ht="15" hidden="false" customHeight="false" outlineLevel="0" collapsed="false">
      <c r="A1007" s="11" t="s">
        <v>3942</v>
      </c>
      <c r="B1007" s="11" t="s">
        <v>336</v>
      </c>
      <c r="C1007" s="11" t="s">
        <v>335</v>
      </c>
      <c r="D1007" s="38" t="n">
        <v>46219</v>
      </c>
      <c r="E1007" s="38" t="n">
        <v>46264</v>
      </c>
      <c r="F1007" s="37" t="n">
        <v>5100</v>
      </c>
      <c r="G1007" s="37" t="n">
        <v>1020</v>
      </c>
      <c r="H1007" s="37" t="n">
        <v>6120</v>
      </c>
      <c r="I1007" s="11" t="s">
        <v>283</v>
      </c>
      <c r="J1007" s="11"/>
      <c r="K1007" s="11" t="s">
        <v>4152</v>
      </c>
      <c r="L1007" s="38" t="n">
        <v>46265</v>
      </c>
      <c r="M1007" s="11" t="n">
        <v>1</v>
      </c>
      <c r="N1007" s="11"/>
      <c r="O1007" s="11"/>
    </row>
    <row r="1008" customFormat="false" ht="15" hidden="false" customHeight="false" outlineLevel="0" collapsed="false">
      <c r="A1008" s="11" t="s">
        <v>4089</v>
      </c>
      <c r="B1008" s="11" t="s">
        <v>332</v>
      </c>
      <c r="C1008" s="11" t="s">
        <v>331</v>
      </c>
      <c r="D1008" s="38" t="n">
        <v>46220</v>
      </c>
      <c r="E1008" s="38" t="n">
        <v>46265</v>
      </c>
      <c r="F1008" s="37" t="n">
        <v>13910</v>
      </c>
      <c r="G1008" s="37" t="n">
        <v>2782</v>
      </c>
      <c r="H1008" s="37" t="n">
        <v>16692</v>
      </c>
      <c r="I1008" s="11" t="s">
        <v>283</v>
      </c>
      <c r="J1008" s="11"/>
      <c r="K1008" s="11" t="s">
        <v>4152</v>
      </c>
      <c r="L1008" s="38" t="n">
        <v>46294</v>
      </c>
      <c r="M1008" s="11" t="n">
        <v>29</v>
      </c>
      <c r="N1008" s="11"/>
      <c r="O1008" s="11"/>
    </row>
    <row r="1009" customFormat="false" ht="15" hidden="false" customHeight="false" outlineLevel="0" collapsed="false">
      <c r="A1009" s="11" t="s">
        <v>4069</v>
      </c>
      <c r="B1009" s="11" t="s">
        <v>332</v>
      </c>
      <c r="C1009" s="11" t="s">
        <v>331</v>
      </c>
      <c r="D1009" s="38" t="n">
        <v>46220</v>
      </c>
      <c r="E1009" s="38" t="n">
        <v>46265</v>
      </c>
      <c r="F1009" s="37" t="n">
        <v>8430</v>
      </c>
      <c r="G1009" s="37" t="n">
        <v>1686</v>
      </c>
      <c r="H1009" s="37" t="n">
        <v>10116</v>
      </c>
      <c r="I1009" s="11" t="s">
        <v>283</v>
      </c>
      <c r="J1009" s="11"/>
      <c r="K1009" s="11" t="s">
        <v>4152</v>
      </c>
      <c r="L1009" s="38" t="n">
        <v>46290</v>
      </c>
      <c r="M1009" s="11" t="n">
        <v>25</v>
      </c>
      <c r="N1009" s="11"/>
      <c r="O1009" s="11"/>
    </row>
    <row r="1010" customFormat="false" ht="15" hidden="false" customHeight="false" outlineLevel="0" collapsed="false">
      <c r="A1010" s="11" t="s">
        <v>4052</v>
      </c>
      <c r="B1010" s="11" t="s">
        <v>350</v>
      </c>
      <c r="C1010" s="11" t="s">
        <v>349</v>
      </c>
      <c r="D1010" s="38" t="n">
        <v>46220</v>
      </c>
      <c r="E1010" s="38" t="n">
        <v>46280</v>
      </c>
      <c r="F1010" s="37" t="n">
        <v>14110</v>
      </c>
      <c r="G1010" s="37" t="n">
        <v>2822</v>
      </c>
      <c r="H1010" s="37" t="n">
        <v>16932</v>
      </c>
      <c r="I1010" s="11" t="s">
        <v>283</v>
      </c>
      <c r="J1010" s="11"/>
      <c r="K1010" s="11" t="s">
        <v>4152</v>
      </c>
      <c r="L1010" s="38" t="n">
        <v>46287</v>
      </c>
      <c r="M1010" s="11" t="n">
        <v>7</v>
      </c>
      <c r="N1010" s="11"/>
      <c r="O1010" s="11"/>
    </row>
    <row r="1011" customFormat="false" ht="15" hidden="false" customHeight="false" outlineLevel="0" collapsed="false">
      <c r="A1011" s="11" t="s">
        <v>3961</v>
      </c>
      <c r="B1011" s="11" t="s">
        <v>336</v>
      </c>
      <c r="C1011" s="11" t="s">
        <v>335</v>
      </c>
      <c r="D1011" s="38" t="n">
        <v>46220</v>
      </c>
      <c r="E1011" s="38" t="n">
        <v>46265</v>
      </c>
      <c r="F1011" s="37" t="n">
        <v>8570</v>
      </c>
      <c r="G1011" s="37" t="n">
        <v>1714</v>
      </c>
      <c r="H1011" s="37" t="n">
        <v>10284</v>
      </c>
      <c r="I1011" s="11" t="s">
        <v>283</v>
      </c>
      <c r="J1011" s="11"/>
      <c r="K1011" s="11" t="s">
        <v>4152</v>
      </c>
      <c r="L1011" s="38" t="n">
        <v>46268</v>
      </c>
      <c r="M1011" s="11" t="n">
        <v>3</v>
      </c>
      <c r="N1011" s="11"/>
      <c r="O1011" s="11"/>
    </row>
    <row r="1012" customFormat="false" ht="15" hidden="false" customHeight="false" outlineLevel="0" collapsed="false">
      <c r="A1012" s="11" t="s">
        <v>3897</v>
      </c>
      <c r="B1012" s="11" t="s">
        <v>288</v>
      </c>
      <c r="C1012" s="11" t="s">
        <v>287</v>
      </c>
      <c r="D1012" s="38" t="n">
        <v>46220</v>
      </c>
      <c r="E1012" s="38" t="n">
        <v>46250</v>
      </c>
      <c r="F1012" s="37" t="n">
        <v>5940</v>
      </c>
      <c r="G1012" s="37" t="n">
        <v>1188</v>
      </c>
      <c r="H1012" s="37" t="n">
        <v>7128</v>
      </c>
      <c r="I1012" s="11" t="s">
        <v>283</v>
      </c>
      <c r="J1012" s="11"/>
      <c r="K1012" s="11" t="s">
        <v>4152</v>
      </c>
      <c r="L1012" s="38" t="n">
        <v>46258</v>
      </c>
      <c r="M1012" s="11" t="n">
        <v>8</v>
      </c>
      <c r="N1012" s="11"/>
      <c r="O1012" s="11"/>
    </row>
    <row r="1013" customFormat="false" ht="15" hidden="false" customHeight="false" outlineLevel="0" collapsed="false">
      <c r="A1013" s="11" t="s">
        <v>4006</v>
      </c>
      <c r="B1013" s="11" t="s">
        <v>336</v>
      </c>
      <c r="C1013" s="11" t="s">
        <v>335</v>
      </c>
      <c r="D1013" s="38" t="n">
        <v>46223</v>
      </c>
      <c r="E1013" s="38" t="n">
        <v>46268</v>
      </c>
      <c r="F1013" s="37" t="n">
        <v>6150</v>
      </c>
      <c r="G1013" s="37" t="n">
        <v>1230</v>
      </c>
      <c r="H1013" s="37" t="n">
        <v>7380</v>
      </c>
      <c r="I1013" s="11" t="s">
        <v>283</v>
      </c>
      <c r="J1013" s="11"/>
      <c r="K1013" s="11" t="s">
        <v>4152</v>
      </c>
      <c r="L1013" s="38" t="n">
        <v>46275</v>
      </c>
      <c r="M1013" s="11" t="n">
        <v>7</v>
      </c>
      <c r="N1013" s="11"/>
      <c r="O1013" s="11"/>
    </row>
    <row r="1014" customFormat="false" ht="15" hidden="false" customHeight="false" outlineLevel="0" collapsed="false">
      <c r="A1014" s="11" t="s">
        <v>364</v>
      </c>
      <c r="B1014" s="11" t="s">
        <v>332</v>
      </c>
      <c r="C1014" s="11" t="s">
        <v>331</v>
      </c>
      <c r="D1014" s="38" t="n">
        <v>46223</v>
      </c>
      <c r="E1014" s="38" t="n">
        <v>46268</v>
      </c>
      <c r="F1014" s="37" t="n">
        <v>12860</v>
      </c>
      <c r="G1014" s="37" t="n">
        <v>2572</v>
      </c>
      <c r="H1014" s="37" t="n">
        <v>15432</v>
      </c>
      <c r="I1014" s="11" t="s">
        <v>283</v>
      </c>
      <c r="J1014" s="11"/>
      <c r="K1014" s="11" t="s">
        <v>365</v>
      </c>
      <c r="L1014" s="38"/>
      <c r="M1014" s="11"/>
      <c r="N1014" s="11" t="n">
        <v>36</v>
      </c>
      <c r="O1014" s="11" t="s">
        <v>4222</v>
      </c>
    </row>
    <row r="1015" customFormat="false" ht="15" hidden="false" customHeight="false" outlineLevel="0" collapsed="false">
      <c r="A1015" s="11" t="s">
        <v>3967</v>
      </c>
      <c r="B1015" s="11" t="s">
        <v>281</v>
      </c>
      <c r="C1015" s="11" t="s">
        <v>280</v>
      </c>
      <c r="D1015" s="38" t="n">
        <v>46223</v>
      </c>
      <c r="E1015" s="38" t="n">
        <v>46268</v>
      </c>
      <c r="F1015" s="37" t="n">
        <v>6620</v>
      </c>
      <c r="G1015" s="37" t="n">
        <v>1324</v>
      </c>
      <c r="H1015" s="37" t="n">
        <v>7944</v>
      </c>
      <c r="I1015" s="11" t="s">
        <v>283</v>
      </c>
      <c r="J1015" s="11"/>
      <c r="K1015" s="11" t="s">
        <v>4152</v>
      </c>
      <c r="L1015" s="38" t="n">
        <v>46268</v>
      </c>
      <c r="M1015" s="11" t="n">
        <v>0</v>
      </c>
      <c r="N1015" s="11"/>
      <c r="O1015" s="11"/>
    </row>
    <row r="1016" customFormat="false" ht="15" hidden="false" customHeight="false" outlineLevel="0" collapsed="false">
      <c r="A1016" s="11" t="s">
        <v>326</v>
      </c>
      <c r="B1016" s="11" t="s">
        <v>328</v>
      </c>
      <c r="C1016" s="11" t="s">
        <v>327</v>
      </c>
      <c r="D1016" s="38" t="n">
        <v>46223</v>
      </c>
      <c r="E1016" s="38" t="n">
        <v>46283</v>
      </c>
      <c r="F1016" s="37" t="n">
        <v>12390</v>
      </c>
      <c r="G1016" s="37" t="n">
        <v>2478</v>
      </c>
      <c r="H1016" s="37" t="n">
        <v>14868</v>
      </c>
      <c r="I1016" s="11" t="s">
        <v>283</v>
      </c>
      <c r="J1016" s="11"/>
      <c r="K1016" s="11" t="s">
        <v>282</v>
      </c>
      <c r="L1016" s="38"/>
      <c r="M1016" s="11"/>
      <c r="N1016" s="11" t="n">
        <v>21</v>
      </c>
      <c r="O1016" s="11"/>
    </row>
    <row r="1017" customFormat="false" ht="15" hidden="false" customHeight="false" outlineLevel="0" collapsed="false">
      <c r="A1017" s="11" t="s">
        <v>4058</v>
      </c>
      <c r="B1017" s="11" t="s">
        <v>328</v>
      </c>
      <c r="C1017" s="11" t="s">
        <v>327</v>
      </c>
      <c r="D1017" s="38" t="n">
        <v>46224</v>
      </c>
      <c r="E1017" s="38" t="n">
        <v>46284</v>
      </c>
      <c r="F1017" s="37" t="n">
        <v>29600</v>
      </c>
      <c r="G1017" s="37" t="n">
        <v>5920</v>
      </c>
      <c r="H1017" s="37" t="n">
        <v>35520</v>
      </c>
      <c r="I1017" s="11" t="s">
        <v>283</v>
      </c>
      <c r="J1017" s="11"/>
      <c r="K1017" s="11" t="s">
        <v>4152</v>
      </c>
      <c r="L1017" s="38" t="n">
        <v>46288</v>
      </c>
      <c r="M1017" s="11" t="n">
        <v>4</v>
      </c>
      <c r="N1017" s="11"/>
      <c r="O1017" s="11"/>
    </row>
    <row r="1018" customFormat="false" ht="15" hidden="false" customHeight="false" outlineLevel="0" collapsed="false">
      <c r="A1018" s="11" t="s">
        <v>3973</v>
      </c>
      <c r="B1018" s="11" t="s">
        <v>281</v>
      </c>
      <c r="C1018" s="11" t="s">
        <v>280</v>
      </c>
      <c r="D1018" s="38" t="n">
        <v>46224</v>
      </c>
      <c r="E1018" s="38" t="n">
        <v>46269</v>
      </c>
      <c r="F1018" s="37" t="n">
        <v>5400</v>
      </c>
      <c r="G1018" s="37" t="n">
        <v>1080</v>
      </c>
      <c r="H1018" s="37" t="n">
        <v>6480</v>
      </c>
      <c r="I1018" s="11" t="s">
        <v>283</v>
      </c>
      <c r="J1018" s="11"/>
      <c r="K1018" s="11" t="s">
        <v>4152</v>
      </c>
      <c r="L1018" s="38" t="n">
        <v>46269</v>
      </c>
      <c r="M1018" s="11" t="n">
        <v>0</v>
      </c>
      <c r="N1018" s="11"/>
      <c r="O1018" s="11"/>
    </row>
    <row r="1019" customFormat="false" ht="15" hidden="false" customHeight="false" outlineLevel="0" collapsed="false">
      <c r="A1019" s="11" t="s">
        <v>4027</v>
      </c>
      <c r="B1019" s="11" t="s">
        <v>336</v>
      </c>
      <c r="C1019" s="11" t="s">
        <v>335</v>
      </c>
      <c r="D1019" s="38" t="n">
        <v>46225</v>
      </c>
      <c r="E1019" s="38" t="n">
        <v>46270</v>
      </c>
      <c r="F1019" s="37" t="n">
        <v>6630</v>
      </c>
      <c r="G1019" s="37" t="n">
        <v>1326</v>
      </c>
      <c r="H1019" s="37" t="n">
        <v>7956</v>
      </c>
      <c r="I1019" s="11" t="s">
        <v>283</v>
      </c>
      <c r="J1019" s="11"/>
      <c r="K1019" s="11" t="s">
        <v>4152</v>
      </c>
      <c r="L1019" s="38" t="n">
        <v>46279</v>
      </c>
      <c r="M1019" s="11" t="n">
        <v>9</v>
      </c>
      <c r="N1019" s="11"/>
      <c r="O1019" s="11"/>
    </row>
    <row r="1020" customFormat="false" ht="15" hidden="false" customHeight="false" outlineLevel="0" collapsed="false">
      <c r="A1020" s="11" t="s">
        <v>3988</v>
      </c>
      <c r="B1020" s="11" t="s">
        <v>281</v>
      </c>
      <c r="C1020" s="11" t="s">
        <v>280</v>
      </c>
      <c r="D1020" s="38" t="n">
        <v>46226</v>
      </c>
      <c r="E1020" s="38" t="n">
        <v>46271</v>
      </c>
      <c r="F1020" s="37" t="n">
        <v>10540</v>
      </c>
      <c r="G1020" s="37" t="n">
        <v>2108</v>
      </c>
      <c r="H1020" s="37" t="n">
        <v>12648</v>
      </c>
      <c r="I1020" s="11" t="s">
        <v>283</v>
      </c>
      <c r="J1020" s="11"/>
      <c r="K1020" s="11" t="s">
        <v>4152</v>
      </c>
      <c r="L1020" s="38" t="n">
        <v>46272</v>
      </c>
      <c r="M1020" s="11" t="n">
        <v>1</v>
      </c>
      <c r="N1020" s="11"/>
      <c r="O1020" s="11"/>
    </row>
    <row r="1021" customFormat="false" ht="15" hidden="false" customHeight="false" outlineLevel="0" collapsed="false">
      <c r="A1021" s="11" t="s">
        <v>4048</v>
      </c>
      <c r="B1021" s="11" t="s">
        <v>336</v>
      </c>
      <c r="C1021" s="11" t="s">
        <v>335</v>
      </c>
      <c r="D1021" s="38" t="n">
        <v>46227</v>
      </c>
      <c r="E1021" s="38" t="n">
        <v>46272</v>
      </c>
      <c r="F1021" s="37" t="n">
        <v>8510</v>
      </c>
      <c r="G1021" s="37" t="n">
        <v>1702</v>
      </c>
      <c r="H1021" s="37" t="n">
        <v>10212</v>
      </c>
      <c r="I1021" s="11" t="s">
        <v>283</v>
      </c>
      <c r="J1021" s="11"/>
      <c r="K1021" s="11" t="s">
        <v>4152</v>
      </c>
      <c r="L1021" s="38" t="n">
        <v>46286</v>
      </c>
      <c r="M1021" s="11" t="n">
        <v>14</v>
      </c>
      <c r="N1021" s="11"/>
      <c r="O1021" s="11"/>
    </row>
    <row r="1022" customFormat="false" ht="15" hidden="false" customHeight="false" outlineLevel="0" collapsed="false">
      <c r="A1022" s="11" t="s">
        <v>3992</v>
      </c>
      <c r="B1022" s="11" t="s">
        <v>400</v>
      </c>
      <c r="C1022" s="11" t="s">
        <v>399</v>
      </c>
      <c r="D1022" s="38" t="n">
        <v>46227</v>
      </c>
      <c r="E1022" s="38" t="n">
        <v>46257</v>
      </c>
      <c r="F1022" s="37" t="n">
        <v>12230</v>
      </c>
      <c r="G1022" s="37" t="n">
        <v>2446</v>
      </c>
      <c r="H1022" s="37" t="n">
        <v>14676</v>
      </c>
      <c r="I1022" s="11" t="s">
        <v>283</v>
      </c>
      <c r="J1022" s="11"/>
      <c r="K1022" s="11" t="s">
        <v>4152</v>
      </c>
      <c r="L1022" s="38" t="n">
        <v>46273</v>
      </c>
      <c r="M1022" s="11" t="n">
        <v>16</v>
      </c>
      <c r="N1022" s="11"/>
      <c r="O1022" s="11"/>
    </row>
    <row r="1023" customFormat="false" ht="15" hidden="false" customHeight="false" outlineLevel="0" collapsed="false">
      <c r="A1023" s="11" t="s">
        <v>3979</v>
      </c>
      <c r="B1023" s="11" t="s">
        <v>324</v>
      </c>
      <c r="C1023" s="11" t="s">
        <v>323</v>
      </c>
      <c r="D1023" s="38" t="n">
        <v>46227</v>
      </c>
      <c r="E1023" s="38" t="n">
        <v>46257</v>
      </c>
      <c r="F1023" s="37" t="n">
        <v>8890</v>
      </c>
      <c r="G1023" s="37" t="n">
        <v>1778</v>
      </c>
      <c r="H1023" s="37" t="n">
        <v>10668</v>
      </c>
      <c r="I1023" s="11" t="s">
        <v>283</v>
      </c>
      <c r="J1023" s="11"/>
      <c r="K1023" s="11" t="s">
        <v>4152</v>
      </c>
      <c r="L1023" s="38" t="n">
        <v>46272</v>
      </c>
      <c r="M1023" s="11" t="n">
        <v>15</v>
      </c>
      <c r="N1023" s="11"/>
      <c r="O1023" s="11"/>
    </row>
    <row r="1024" customFormat="false" ht="15" hidden="false" customHeight="false" outlineLevel="0" collapsed="false">
      <c r="A1024" s="11" t="s">
        <v>4050</v>
      </c>
      <c r="B1024" s="11" t="s">
        <v>299</v>
      </c>
      <c r="C1024" s="11" t="s">
        <v>298</v>
      </c>
      <c r="D1024" s="38" t="n">
        <v>46227</v>
      </c>
      <c r="E1024" s="38" t="n">
        <v>46287</v>
      </c>
      <c r="F1024" s="37" t="n">
        <v>9410</v>
      </c>
      <c r="G1024" s="37" t="n">
        <v>0</v>
      </c>
      <c r="H1024" s="37" t="n">
        <v>9410</v>
      </c>
      <c r="I1024" s="11" t="s">
        <v>283</v>
      </c>
      <c r="J1024" s="11"/>
      <c r="K1024" s="11" t="s">
        <v>4152</v>
      </c>
      <c r="L1024" s="38" t="n">
        <v>46286</v>
      </c>
      <c r="M1024" s="11" t="n">
        <v>-1</v>
      </c>
      <c r="N1024" s="11"/>
      <c r="O1024" s="11"/>
    </row>
    <row r="1025" customFormat="false" ht="15" hidden="false" customHeight="false" outlineLevel="0" collapsed="false">
      <c r="A1025" s="11" t="s">
        <v>3981</v>
      </c>
      <c r="B1025" s="11" t="s">
        <v>281</v>
      </c>
      <c r="C1025" s="11" t="s">
        <v>280</v>
      </c>
      <c r="D1025" s="38" t="n">
        <v>46227</v>
      </c>
      <c r="E1025" s="38" t="n">
        <v>46272</v>
      </c>
      <c r="F1025" s="37" t="n">
        <v>4190</v>
      </c>
      <c r="G1025" s="37" t="n">
        <v>838</v>
      </c>
      <c r="H1025" s="37" t="n">
        <v>5028</v>
      </c>
      <c r="I1025" s="11" t="s">
        <v>283</v>
      </c>
      <c r="J1025" s="11"/>
      <c r="K1025" s="11" t="s">
        <v>4152</v>
      </c>
      <c r="L1025" s="38" t="n">
        <v>46272</v>
      </c>
      <c r="M1025" s="11" t="n">
        <v>0</v>
      </c>
      <c r="N1025" s="11"/>
      <c r="O1025" s="11"/>
    </row>
    <row r="1026" customFormat="false" ht="15" hidden="false" customHeight="false" outlineLevel="0" collapsed="false">
      <c r="A1026" s="11" t="s">
        <v>3924</v>
      </c>
      <c r="B1026" s="11" t="s">
        <v>400</v>
      </c>
      <c r="C1026" s="11" t="s">
        <v>399</v>
      </c>
      <c r="D1026" s="38" t="n">
        <v>46227</v>
      </c>
      <c r="E1026" s="38" t="n">
        <v>46257</v>
      </c>
      <c r="F1026" s="37" t="n">
        <v>16450</v>
      </c>
      <c r="G1026" s="37" t="n">
        <v>3290</v>
      </c>
      <c r="H1026" s="37" t="n">
        <v>19740</v>
      </c>
      <c r="I1026" s="11" t="s">
        <v>283</v>
      </c>
      <c r="J1026" s="11"/>
      <c r="K1026" s="11" t="s">
        <v>4152</v>
      </c>
      <c r="L1026" s="38" t="n">
        <v>46261</v>
      </c>
      <c r="M1026" s="11" t="n">
        <v>4</v>
      </c>
      <c r="N1026" s="11"/>
      <c r="O1026" s="11"/>
    </row>
    <row r="1027" customFormat="false" ht="15" hidden="false" customHeight="false" outlineLevel="0" collapsed="false">
      <c r="A1027" s="11" t="s">
        <v>4112</v>
      </c>
      <c r="B1027" s="11" t="s">
        <v>350</v>
      </c>
      <c r="C1027" s="11" t="s">
        <v>349</v>
      </c>
      <c r="D1027" s="38" t="n">
        <v>46227</v>
      </c>
      <c r="E1027" s="38" t="n">
        <v>46287</v>
      </c>
      <c r="F1027" s="37" t="n">
        <v>19340</v>
      </c>
      <c r="G1027" s="37" t="n">
        <v>3868</v>
      </c>
      <c r="H1027" s="37" t="n">
        <v>23208</v>
      </c>
      <c r="I1027" s="11" t="s">
        <v>283</v>
      </c>
      <c r="J1027" s="11"/>
      <c r="K1027" s="11" t="s">
        <v>4152</v>
      </c>
      <c r="L1027" s="38" t="n">
        <v>46302</v>
      </c>
      <c r="M1027" s="11" t="n">
        <v>15</v>
      </c>
      <c r="N1027" s="11"/>
      <c r="O1027" s="11"/>
    </row>
    <row r="1028" customFormat="false" ht="15" hidden="false" customHeight="false" outlineLevel="0" collapsed="false">
      <c r="A1028" s="11" t="s">
        <v>3932</v>
      </c>
      <c r="B1028" s="11" t="s">
        <v>288</v>
      </c>
      <c r="C1028" s="11" t="s">
        <v>287</v>
      </c>
      <c r="D1028" s="38" t="n">
        <v>46232</v>
      </c>
      <c r="E1028" s="38" t="n">
        <v>46262</v>
      </c>
      <c r="F1028" s="37" t="n">
        <v>2970</v>
      </c>
      <c r="G1028" s="37" t="n">
        <v>594</v>
      </c>
      <c r="H1028" s="37" t="n">
        <v>3564</v>
      </c>
      <c r="I1028" s="11" t="s">
        <v>283</v>
      </c>
      <c r="J1028" s="11"/>
      <c r="K1028" s="11" t="s">
        <v>4152</v>
      </c>
      <c r="L1028" s="38" t="n">
        <v>46262</v>
      </c>
      <c r="M1028" s="11" t="n">
        <v>0</v>
      </c>
      <c r="N1028" s="11"/>
      <c r="O1028" s="11"/>
    </row>
    <row r="1029" customFormat="false" ht="15" hidden="false" customHeight="false" outlineLevel="0" collapsed="false">
      <c r="A1029" s="11" t="s">
        <v>3936</v>
      </c>
      <c r="B1029" s="11" t="s">
        <v>288</v>
      </c>
      <c r="C1029" s="11" t="s">
        <v>287</v>
      </c>
      <c r="D1029" s="38" t="n">
        <v>46232</v>
      </c>
      <c r="E1029" s="38" t="n">
        <v>46262</v>
      </c>
      <c r="F1029" s="37" t="n">
        <v>2390</v>
      </c>
      <c r="G1029" s="37" t="n">
        <v>478</v>
      </c>
      <c r="H1029" s="37" t="n">
        <v>2868</v>
      </c>
      <c r="I1029" s="11" t="s">
        <v>283</v>
      </c>
      <c r="J1029" s="11"/>
      <c r="K1029" s="11" t="s">
        <v>4152</v>
      </c>
      <c r="L1029" s="38" t="n">
        <v>46265</v>
      </c>
      <c r="M1029" s="11" t="n">
        <v>3</v>
      </c>
      <c r="N1029" s="11"/>
      <c r="O1029" s="11"/>
    </row>
    <row r="1030" customFormat="false" ht="15" hidden="false" customHeight="false" outlineLevel="0" collapsed="false">
      <c r="A1030" s="11" t="s">
        <v>3977</v>
      </c>
      <c r="B1030" s="11" t="s">
        <v>324</v>
      </c>
      <c r="C1030" s="11" t="s">
        <v>323</v>
      </c>
      <c r="D1030" s="38" t="n">
        <v>46233</v>
      </c>
      <c r="E1030" s="38" t="n">
        <v>46263</v>
      </c>
      <c r="F1030" s="37" t="n">
        <v>6070</v>
      </c>
      <c r="G1030" s="37" t="n">
        <v>1214</v>
      </c>
      <c r="H1030" s="37" t="n">
        <v>7284</v>
      </c>
      <c r="I1030" s="11" t="s">
        <v>283</v>
      </c>
      <c r="J1030" s="11"/>
      <c r="K1030" s="11" t="s">
        <v>4152</v>
      </c>
      <c r="L1030" s="38" t="n">
        <v>46272</v>
      </c>
      <c r="M1030" s="11" t="n">
        <v>9</v>
      </c>
      <c r="N1030" s="11"/>
      <c r="O1030" s="11"/>
    </row>
    <row r="1031" customFormat="false" ht="15" hidden="false" customHeight="false" outlineLevel="0" collapsed="false">
      <c r="A1031" s="11" t="s">
        <v>4023</v>
      </c>
      <c r="B1031" s="11" t="s">
        <v>281</v>
      </c>
      <c r="C1031" s="11" t="s">
        <v>280</v>
      </c>
      <c r="D1031" s="38" t="n">
        <v>46234</v>
      </c>
      <c r="E1031" s="38" t="n">
        <v>46279</v>
      </c>
      <c r="F1031" s="37" t="n">
        <v>3940</v>
      </c>
      <c r="G1031" s="37" t="n">
        <v>788</v>
      </c>
      <c r="H1031" s="37" t="n">
        <v>4728</v>
      </c>
      <c r="I1031" s="11" t="s">
        <v>283</v>
      </c>
      <c r="J1031" s="11"/>
      <c r="K1031" s="11" t="s">
        <v>4152</v>
      </c>
      <c r="L1031" s="38" t="n">
        <v>46279</v>
      </c>
      <c r="M1031" s="11" t="n">
        <v>0</v>
      </c>
      <c r="N1031" s="11"/>
      <c r="O1031" s="11"/>
    </row>
    <row r="1032" customFormat="false" ht="15" hidden="false" customHeight="false" outlineLevel="0" collapsed="false">
      <c r="A1032" s="11" t="s">
        <v>3930</v>
      </c>
      <c r="B1032" s="11" t="s">
        <v>288</v>
      </c>
      <c r="C1032" s="11" t="s">
        <v>287</v>
      </c>
      <c r="D1032" s="38" t="n">
        <v>46234</v>
      </c>
      <c r="E1032" s="38" t="n">
        <v>46264</v>
      </c>
      <c r="F1032" s="37" t="n">
        <v>5480</v>
      </c>
      <c r="G1032" s="37" t="n">
        <v>1096</v>
      </c>
      <c r="H1032" s="37" t="n">
        <v>6576</v>
      </c>
      <c r="I1032" s="11" t="s">
        <v>283</v>
      </c>
      <c r="J1032" s="11"/>
      <c r="K1032" s="11" t="s">
        <v>4152</v>
      </c>
      <c r="L1032" s="38" t="n">
        <v>46262</v>
      </c>
      <c r="M1032" s="11" t="n">
        <v>-2</v>
      </c>
      <c r="N1032" s="11"/>
      <c r="O1032" s="11"/>
    </row>
    <row r="1033" customFormat="false" ht="15" hidden="false" customHeight="false" outlineLevel="0" collapsed="false">
      <c r="A1033" s="11" t="s">
        <v>370</v>
      </c>
      <c r="B1033" s="11" t="s">
        <v>328</v>
      </c>
      <c r="C1033" s="11" t="s">
        <v>327</v>
      </c>
      <c r="D1033" s="38" t="n">
        <v>46234</v>
      </c>
      <c r="E1033" s="38" t="n">
        <v>46294</v>
      </c>
      <c r="F1033" s="37" t="n">
        <v>13100</v>
      </c>
      <c r="G1033" s="37" t="n">
        <v>2620</v>
      </c>
      <c r="H1033" s="37" t="n">
        <v>15720</v>
      </c>
      <c r="I1033" s="11" t="s">
        <v>283</v>
      </c>
      <c r="J1033" s="11"/>
      <c r="K1033" s="11" t="s">
        <v>282</v>
      </c>
      <c r="L1033" s="38"/>
      <c r="M1033" s="11"/>
      <c r="N1033" s="11" t="n">
        <v>10</v>
      </c>
      <c r="O1033" s="11"/>
    </row>
    <row r="1034" customFormat="false" ht="15" hidden="false" customHeight="false" outlineLevel="0" collapsed="false">
      <c r="A1034" s="11" t="s">
        <v>4038</v>
      </c>
      <c r="B1034" s="11" t="s">
        <v>281</v>
      </c>
      <c r="C1034" s="11" t="s">
        <v>280</v>
      </c>
      <c r="D1034" s="38" t="n">
        <v>46237</v>
      </c>
      <c r="E1034" s="38" t="n">
        <v>46282</v>
      </c>
      <c r="F1034" s="37" t="n">
        <v>6020</v>
      </c>
      <c r="G1034" s="37" t="n">
        <v>1204</v>
      </c>
      <c r="H1034" s="37" t="n">
        <v>7224</v>
      </c>
      <c r="I1034" s="11" t="s">
        <v>283</v>
      </c>
      <c r="J1034" s="11"/>
      <c r="K1034" s="11" t="s">
        <v>4152</v>
      </c>
      <c r="L1034" s="38" t="n">
        <v>46282</v>
      </c>
      <c r="M1034" s="11" t="n">
        <v>0</v>
      </c>
      <c r="N1034" s="11"/>
      <c r="O1034" s="11"/>
    </row>
    <row r="1035" customFormat="false" ht="15" hidden="false" customHeight="false" outlineLevel="0" collapsed="false">
      <c r="A1035" s="11" t="s">
        <v>388</v>
      </c>
      <c r="B1035" s="11" t="s">
        <v>328</v>
      </c>
      <c r="C1035" s="11" t="s">
        <v>327</v>
      </c>
      <c r="D1035" s="38" t="n">
        <v>46237</v>
      </c>
      <c r="E1035" s="38" t="n">
        <v>46297</v>
      </c>
      <c r="F1035" s="37" t="n">
        <v>6530</v>
      </c>
      <c r="G1035" s="37" t="n">
        <v>1306</v>
      </c>
      <c r="H1035" s="37" t="n">
        <v>7836</v>
      </c>
      <c r="I1035" s="11" t="s">
        <v>283</v>
      </c>
      <c r="J1035" s="11"/>
      <c r="K1035" s="11" t="s">
        <v>282</v>
      </c>
      <c r="L1035" s="38"/>
      <c r="M1035" s="11"/>
      <c r="N1035" s="11" t="n">
        <v>7</v>
      </c>
      <c r="O1035" s="11"/>
    </row>
    <row r="1036" customFormat="false" ht="15" hidden="false" customHeight="false" outlineLevel="0" collapsed="false">
      <c r="A1036" s="11" t="s">
        <v>3953</v>
      </c>
      <c r="B1036" s="11" t="s">
        <v>288</v>
      </c>
      <c r="C1036" s="11" t="s">
        <v>287</v>
      </c>
      <c r="D1036" s="38" t="n">
        <v>46237</v>
      </c>
      <c r="E1036" s="38" t="n">
        <v>46267</v>
      </c>
      <c r="F1036" s="37" t="n">
        <v>3370</v>
      </c>
      <c r="G1036" s="37" t="n">
        <v>674</v>
      </c>
      <c r="H1036" s="37" t="n">
        <v>4044</v>
      </c>
      <c r="I1036" s="11" t="s">
        <v>283</v>
      </c>
      <c r="J1036" s="11"/>
      <c r="K1036" s="11" t="s">
        <v>4152</v>
      </c>
      <c r="L1036" s="38" t="n">
        <v>46266</v>
      </c>
      <c r="M1036" s="11" t="n">
        <v>-1</v>
      </c>
      <c r="N1036" s="11"/>
      <c r="O1036" s="11"/>
    </row>
    <row r="1037" customFormat="false" ht="15" hidden="false" customHeight="false" outlineLevel="0" collapsed="false">
      <c r="A1037" s="11" t="s">
        <v>4085</v>
      </c>
      <c r="B1037" s="11" t="s">
        <v>336</v>
      </c>
      <c r="C1037" s="11" t="s">
        <v>335</v>
      </c>
      <c r="D1037" s="38" t="n">
        <v>46237</v>
      </c>
      <c r="E1037" s="38" t="n">
        <v>46282</v>
      </c>
      <c r="F1037" s="37" t="n">
        <v>1530</v>
      </c>
      <c r="G1037" s="37" t="n">
        <v>306</v>
      </c>
      <c r="H1037" s="37" t="n">
        <v>1836</v>
      </c>
      <c r="I1037" s="11" t="s">
        <v>283</v>
      </c>
      <c r="J1037" s="11"/>
      <c r="K1037" s="11" t="s">
        <v>4152</v>
      </c>
      <c r="L1037" s="38" t="n">
        <v>46294</v>
      </c>
      <c r="M1037" s="11" t="n">
        <v>12</v>
      </c>
      <c r="N1037" s="11"/>
      <c r="O1037" s="11"/>
    </row>
    <row r="1038" customFormat="false" ht="15" hidden="false" customHeight="false" outlineLevel="0" collapsed="false">
      <c r="A1038" s="11" t="s">
        <v>3951</v>
      </c>
      <c r="B1038" s="11" t="s">
        <v>288</v>
      </c>
      <c r="C1038" s="11" t="s">
        <v>287</v>
      </c>
      <c r="D1038" s="38" t="n">
        <v>46237</v>
      </c>
      <c r="E1038" s="38" t="n">
        <v>46267</v>
      </c>
      <c r="F1038" s="37" t="n">
        <v>720</v>
      </c>
      <c r="G1038" s="37" t="n">
        <v>144</v>
      </c>
      <c r="H1038" s="37" t="n">
        <v>864</v>
      </c>
      <c r="I1038" s="11" t="s">
        <v>283</v>
      </c>
      <c r="J1038" s="11"/>
      <c r="K1038" s="11" t="s">
        <v>4152</v>
      </c>
      <c r="L1038" s="38" t="n">
        <v>46266</v>
      </c>
      <c r="M1038" s="11" t="n">
        <v>-1</v>
      </c>
      <c r="N1038" s="11"/>
      <c r="O1038" s="11"/>
    </row>
    <row r="1039" customFormat="false" ht="15" hidden="false" customHeight="false" outlineLevel="0" collapsed="false">
      <c r="A1039" s="11" t="s">
        <v>4081</v>
      </c>
      <c r="B1039" s="11" t="s">
        <v>336</v>
      </c>
      <c r="C1039" s="11" t="s">
        <v>335</v>
      </c>
      <c r="D1039" s="38" t="n">
        <v>46238</v>
      </c>
      <c r="E1039" s="38" t="n">
        <v>46283</v>
      </c>
      <c r="F1039" s="37" t="n">
        <v>4960</v>
      </c>
      <c r="G1039" s="37" t="n">
        <v>992</v>
      </c>
      <c r="H1039" s="37" t="n">
        <v>5952</v>
      </c>
      <c r="I1039" s="11" t="s">
        <v>283</v>
      </c>
      <c r="J1039" s="11"/>
      <c r="K1039" s="11" t="s">
        <v>4152</v>
      </c>
      <c r="L1039" s="38" t="n">
        <v>46293</v>
      </c>
      <c r="M1039" s="11" t="n">
        <v>10</v>
      </c>
      <c r="N1039" s="11"/>
      <c r="O1039" s="11"/>
    </row>
    <row r="1040" customFormat="false" ht="15" hidden="false" customHeight="false" outlineLevel="0" collapsed="false">
      <c r="A1040" s="11" t="s">
        <v>4103</v>
      </c>
      <c r="B1040" s="11" t="s">
        <v>336</v>
      </c>
      <c r="C1040" s="11" t="s">
        <v>335</v>
      </c>
      <c r="D1040" s="38" t="n">
        <v>46239</v>
      </c>
      <c r="E1040" s="38" t="n">
        <v>46284</v>
      </c>
      <c r="F1040" s="37" t="n">
        <v>3630</v>
      </c>
      <c r="G1040" s="37" t="n">
        <v>726</v>
      </c>
      <c r="H1040" s="37" t="n">
        <v>4356</v>
      </c>
      <c r="I1040" s="11" t="s">
        <v>283</v>
      </c>
      <c r="J1040" s="11"/>
      <c r="K1040" s="11" t="s">
        <v>4152</v>
      </c>
      <c r="L1040" s="38" t="n">
        <v>46297</v>
      </c>
      <c r="M1040" s="11" t="n">
        <v>13</v>
      </c>
      <c r="N1040" s="11"/>
      <c r="O1040" s="11"/>
    </row>
    <row r="1041" customFormat="false" ht="15" hidden="false" customHeight="false" outlineLevel="0" collapsed="false">
      <c r="A1041" s="11" t="s">
        <v>296</v>
      </c>
      <c r="B1041" s="11" t="s">
        <v>299</v>
      </c>
      <c r="C1041" s="11" t="s">
        <v>298</v>
      </c>
      <c r="D1041" s="38" t="n">
        <v>46241</v>
      </c>
      <c r="E1041" s="38" t="n">
        <v>46301</v>
      </c>
      <c r="F1041" s="37" t="n">
        <v>10400</v>
      </c>
      <c r="G1041" s="37" t="n">
        <v>0</v>
      </c>
      <c r="H1041" s="37" t="n">
        <v>10400</v>
      </c>
      <c r="I1041" s="11" t="s">
        <v>283</v>
      </c>
      <c r="J1041" s="11"/>
      <c r="K1041" s="11" t="s">
        <v>282</v>
      </c>
      <c r="L1041" s="38"/>
      <c r="M1041" s="11"/>
      <c r="N1041" s="11" t="n">
        <v>3</v>
      </c>
      <c r="O1041" s="11"/>
    </row>
    <row r="1042" customFormat="false" ht="15" hidden="false" customHeight="false" outlineLevel="0" collapsed="false">
      <c r="A1042" s="11" t="s">
        <v>301</v>
      </c>
      <c r="B1042" s="11" t="s">
        <v>299</v>
      </c>
      <c r="C1042" s="11" t="s">
        <v>298</v>
      </c>
      <c r="D1042" s="38" t="n">
        <v>46241</v>
      </c>
      <c r="E1042" s="38" t="n">
        <v>46301</v>
      </c>
      <c r="F1042" s="37" t="n">
        <v>10630</v>
      </c>
      <c r="G1042" s="37" t="n">
        <v>0</v>
      </c>
      <c r="H1042" s="37" t="n">
        <v>10630</v>
      </c>
      <c r="I1042" s="11" t="s">
        <v>283</v>
      </c>
      <c r="J1042" s="11"/>
      <c r="K1042" s="11" t="s">
        <v>282</v>
      </c>
      <c r="L1042" s="38"/>
      <c r="M1042" s="11"/>
      <c r="N1042" s="11" t="n">
        <v>3</v>
      </c>
      <c r="O1042" s="11"/>
    </row>
    <row r="1043" customFormat="false" ht="15" hidden="false" customHeight="false" outlineLevel="0" collapsed="false">
      <c r="A1043" s="11" t="s">
        <v>4044</v>
      </c>
      <c r="B1043" s="11" t="s">
        <v>324</v>
      </c>
      <c r="C1043" s="11" t="s">
        <v>323</v>
      </c>
      <c r="D1043" s="38" t="n">
        <v>46241</v>
      </c>
      <c r="E1043" s="38" t="n">
        <v>46271</v>
      </c>
      <c r="F1043" s="37" t="n">
        <v>5960</v>
      </c>
      <c r="G1043" s="37" t="n">
        <v>1192</v>
      </c>
      <c r="H1043" s="37" t="n">
        <v>7152</v>
      </c>
      <c r="I1043" s="11" t="s">
        <v>283</v>
      </c>
      <c r="J1043" s="11"/>
      <c r="K1043" s="11" t="s">
        <v>4152</v>
      </c>
      <c r="L1043" s="38" t="n">
        <v>46283</v>
      </c>
      <c r="M1043" s="11" t="n">
        <v>12</v>
      </c>
      <c r="N1043" s="11"/>
      <c r="O1043" s="11"/>
    </row>
    <row r="1044" customFormat="false" ht="15" hidden="false" customHeight="false" outlineLevel="0" collapsed="false">
      <c r="A1044" s="11" t="s">
        <v>4013</v>
      </c>
      <c r="B1044" s="11" t="s">
        <v>324</v>
      </c>
      <c r="C1044" s="11" t="s">
        <v>323</v>
      </c>
      <c r="D1044" s="38" t="n">
        <v>46241</v>
      </c>
      <c r="E1044" s="38" t="n">
        <v>46271</v>
      </c>
      <c r="F1044" s="37" t="n">
        <v>3850</v>
      </c>
      <c r="G1044" s="37" t="n">
        <v>770</v>
      </c>
      <c r="H1044" s="37" t="n">
        <v>4620</v>
      </c>
      <c r="I1044" s="11" t="s">
        <v>283</v>
      </c>
      <c r="J1044" s="11"/>
      <c r="K1044" s="11" t="s">
        <v>4152</v>
      </c>
      <c r="L1044" s="38" t="n">
        <v>46275</v>
      </c>
      <c r="M1044" s="11" t="n">
        <v>4</v>
      </c>
      <c r="N1044" s="11"/>
      <c r="O1044" s="11"/>
    </row>
    <row r="1045" customFormat="false" ht="15" hidden="false" customHeight="false" outlineLevel="0" collapsed="false">
      <c r="A1045" s="11" t="s">
        <v>4004</v>
      </c>
      <c r="B1045" s="11" t="s">
        <v>400</v>
      </c>
      <c r="C1045" s="11" t="s">
        <v>399</v>
      </c>
      <c r="D1045" s="38" t="n">
        <v>46241</v>
      </c>
      <c r="E1045" s="38" t="n">
        <v>46271</v>
      </c>
      <c r="F1045" s="37" t="n">
        <v>17520</v>
      </c>
      <c r="G1045" s="37" t="n">
        <v>3504</v>
      </c>
      <c r="H1045" s="37" t="n">
        <v>21024</v>
      </c>
      <c r="I1045" s="11" t="s">
        <v>283</v>
      </c>
      <c r="J1045" s="11"/>
      <c r="K1045" s="11" t="s">
        <v>4152</v>
      </c>
      <c r="L1045" s="38" t="n">
        <v>46274</v>
      </c>
      <c r="M1045" s="11" t="n">
        <v>3</v>
      </c>
      <c r="N1045" s="11"/>
      <c r="O1045" s="11"/>
    </row>
    <row r="1046" customFormat="false" ht="15" hidden="false" customHeight="false" outlineLevel="0" collapsed="false">
      <c r="A1046" s="11" t="s">
        <v>4019</v>
      </c>
      <c r="B1046" s="11" t="s">
        <v>288</v>
      </c>
      <c r="C1046" s="11" t="s">
        <v>287</v>
      </c>
      <c r="D1046" s="38" t="n">
        <v>46241</v>
      </c>
      <c r="E1046" s="38" t="n">
        <v>46271</v>
      </c>
      <c r="F1046" s="37" t="n">
        <v>2150</v>
      </c>
      <c r="G1046" s="37" t="n">
        <v>430</v>
      </c>
      <c r="H1046" s="37" t="n">
        <v>2580</v>
      </c>
      <c r="I1046" s="11" t="s">
        <v>283</v>
      </c>
      <c r="J1046" s="11"/>
      <c r="K1046" s="11" t="s">
        <v>4152</v>
      </c>
      <c r="L1046" s="38" t="n">
        <v>46276</v>
      </c>
      <c r="M1046" s="11" t="n">
        <v>5</v>
      </c>
      <c r="N1046" s="11"/>
      <c r="O1046" s="11"/>
    </row>
    <row r="1047" customFormat="false" ht="15" hidden="false" customHeight="false" outlineLevel="0" collapsed="false">
      <c r="A1047" s="11" t="s">
        <v>3990</v>
      </c>
      <c r="B1047" s="11" t="s">
        <v>288</v>
      </c>
      <c r="C1047" s="11" t="s">
        <v>287</v>
      </c>
      <c r="D1047" s="38" t="n">
        <v>46241</v>
      </c>
      <c r="E1047" s="38" t="n">
        <v>46271</v>
      </c>
      <c r="F1047" s="37" t="n">
        <v>5080</v>
      </c>
      <c r="G1047" s="37" t="n">
        <v>1016</v>
      </c>
      <c r="H1047" s="37" t="n">
        <v>6096</v>
      </c>
      <c r="I1047" s="11" t="s">
        <v>283</v>
      </c>
      <c r="J1047" s="11"/>
      <c r="K1047" s="11" t="s">
        <v>4152</v>
      </c>
      <c r="L1047" s="38" t="n">
        <v>46272</v>
      </c>
      <c r="M1047" s="11" t="n">
        <v>1</v>
      </c>
      <c r="N1047" s="11"/>
      <c r="O1047" s="11"/>
    </row>
    <row r="1048" customFormat="false" ht="15" hidden="false" customHeight="false" outlineLevel="0" collapsed="false">
      <c r="A1048" s="11" t="s">
        <v>4046</v>
      </c>
      <c r="B1048" s="11" t="s">
        <v>281</v>
      </c>
      <c r="C1048" s="11" t="s">
        <v>280</v>
      </c>
      <c r="D1048" s="38" t="n">
        <v>46241</v>
      </c>
      <c r="E1048" s="38" t="n">
        <v>46286</v>
      </c>
      <c r="F1048" s="37" t="n">
        <v>5910</v>
      </c>
      <c r="G1048" s="37" t="n">
        <v>1182</v>
      </c>
      <c r="H1048" s="37" t="n">
        <v>7092</v>
      </c>
      <c r="I1048" s="11" t="s">
        <v>283</v>
      </c>
      <c r="J1048" s="11"/>
      <c r="K1048" s="11" t="s">
        <v>4152</v>
      </c>
      <c r="L1048" s="38" t="n">
        <v>46286</v>
      </c>
      <c r="M1048" s="11" t="n">
        <v>0</v>
      </c>
      <c r="N1048" s="11"/>
      <c r="O1048" s="11"/>
    </row>
    <row r="1049" customFormat="false" ht="15" hidden="false" customHeight="false" outlineLevel="0" collapsed="false">
      <c r="A1049" s="11" t="s">
        <v>330</v>
      </c>
      <c r="B1049" s="11" t="s">
        <v>332</v>
      </c>
      <c r="C1049" s="11" t="s">
        <v>331</v>
      </c>
      <c r="D1049" s="38" t="n">
        <v>46241</v>
      </c>
      <c r="E1049" s="38" t="n">
        <v>46286</v>
      </c>
      <c r="F1049" s="37" t="n">
        <v>13020</v>
      </c>
      <c r="G1049" s="37" t="n">
        <v>2604</v>
      </c>
      <c r="H1049" s="37" t="n">
        <v>15624</v>
      </c>
      <c r="I1049" s="11" t="s">
        <v>283</v>
      </c>
      <c r="J1049" s="11"/>
      <c r="K1049" s="11" t="s">
        <v>282</v>
      </c>
      <c r="L1049" s="38"/>
      <c r="M1049" s="11"/>
      <c r="N1049" s="11" t="n">
        <v>18</v>
      </c>
      <c r="O1049" s="11"/>
    </row>
    <row r="1050" customFormat="false" ht="15" hidden="false" customHeight="false" outlineLevel="0" collapsed="false">
      <c r="A1050" s="11" t="s">
        <v>402</v>
      </c>
      <c r="B1050" s="11" t="s">
        <v>328</v>
      </c>
      <c r="C1050" s="11" t="s">
        <v>327</v>
      </c>
      <c r="D1050" s="38" t="n">
        <v>46241</v>
      </c>
      <c r="E1050" s="38" t="n">
        <v>46301</v>
      </c>
      <c r="F1050" s="37" t="n">
        <v>15540</v>
      </c>
      <c r="G1050" s="37" t="n">
        <v>3108</v>
      </c>
      <c r="H1050" s="37" t="n">
        <v>18648</v>
      </c>
      <c r="I1050" s="11" t="s">
        <v>283</v>
      </c>
      <c r="J1050" s="11"/>
      <c r="K1050" s="11" t="s">
        <v>282</v>
      </c>
      <c r="L1050" s="38"/>
      <c r="M1050" s="11"/>
      <c r="N1050" s="11" t="n">
        <v>3</v>
      </c>
      <c r="O1050" s="11"/>
    </row>
    <row r="1051" customFormat="false" ht="15" hidden="false" customHeight="false" outlineLevel="0" collapsed="false">
      <c r="A1051" s="11" t="s">
        <v>372</v>
      </c>
      <c r="B1051" s="11" t="s">
        <v>332</v>
      </c>
      <c r="C1051" s="11" t="s">
        <v>331</v>
      </c>
      <c r="D1051" s="38" t="n">
        <v>46245</v>
      </c>
      <c r="E1051" s="38" t="n">
        <v>46290</v>
      </c>
      <c r="F1051" s="37" t="n">
        <v>9710</v>
      </c>
      <c r="G1051" s="37" t="n">
        <v>1942</v>
      </c>
      <c r="H1051" s="37" t="n">
        <v>11652</v>
      </c>
      <c r="I1051" s="11" t="s">
        <v>283</v>
      </c>
      <c r="J1051" s="11"/>
      <c r="K1051" s="11" t="s">
        <v>282</v>
      </c>
      <c r="L1051" s="38"/>
      <c r="M1051" s="11"/>
      <c r="N1051" s="11" t="n">
        <v>14</v>
      </c>
      <c r="O1051" s="11"/>
    </row>
    <row r="1052" customFormat="false" ht="15" hidden="false" customHeight="false" outlineLevel="0" collapsed="false">
      <c r="A1052" s="11" t="s">
        <v>4079</v>
      </c>
      <c r="B1052" s="11" t="s">
        <v>336</v>
      </c>
      <c r="C1052" s="11" t="s">
        <v>335</v>
      </c>
      <c r="D1052" s="38" t="n">
        <v>46245</v>
      </c>
      <c r="E1052" s="38" t="n">
        <v>46290</v>
      </c>
      <c r="F1052" s="37" t="n">
        <v>11310</v>
      </c>
      <c r="G1052" s="37" t="n">
        <v>2262</v>
      </c>
      <c r="H1052" s="37" t="n">
        <v>13572</v>
      </c>
      <c r="I1052" s="11" t="s">
        <v>283</v>
      </c>
      <c r="J1052" s="11"/>
      <c r="K1052" s="11" t="s">
        <v>4152</v>
      </c>
      <c r="L1052" s="38" t="n">
        <v>46293</v>
      </c>
      <c r="M1052" s="11" t="n">
        <v>3</v>
      </c>
      <c r="N1052" s="11"/>
      <c r="O1052" s="11"/>
    </row>
    <row r="1053" customFormat="false" ht="15" hidden="false" customHeight="false" outlineLevel="0" collapsed="false">
      <c r="A1053" s="11" t="s">
        <v>334</v>
      </c>
      <c r="B1053" s="11" t="s">
        <v>336</v>
      </c>
      <c r="C1053" s="11" t="s">
        <v>335</v>
      </c>
      <c r="D1053" s="38" t="n">
        <v>46245</v>
      </c>
      <c r="E1053" s="38" t="n">
        <v>46290</v>
      </c>
      <c r="F1053" s="37" t="n">
        <v>3880</v>
      </c>
      <c r="G1053" s="37" t="n">
        <v>776</v>
      </c>
      <c r="H1053" s="37" t="n">
        <v>4656</v>
      </c>
      <c r="I1053" s="11" t="s">
        <v>283</v>
      </c>
      <c r="J1053" s="11"/>
      <c r="K1053" s="11" t="s">
        <v>282</v>
      </c>
      <c r="L1053" s="38"/>
      <c r="M1053" s="11"/>
      <c r="N1053" s="11" t="n">
        <v>14</v>
      </c>
      <c r="O1053" s="11"/>
    </row>
    <row r="1054" customFormat="false" ht="15" hidden="false" customHeight="false" outlineLevel="0" collapsed="false">
      <c r="A1054" s="11" t="s">
        <v>4073</v>
      </c>
      <c r="B1054" s="11" t="s">
        <v>281</v>
      </c>
      <c r="C1054" s="11" t="s">
        <v>280</v>
      </c>
      <c r="D1054" s="38" t="n">
        <v>46245</v>
      </c>
      <c r="E1054" s="38" t="n">
        <v>46290</v>
      </c>
      <c r="F1054" s="37" t="n">
        <v>9270</v>
      </c>
      <c r="G1054" s="37" t="n">
        <v>1854</v>
      </c>
      <c r="H1054" s="37" t="n">
        <v>11124</v>
      </c>
      <c r="I1054" s="11" t="s">
        <v>283</v>
      </c>
      <c r="J1054" s="11"/>
      <c r="K1054" s="11" t="s">
        <v>4152</v>
      </c>
      <c r="L1054" s="38" t="n">
        <v>46290</v>
      </c>
      <c r="M1054" s="11" t="n">
        <v>0</v>
      </c>
      <c r="N1054" s="11"/>
      <c r="O1054" s="11"/>
    </row>
    <row r="1055" customFormat="false" ht="15" hidden="false" customHeight="false" outlineLevel="0" collapsed="false">
      <c r="A1055" s="11" t="s">
        <v>390</v>
      </c>
      <c r="B1055" s="11" t="s">
        <v>393</v>
      </c>
      <c r="C1055" s="11" t="s">
        <v>392</v>
      </c>
      <c r="D1055" s="38" t="n">
        <v>46245</v>
      </c>
      <c r="E1055" s="38" t="n">
        <v>46295</v>
      </c>
      <c r="F1055" s="37" t="n">
        <v>14020</v>
      </c>
      <c r="G1055" s="37" t="n">
        <v>2804</v>
      </c>
      <c r="H1055" s="37" t="n">
        <v>16824</v>
      </c>
      <c r="I1055" s="11" t="s">
        <v>283</v>
      </c>
      <c r="J1055" s="11"/>
      <c r="K1055" s="11" t="s">
        <v>365</v>
      </c>
      <c r="L1055" s="38"/>
      <c r="M1055" s="11"/>
      <c r="N1055" s="11" t="n">
        <v>9</v>
      </c>
      <c r="O1055" s="11" t="s">
        <v>4223</v>
      </c>
    </row>
    <row r="1056" customFormat="false" ht="15" hidden="false" customHeight="false" outlineLevel="0" collapsed="false">
      <c r="A1056" s="11" t="s">
        <v>348</v>
      </c>
      <c r="B1056" s="11" t="s">
        <v>350</v>
      </c>
      <c r="C1056" s="11" t="s">
        <v>349</v>
      </c>
      <c r="D1056" s="38" t="n">
        <v>46245</v>
      </c>
      <c r="E1056" s="38" t="n">
        <v>46305</v>
      </c>
      <c r="F1056" s="37" t="n">
        <v>16600</v>
      </c>
      <c r="G1056" s="37" t="n">
        <v>3320</v>
      </c>
      <c r="H1056" s="37" t="n">
        <v>19920</v>
      </c>
      <c r="I1056" s="11" t="s">
        <v>283</v>
      </c>
      <c r="J1056" s="11"/>
      <c r="K1056" s="11" t="s">
        <v>282</v>
      </c>
      <c r="L1056" s="38"/>
      <c r="M1056" s="11"/>
      <c r="N1056" s="11" t="n">
        <v>0</v>
      </c>
      <c r="O1056" s="11"/>
    </row>
    <row r="1057" customFormat="false" ht="15" hidden="false" customHeight="false" outlineLevel="0" collapsed="false">
      <c r="A1057" s="11" t="s">
        <v>4025</v>
      </c>
      <c r="B1057" s="11" t="s">
        <v>288</v>
      </c>
      <c r="C1057" s="11" t="s">
        <v>287</v>
      </c>
      <c r="D1057" s="38" t="n">
        <v>46246</v>
      </c>
      <c r="E1057" s="38" t="n">
        <v>46276</v>
      </c>
      <c r="F1057" s="37" t="n">
        <v>2700</v>
      </c>
      <c r="G1057" s="37" t="n">
        <v>540</v>
      </c>
      <c r="H1057" s="37" t="n">
        <v>3240</v>
      </c>
      <c r="I1057" s="11" t="s">
        <v>283</v>
      </c>
      <c r="J1057" s="11"/>
      <c r="K1057" s="11" t="s">
        <v>4152</v>
      </c>
      <c r="L1057" s="38" t="n">
        <v>46279</v>
      </c>
      <c r="M1057" s="11" t="n">
        <v>3</v>
      </c>
      <c r="N1057" s="11"/>
      <c r="O1057" s="11"/>
    </row>
    <row r="1058" customFormat="false" ht="15" hidden="false" customHeight="false" outlineLevel="0" collapsed="false">
      <c r="A1058" s="11" t="s">
        <v>433</v>
      </c>
      <c r="B1058" s="11" t="s">
        <v>328</v>
      </c>
      <c r="C1058" s="11" t="s">
        <v>327</v>
      </c>
      <c r="D1058" s="38" t="n">
        <v>46246</v>
      </c>
      <c r="E1058" s="38" t="n">
        <v>46306</v>
      </c>
      <c r="F1058" s="37" t="n">
        <v>37510</v>
      </c>
      <c r="G1058" s="37" t="n">
        <v>7502</v>
      </c>
      <c r="H1058" s="37" t="n">
        <v>45012</v>
      </c>
      <c r="I1058" s="11" t="s">
        <v>283</v>
      </c>
      <c r="J1058" s="11"/>
      <c r="K1058" s="11" t="s">
        <v>282</v>
      </c>
      <c r="L1058" s="38"/>
      <c r="M1058" s="11"/>
      <c r="N1058" s="11" t="n">
        <v>0</v>
      </c>
      <c r="O1058" s="11"/>
    </row>
    <row r="1059" customFormat="false" ht="15" hidden="false" customHeight="false" outlineLevel="0" collapsed="false">
      <c r="A1059" s="11" t="s">
        <v>374</v>
      </c>
      <c r="B1059" s="11" t="s">
        <v>324</v>
      </c>
      <c r="C1059" s="11" t="s">
        <v>323</v>
      </c>
      <c r="D1059" s="38" t="n">
        <v>46246</v>
      </c>
      <c r="E1059" s="38" t="n">
        <v>46276</v>
      </c>
      <c r="F1059" s="37" t="n">
        <v>4210</v>
      </c>
      <c r="G1059" s="37" t="n">
        <v>842</v>
      </c>
      <c r="H1059" s="37" t="n">
        <v>5052</v>
      </c>
      <c r="I1059" s="11" t="s">
        <v>283</v>
      </c>
      <c r="J1059" s="11"/>
      <c r="K1059" s="11" t="s">
        <v>282</v>
      </c>
      <c r="L1059" s="38"/>
      <c r="M1059" s="11"/>
      <c r="N1059" s="11" t="n">
        <v>28</v>
      </c>
      <c r="O1059" s="11"/>
    </row>
    <row r="1060" customFormat="false" ht="15" hidden="false" customHeight="false" outlineLevel="0" collapsed="false">
      <c r="A1060" s="11" t="s">
        <v>4083</v>
      </c>
      <c r="B1060" s="11" t="s">
        <v>281</v>
      </c>
      <c r="C1060" s="11" t="s">
        <v>280</v>
      </c>
      <c r="D1060" s="38" t="n">
        <v>46247</v>
      </c>
      <c r="E1060" s="38" t="n">
        <v>46292</v>
      </c>
      <c r="F1060" s="37" t="n">
        <v>14320</v>
      </c>
      <c r="G1060" s="37" t="n">
        <v>2864</v>
      </c>
      <c r="H1060" s="37" t="n">
        <v>17184</v>
      </c>
      <c r="I1060" s="11" t="s">
        <v>283</v>
      </c>
      <c r="J1060" s="11"/>
      <c r="K1060" s="11" t="s">
        <v>4152</v>
      </c>
      <c r="L1060" s="38" t="n">
        <v>46293</v>
      </c>
      <c r="M1060" s="11" t="n">
        <v>1</v>
      </c>
      <c r="N1060" s="11"/>
      <c r="O1060" s="11"/>
    </row>
    <row r="1061" customFormat="false" ht="15" hidden="false" customHeight="false" outlineLevel="0" collapsed="false">
      <c r="A1061" s="11" t="s">
        <v>376</v>
      </c>
      <c r="B1061" s="11" t="s">
        <v>350</v>
      </c>
      <c r="C1061" s="11" t="s">
        <v>349</v>
      </c>
      <c r="D1061" s="38" t="n">
        <v>46248</v>
      </c>
      <c r="E1061" s="38" t="n">
        <v>46308</v>
      </c>
      <c r="F1061" s="37" t="n">
        <v>9160</v>
      </c>
      <c r="G1061" s="37" t="n">
        <v>1832</v>
      </c>
      <c r="H1061" s="37" t="n">
        <v>10992</v>
      </c>
      <c r="I1061" s="11" t="s">
        <v>283</v>
      </c>
      <c r="J1061" s="11"/>
      <c r="K1061" s="11" t="s">
        <v>282</v>
      </c>
      <c r="L1061" s="38"/>
      <c r="M1061" s="11"/>
      <c r="N1061" s="11" t="n">
        <v>0</v>
      </c>
      <c r="O1061" s="11"/>
    </row>
    <row r="1062" customFormat="false" ht="15" hidden="false" customHeight="false" outlineLevel="0" collapsed="false">
      <c r="A1062" s="11" t="s">
        <v>4087</v>
      </c>
      <c r="B1062" s="11" t="s">
        <v>336</v>
      </c>
      <c r="C1062" s="11" t="s">
        <v>335</v>
      </c>
      <c r="D1062" s="38" t="n">
        <v>46248</v>
      </c>
      <c r="E1062" s="38" t="n">
        <v>46293</v>
      </c>
      <c r="F1062" s="37" t="n">
        <v>3590</v>
      </c>
      <c r="G1062" s="37" t="n">
        <v>718</v>
      </c>
      <c r="H1062" s="37" t="n">
        <v>4308</v>
      </c>
      <c r="I1062" s="11" t="s">
        <v>283</v>
      </c>
      <c r="J1062" s="11"/>
      <c r="K1062" s="11" t="s">
        <v>4152</v>
      </c>
      <c r="L1062" s="38" t="n">
        <v>46294</v>
      </c>
      <c r="M1062" s="11" t="n">
        <v>1</v>
      </c>
      <c r="N1062" s="11"/>
      <c r="O1062" s="11"/>
    </row>
    <row r="1063" customFormat="false" ht="15" hidden="false" customHeight="false" outlineLevel="0" collapsed="false">
      <c r="A1063" s="11" t="s">
        <v>4107</v>
      </c>
      <c r="B1063" s="11" t="s">
        <v>336</v>
      </c>
      <c r="C1063" s="11" t="s">
        <v>335</v>
      </c>
      <c r="D1063" s="38" t="n">
        <v>46248</v>
      </c>
      <c r="E1063" s="38" t="n">
        <v>46293</v>
      </c>
      <c r="F1063" s="37" t="n">
        <v>2650</v>
      </c>
      <c r="G1063" s="37" t="n">
        <v>530</v>
      </c>
      <c r="H1063" s="37" t="n">
        <v>3180</v>
      </c>
      <c r="I1063" s="11" t="s">
        <v>283</v>
      </c>
      <c r="J1063" s="11"/>
      <c r="K1063" s="11" t="s">
        <v>4152</v>
      </c>
      <c r="L1063" s="38" t="n">
        <v>46300</v>
      </c>
      <c r="M1063" s="11" t="n">
        <v>7</v>
      </c>
      <c r="N1063" s="11"/>
      <c r="O1063" s="11"/>
    </row>
    <row r="1064" customFormat="false" ht="15" hidden="false" customHeight="false" outlineLevel="0" collapsed="false">
      <c r="A1064" s="11" t="s">
        <v>451</v>
      </c>
      <c r="B1064" s="11" t="s">
        <v>350</v>
      </c>
      <c r="C1064" s="11" t="s">
        <v>349</v>
      </c>
      <c r="D1064" s="38" t="n">
        <v>46259</v>
      </c>
      <c r="E1064" s="38" t="n">
        <v>46319</v>
      </c>
      <c r="F1064" s="37" t="n">
        <v>4580</v>
      </c>
      <c r="G1064" s="37" t="n">
        <v>916</v>
      </c>
      <c r="H1064" s="37" t="n">
        <v>5496</v>
      </c>
      <c r="I1064" s="11" t="s">
        <v>283</v>
      </c>
      <c r="J1064" s="11"/>
      <c r="K1064" s="11" t="s">
        <v>282</v>
      </c>
      <c r="L1064" s="38"/>
      <c r="M1064" s="11"/>
      <c r="N1064" s="11" t="n">
        <v>0</v>
      </c>
      <c r="O1064" s="11"/>
    </row>
    <row r="1065" customFormat="false" ht="15" hidden="false" customHeight="false" outlineLevel="0" collapsed="false">
      <c r="A1065" s="11" t="s">
        <v>455</v>
      </c>
      <c r="B1065" s="11" t="s">
        <v>350</v>
      </c>
      <c r="C1065" s="11" t="s">
        <v>349</v>
      </c>
      <c r="D1065" s="38" t="n">
        <v>46260</v>
      </c>
      <c r="E1065" s="38" t="n">
        <v>46320</v>
      </c>
      <c r="F1065" s="37" t="n">
        <v>8210</v>
      </c>
      <c r="G1065" s="37" t="n">
        <v>1642</v>
      </c>
      <c r="H1065" s="37" t="n">
        <v>9852</v>
      </c>
      <c r="I1065" s="11" t="s">
        <v>283</v>
      </c>
      <c r="J1065" s="11"/>
      <c r="K1065" s="11" t="s">
        <v>282</v>
      </c>
      <c r="L1065" s="38"/>
      <c r="M1065" s="11"/>
      <c r="N1065" s="11" t="n">
        <v>0</v>
      </c>
      <c r="O1065" s="11"/>
    </row>
    <row r="1066" customFormat="false" ht="15" hidden="false" customHeight="false" outlineLevel="0" collapsed="false">
      <c r="A1066" s="11" t="s">
        <v>473</v>
      </c>
      <c r="B1066" s="11" t="s">
        <v>332</v>
      </c>
      <c r="C1066" s="11" t="s">
        <v>331</v>
      </c>
      <c r="D1066" s="38" t="n">
        <v>46261</v>
      </c>
      <c r="E1066" s="38" t="n">
        <v>46306</v>
      </c>
      <c r="F1066" s="37" t="n">
        <v>5300</v>
      </c>
      <c r="G1066" s="37" t="n">
        <v>1060</v>
      </c>
      <c r="H1066" s="37" t="n">
        <v>6360</v>
      </c>
      <c r="I1066" s="11" t="s">
        <v>283</v>
      </c>
      <c r="J1066" s="11"/>
      <c r="K1066" s="11" t="s">
        <v>282</v>
      </c>
      <c r="L1066" s="38"/>
      <c r="M1066" s="11"/>
      <c r="N1066" s="11" t="n">
        <v>0</v>
      </c>
      <c r="O1066" s="11"/>
    </row>
    <row r="1067" customFormat="false" ht="15" hidden="false" customHeight="false" outlineLevel="0" collapsed="false">
      <c r="A1067" s="11" t="s">
        <v>277</v>
      </c>
      <c r="B1067" s="11" t="s">
        <v>281</v>
      </c>
      <c r="C1067" s="11" t="s">
        <v>280</v>
      </c>
      <c r="D1067" s="38" t="n">
        <v>46261</v>
      </c>
      <c r="E1067" s="38" t="n">
        <v>46306</v>
      </c>
      <c r="F1067" s="37" t="n">
        <v>6530</v>
      </c>
      <c r="G1067" s="37" t="n">
        <v>1306</v>
      </c>
      <c r="H1067" s="37" t="n">
        <v>7836</v>
      </c>
      <c r="I1067" s="11" t="s">
        <v>283</v>
      </c>
      <c r="J1067" s="11"/>
      <c r="K1067" s="11" t="s">
        <v>282</v>
      </c>
      <c r="L1067" s="38"/>
      <c r="M1067" s="11"/>
      <c r="N1067" s="11" t="n">
        <v>0</v>
      </c>
      <c r="O1067" s="11"/>
    </row>
    <row r="1068" customFormat="false" ht="15" hidden="false" customHeight="false" outlineLevel="0" collapsed="false">
      <c r="A1068" s="11" t="s">
        <v>321</v>
      </c>
      <c r="B1068" s="11" t="s">
        <v>324</v>
      </c>
      <c r="C1068" s="11" t="s">
        <v>323</v>
      </c>
      <c r="D1068" s="38" t="n">
        <v>46266</v>
      </c>
      <c r="E1068" s="38" t="n">
        <v>46296</v>
      </c>
      <c r="F1068" s="37" t="n">
        <v>2340</v>
      </c>
      <c r="G1068" s="37" t="n">
        <v>468</v>
      </c>
      <c r="H1068" s="37" t="n">
        <v>2808</v>
      </c>
      <c r="I1068" s="11" t="s">
        <v>283</v>
      </c>
      <c r="J1068" s="11"/>
      <c r="K1068" s="11" t="s">
        <v>282</v>
      </c>
      <c r="L1068" s="38"/>
      <c r="M1068" s="11"/>
      <c r="N1068" s="11" t="n">
        <v>8</v>
      </c>
      <c r="O1068" s="11"/>
    </row>
    <row r="1069" customFormat="false" ht="15" hidden="false" customHeight="false" outlineLevel="0" collapsed="false">
      <c r="A1069" s="11" t="s">
        <v>495</v>
      </c>
      <c r="B1069" s="11" t="s">
        <v>350</v>
      </c>
      <c r="C1069" s="11" t="s">
        <v>349</v>
      </c>
      <c r="D1069" s="38" t="n">
        <v>46266</v>
      </c>
      <c r="E1069" s="38" t="n">
        <v>46326</v>
      </c>
      <c r="F1069" s="37" t="n">
        <v>9730</v>
      </c>
      <c r="G1069" s="37" t="n">
        <v>1946</v>
      </c>
      <c r="H1069" s="37" t="n">
        <v>11676</v>
      </c>
      <c r="I1069" s="11" t="s">
        <v>283</v>
      </c>
      <c r="J1069" s="11"/>
      <c r="K1069" s="11" t="s">
        <v>282</v>
      </c>
      <c r="L1069" s="38"/>
      <c r="M1069" s="11"/>
      <c r="N1069" s="11" t="n">
        <v>0</v>
      </c>
      <c r="O1069" s="11"/>
    </row>
    <row r="1070" customFormat="false" ht="15" hidden="false" customHeight="false" outlineLevel="0" collapsed="false">
      <c r="A1070" s="11" t="s">
        <v>378</v>
      </c>
      <c r="B1070" s="11" t="s">
        <v>336</v>
      </c>
      <c r="C1070" s="11" t="s">
        <v>335</v>
      </c>
      <c r="D1070" s="38" t="n">
        <v>46266</v>
      </c>
      <c r="E1070" s="38" t="n">
        <v>46311</v>
      </c>
      <c r="F1070" s="37" t="n">
        <v>2470</v>
      </c>
      <c r="G1070" s="37" t="n">
        <v>494</v>
      </c>
      <c r="H1070" s="37" t="n">
        <v>2964</v>
      </c>
      <c r="I1070" s="11" t="s">
        <v>283</v>
      </c>
      <c r="J1070" s="11"/>
      <c r="K1070" s="11" t="s">
        <v>282</v>
      </c>
      <c r="L1070" s="38"/>
      <c r="M1070" s="11"/>
      <c r="N1070" s="11" t="n">
        <v>0</v>
      </c>
      <c r="O1070" s="11"/>
    </row>
    <row r="1071" customFormat="false" ht="15" hidden="false" customHeight="false" outlineLevel="0" collapsed="false">
      <c r="A1071" s="11" t="s">
        <v>380</v>
      </c>
      <c r="B1071" s="11" t="s">
        <v>336</v>
      </c>
      <c r="C1071" s="11" t="s">
        <v>335</v>
      </c>
      <c r="D1071" s="38" t="n">
        <v>46266</v>
      </c>
      <c r="E1071" s="38" t="n">
        <v>46311</v>
      </c>
      <c r="F1071" s="37" t="n">
        <v>4780</v>
      </c>
      <c r="G1071" s="37" t="n">
        <v>956</v>
      </c>
      <c r="H1071" s="37" t="n">
        <v>5736</v>
      </c>
      <c r="I1071" s="11" t="s">
        <v>283</v>
      </c>
      <c r="J1071" s="11"/>
      <c r="K1071" s="11" t="s">
        <v>282</v>
      </c>
      <c r="L1071" s="38"/>
      <c r="M1071" s="11"/>
      <c r="N1071" s="11" t="n">
        <v>0</v>
      </c>
      <c r="O1071" s="11"/>
    </row>
    <row r="1072" customFormat="false" ht="15" hidden="false" customHeight="false" outlineLevel="0" collapsed="false">
      <c r="A1072" s="11" t="s">
        <v>556</v>
      </c>
      <c r="B1072" s="11" t="s">
        <v>328</v>
      </c>
      <c r="C1072" s="11" t="s">
        <v>327</v>
      </c>
      <c r="D1072" s="38" t="n">
        <v>46266</v>
      </c>
      <c r="E1072" s="38" t="n">
        <v>46326</v>
      </c>
      <c r="F1072" s="37" t="n">
        <v>11200</v>
      </c>
      <c r="G1072" s="37" t="n">
        <v>2240</v>
      </c>
      <c r="H1072" s="37" t="n">
        <v>13440</v>
      </c>
      <c r="I1072" s="11" t="s">
        <v>283</v>
      </c>
      <c r="J1072" s="11"/>
      <c r="K1072" s="11" t="s">
        <v>282</v>
      </c>
      <c r="L1072" s="38"/>
      <c r="M1072" s="11"/>
      <c r="N1072" s="11" t="n">
        <v>0</v>
      </c>
      <c r="O1072" s="11"/>
    </row>
    <row r="1073" customFormat="false" ht="15" hidden="false" customHeight="false" outlineLevel="0" collapsed="false">
      <c r="A1073" s="11" t="s">
        <v>503</v>
      </c>
      <c r="B1073" s="11" t="s">
        <v>332</v>
      </c>
      <c r="C1073" s="11" t="s">
        <v>331</v>
      </c>
      <c r="D1073" s="38" t="n">
        <v>46267</v>
      </c>
      <c r="E1073" s="38" t="n">
        <v>46312</v>
      </c>
      <c r="F1073" s="37" t="n">
        <v>4850</v>
      </c>
      <c r="G1073" s="37" t="n">
        <v>970</v>
      </c>
      <c r="H1073" s="37" t="n">
        <v>5820</v>
      </c>
      <c r="I1073" s="11" t="s">
        <v>283</v>
      </c>
      <c r="J1073" s="11"/>
      <c r="K1073" s="11" t="s">
        <v>282</v>
      </c>
      <c r="L1073" s="38"/>
      <c r="M1073" s="11"/>
      <c r="N1073" s="11" t="n">
        <v>0</v>
      </c>
      <c r="O1073" s="11"/>
    </row>
    <row r="1074" customFormat="false" ht="15" hidden="false" customHeight="false" outlineLevel="0" collapsed="false">
      <c r="A1074" s="11" t="s">
        <v>505</v>
      </c>
      <c r="B1074" s="11" t="s">
        <v>332</v>
      </c>
      <c r="C1074" s="11" t="s">
        <v>331</v>
      </c>
      <c r="D1074" s="38" t="n">
        <v>46267</v>
      </c>
      <c r="E1074" s="38" t="n">
        <v>46312</v>
      </c>
      <c r="F1074" s="37" t="n">
        <v>7970</v>
      </c>
      <c r="G1074" s="37" t="n">
        <v>1594</v>
      </c>
      <c r="H1074" s="37" t="n">
        <v>9564</v>
      </c>
      <c r="I1074" s="11" t="s">
        <v>283</v>
      </c>
      <c r="J1074" s="11"/>
      <c r="K1074" s="11" t="s">
        <v>282</v>
      </c>
      <c r="L1074" s="38"/>
      <c r="M1074" s="11"/>
      <c r="N1074" s="11" t="n">
        <v>0</v>
      </c>
      <c r="O1074" s="11"/>
    </row>
    <row r="1075" customFormat="false" ht="15" hidden="false" customHeight="false" outlineLevel="0" collapsed="false">
      <c r="A1075" s="11" t="s">
        <v>338</v>
      </c>
      <c r="B1075" s="11" t="s">
        <v>324</v>
      </c>
      <c r="C1075" s="11" t="s">
        <v>323</v>
      </c>
      <c r="D1075" s="38" t="n">
        <v>46268</v>
      </c>
      <c r="E1075" s="38" t="n">
        <v>46298</v>
      </c>
      <c r="F1075" s="37" t="n">
        <v>9320</v>
      </c>
      <c r="G1075" s="37" t="n">
        <v>1864</v>
      </c>
      <c r="H1075" s="37" t="n">
        <v>11184</v>
      </c>
      <c r="I1075" s="11" t="s">
        <v>283</v>
      </c>
      <c r="J1075" s="11"/>
      <c r="K1075" s="11" t="s">
        <v>282</v>
      </c>
      <c r="L1075" s="38"/>
      <c r="M1075" s="11"/>
      <c r="N1075" s="11" t="n">
        <v>6</v>
      </c>
      <c r="O1075" s="11"/>
    </row>
    <row r="1076" customFormat="false" ht="15" hidden="false" customHeight="false" outlineLevel="0" collapsed="false">
      <c r="A1076" s="11" t="s">
        <v>574</v>
      </c>
      <c r="B1076" s="11" t="s">
        <v>328</v>
      </c>
      <c r="C1076" s="11" t="s">
        <v>327</v>
      </c>
      <c r="D1076" s="38" t="n">
        <v>46269</v>
      </c>
      <c r="E1076" s="38" t="n">
        <v>46329</v>
      </c>
      <c r="F1076" s="37" t="n">
        <v>35850</v>
      </c>
      <c r="G1076" s="37" t="n">
        <v>7170</v>
      </c>
      <c r="H1076" s="37" t="n">
        <v>43020</v>
      </c>
      <c r="I1076" s="11" t="s">
        <v>283</v>
      </c>
      <c r="J1076" s="11"/>
      <c r="K1076" s="11" t="s">
        <v>282</v>
      </c>
      <c r="L1076" s="38"/>
      <c r="M1076" s="11"/>
      <c r="N1076" s="11" t="n">
        <v>0</v>
      </c>
      <c r="O1076" s="11"/>
    </row>
    <row r="1077" customFormat="false" ht="15" hidden="false" customHeight="false" outlineLevel="0" collapsed="false">
      <c r="A1077" s="11" t="s">
        <v>395</v>
      </c>
      <c r="B1077" s="11" t="s">
        <v>336</v>
      </c>
      <c r="C1077" s="11" t="s">
        <v>335</v>
      </c>
      <c r="D1077" s="38" t="n">
        <v>46269</v>
      </c>
      <c r="E1077" s="38" t="n">
        <v>46314</v>
      </c>
      <c r="F1077" s="37" t="n">
        <v>10710</v>
      </c>
      <c r="G1077" s="37" t="n">
        <v>2142</v>
      </c>
      <c r="H1077" s="37" t="n">
        <v>12852</v>
      </c>
      <c r="I1077" s="11" t="s">
        <v>283</v>
      </c>
      <c r="J1077" s="11"/>
      <c r="K1077" s="11" t="s">
        <v>282</v>
      </c>
      <c r="L1077" s="38"/>
      <c r="M1077" s="11"/>
      <c r="N1077" s="11" t="n">
        <v>0</v>
      </c>
      <c r="O1077" s="11"/>
    </row>
    <row r="1078" customFormat="false" ht="15" hidden="false" customHeight="false" outlineLevel="0" collapsed="false">
      <c r="A1078" s="11" t="s">
        <v>340</v>
      </c>
      <c r="B1078" s="11" t="s">
        <v>281</v>
      </c>
      <c r="C1078" s="11" t="s">
        <v>280</v>
      </c>
      <c r="D1078" s="38" t="n">
        <v>46269</v>
      </c>
      <c r="E1078" s="38" t="n">
        <v>46314</v>
      </c>
      <c r="F1078" s="37" t="n">
        <v>11070</v>
      </c>
      <c r="G1078" s="37" t="n">
        <v>2214</v>
      </c>
      <c r="H1078" s="37" t="n">
        <v>13284</v>
      </c>
      <c r="I1078" s="11" t="s">
        <v>283</v>
      </c>
      <c r="J1078" s="11"/>
      <c r="K1078" s="11" t="s">
        <v>282</v>
      </c>
      <c r="L1078" s="38"/>
      <c r="M1078" s="11"/>
      <c r="N1078" s="11" t="n">
        <v>0</v>
      </c>
      <c r="O1078" s="11"/>
    </row>
    <row r="1079" customFormat="false" ht="15" hidden="false" customHeight="false" outlineLevel="0" collapsed="false">
      <c r="A1079" s="11" t="s">
        <v>342</v>
      </c>
      <c r="B1079" s="11" t="s">
        <v>281</v>
      </c>
      <c r="C1079" s="11" t="s">
        <v>280</v>
      </c>
      <c r="D1079" s="38" t="n">
        <v>46269</v>
      </c>
      <c r="E1079" s="38" t="n">
        <v>46314</v>
      </c>
      <c r="F1079" s="37" t="n">
        <v>5560</v>
      </c>
      <c r="G1079" s="37" t="n">
        <v>1112</v>
      </c>
      <c r="H1079" s="37" t="n">
        <v>6672</v>
      </c>
      <c r="I1079" s="11" t="s">
        <v>283</v>
      </c>
      <c r="J1079" s="11"/>
      <c r="K1079" s="11" t="s">
        <v>282</v>
      </c>
      <c r="L1079" s="38"/>
      <c r="M1079" s="11"/>
      <c r="N1079" s="11" t="n">
        <v>0</v>
      </c>
      <c r="O1079" s="11"/>
    </row>
    <row r="1080" customFormat="false" ht="15" hidden="false" customHeight="false" outlineLevel="0" collapsed="false">
      <c r="A1080" s="11" t="s">
        <v>4114</v>
      </c>
      <c r="B1080" s="11" t="s">
        <v>324</v>
      </c>
      <c r="C1080" s="11" t="s">
        <v>323</v>
      </c>
      <c r="D1080" s="38" t="n">
        <v>46269</v>
      </c>
      <c r="E1080" s="38" t="n">
        <v>46299</v>
      </c>
      <c r="F1080" s="37" t="n">
        <v>3190</v>
      </c>
      <c r="G1080" s="37" t="n">
        <v>638</v>
      </c>
      <c r="H1080" s="37" t="n">
        <v>3828</v>
      </c>
      <c r="I1080" s="11" t="s">
        <v>283</v>
      </c>
      <c r="J1080" s="11"/>
      <c r="K1080" s="11" t="s">
        <v>4152</v>
      </c>
      <c r="L1080" s="38" t="n">
        <v>46303</v>
      </c>
      <c r="M1080" s="11" t="n">
        <v>4</v>
      </c>
      <c r="N1080" s="11"/>
      <c r="O1080" s="11"/>
    </row>
    <row r="1081" customFormat="false" ht="15" hidden="false" customHeight="false" outlineLevel="0" collapsed="false">
      <c r="A1081" s="11" t="s">
        <v>483</v>
      </c>
      <c r="B1081" s="11" t="s">
        <v>299</v>
      </c>
      <c r="C1081" s="11" t="s">
        <v>298</v>
      </c>
      <c r="D1081" s="38" t="n">
        <v>46269</v>
      </c>
      <c r="E1081" s="38" t="n">
        <v>46329</v>
      </c>
      <c r="F1081" s="37" t="n">
        <v>13160</v>
      </c>
      <c r="G1081" s="37" t="n">
        <v>0</v>
      </c>
      <c r="H1081" s="37" t="n">
        <v>13160</v>
      </c>
      <c r="I1081" s="11" t="s">
        <v>283</v>
      </c>
      <c r="J1081" s="11"/>
      <c r="K1081" s="11" t="s">
        <v>282</v>
      </c>
      <c r="L1081" s="38"/>
      <c r="M1081" s="11"/>
      <c r="N1081" s="11" t="n">
        <v>0</v>
      </c>
      <c r="O1081" s="11"/>
    </row>
    <row r="1082" customFormat="false" ht="15" hidden="false" customHeight="false" outlineLevel="0" collapsed="false">
      <c r="A1082" s="11" t="s">
        <v>344</v>
      </c>
      <c r="B1082" s="11" t="s">
        <v>281</v>
      </c>
      <c r="C1082" s="11" t="s">
        <v>280</v>
      </c>
      <c r="D1082" s="38" t="n">
        <v>46269</v>
      </c>
      <c r="E1082" s="38" t="n">
        <v>46314</v>
      </c>
      <c r="F1082" s="37" t="n">
        <v>8230</v>
      </c>
      <c r="G1082" s="37" t="n">
        <v>1646</v>
      </c>
      <c r="H1082" s="37" t="n">
        <v>9876</v>
      </c>
      <c r="I1082" s="11" t="s">
        <v>283</v>
      </c>
      <c r="J1082" s="11"/>
      <c r="K1082" s="11" t="s">
        <v>282</v>
      </c>
      <c r="L1082" s="38"/>
      <c r="M1082" s="11"/>
      <c r="N1082" s="11" t="n">
        <v>0</v>
      </c>
      <c r="O1082" s="11"/>
    </row>
    <row r="1083" customFormat="false" ht="15" hidden="false" customHeight="false" outlineLevel="0" collapsed="false">
      <c r="A1083" s="11" t="s">
        <v>519</v>
      </c>
      <c r="B1083" s="11" t="s">
        <v>350</v>
      </c>
      <c r="C1083" s="11" t="s">
        <v>349</v>
      </c>
      <c r="D1083" s="38" t="n">
        <v>46272</v>
      </c>
      <c r="E1083" s="38" t="n">
        <v>46332</v>
      </c>
      <c r="F1083" s="37" t="n">
        <v>33740</v>
      </c>
      <c r="G1083" s="37" t="n">
        <v>6748</v>
      </c>
      <c r="H1083" s="37" t="n">
        <v>40488</v>
      </c>
      <c r="I1083" s="11" t="s">
        <v>283</v>
      </c>
      <c r="J1083" s="11"/>
      <c r="K1083" s="11" t="s">
        <v>282</v>
      </c>
      <c r="L1083" s="38"/>
      <c r="M1083" s="11"/>
      <c r="N1083" s="11" t="n">
        <v>0</v>
      </c>
      <c r="O1083" s="11"/>
    </row>
    <row r="1084" customFormat="false" ht="15" hidden="false" customHeight="false" outlineLevel="0" collapsed="false">
      <c r="A1084" s="11" t="s">
        <v>368</v>
      </c>
      <c r="B1084" s="11" t="s">
        <v>281</v>
      </c>
      <c r="C1084" s="11" t="s">
        <v>280</v>
      </c>
      <c r="D1084" s="38" t="n">
        <v>46272</v>
      </c>
      <c r="E1084" s="38" t="n">
        <v>46317</v>
      </c>
      <c r="F1084" s="37" t="n">
        <v>5630</v>
      </c>
      <c r="G1084" s="37" t="n">
        <v>1126</v>
      </c>
      <c r="H1084" s="37" t="n">
        <v>6756</v>
      </c>
      <c r="I1084" s="11" t="s">
        <v>283</v>
      </c>
      <c r="J1084" s="11"/>
      <c r="K1084" s="11" t="s">
        <v>282</v>
      </c>
      <c r="L1084" s="38"/>
      <c r="M1084" s="11"/>
      <c r="N1084" s="11" t="n">
        <v>0</v>
      </c>
      <c r="O1084" s="11"/>
    </row>
    <row r="1085" customFormat="false" ht="15" hidden="false" customHeight="false" outlineLevel="0" collapsed="false">
      <c r="A1085" s="11" t="s">
        <v>346</v>
      </c>
      <c r="B1085" s="11" t="s">
        <v>324</v>
      </c>
      <c r="C1085" s="11" t="s">
        <v>323</v>
      </c>
      <c r="D1085" s="38" t="n">
        <v>46272</v>
      </c>
      <c r="E1085" s="38" t="n">
        <v>46302</v>
      </c>
      <c r="F1085" s="37" t="n">
        <v>4880</v>
      </c>
      <c r="G1085" s="37" t="n">
        <v>976</v>
      </c>
      <c r="H1085" s="37" t="n">
        <v>5856</v>
      </c>
      <c r="I1085" s="11" t="s">
        <v>283</v>
      </c>
      <c r="J1085" s="11"/>
      <c r="K1085" s="11" t="s">
        <v>282</v>
      </c>
      <c r="L1085" s="38"/>
      <c r="M1085" s="11"/>
      <c r="N1085" s="11" t="n">
        <v>2</v>
      </c>
      <c r="O1085" s="11"/>
    </row>
    <row r="1086" customFormat="false" ht="15" hidden="false" customHeight="false" outlineLevel="0" collapsed="false">
      <c r="A1086" s="11" t="s">
        <v>4105</v>
      </c>
      <c r="B1086" s="11" t="s">
        <v>288</v>
      </c>
      <c r="C1086" s="11" t="s">
        <v>287</v>
      </c>
      <c r="D1086" s="38" t="n">
        <v>46272</v>
      </c>
      <c r="E1086" s="38" t="n">
        <v>46302</v>
      </c>
      <c r="F1086" s="37" t="n">
        <v>1270</v>
      </c>
      <c r="G1086" s="37" t="n">
        <v>254</v>
      </c>
      <c r="H1086" s="37" t="n">
        <v>1524</v>
      </c>
      <c r="I1086" s="11" t="s">
        <v>283</v>
      </c>
      <c r="J1086" s="11"/>
      <c r="K1086" s="11" t="s">
        <v>4152</v>
      </c>
      <c r="L1086" s="38" t="n">
        <v>46300</v>
      </c>
      <c r="M1086" s="11" t="n">
        <v>-2</v>
      </c>
      <c r="N1086" s="11"/>
      <c r="O1086" s="11"/>
    </row>
    <row r="1087" customFormat="false" ht="15" hidden="false" customHeight="false" outlineLevel="0" collapsed="false">
      <c r="A1087" s="11" t="s">
        <v>427</v>
      </c>
      <c r="B1087" s="11" t="s">
        <v>336</v>
      </c>
      <c r="C1087" s="11" t="s">
        <v>335</v>
      </c>
      <c r="D1087" s="38" t="n">
        <v>46273</v>
      </c>
      <c r="E1087" s="38" t="n">
        <v>46318</v>
      </c>
      <c r="F1087" s="37" t="n">
        <v>3910</v>
      </c>
      <c r="G1087" s="37" t="n">
        <v>782</v>
      </c>
      <c r="H1087" s="37" t="n">
        <v>4692</v>
      </c>
      <c r="I1087" s="11" t="s">
        <v>283</v>
      </c>
      <c r="J1087" s="11"/>
      <c r="K1087" s="11" t="s">
        <v>282</v>
      </c>
      <c r="L1087" s="38"/>
      <c r="M1087" s="11"/>
      <c r="N1087" s="11" t="n">
        <v>0</v>
      </c>
      <c r="O1087" s="11"/>
    </row>
    <row r="1088" customFormat="false" ht="15" hidden="false" customHeight="false" outlineLevel="0" collapsed="false">
      <c r="A1088" s="11" t="s">
        <v>429</v>
      </c>
      <c r="B1088" s="11" t="s">
        <v>336</v>
      </c>
      <c r="C1088" s="11" t="s">
        <v>335</v>
      </c>
      <c r="D1088" s="38" t="n">
        <v>46273</v>
      </c>
      <c r="E1088" s="38" t="n">
        <v>46318</v>
      </c>
      <c r="F1088" s="37" t="n">
        <v>7990</v>
      </c>
      <c r="G1088" s="37" t="n">
        <v>1598</v>
      </c>
      <c r="H1088" s="37" t="n">
        <v>9588</v>
      </c>
      <c r="I1088" s="11" t="s">
        <v>283</v>
      </c>
      <c r="J1088" s="11"/>
      <c r="K1088" s="11" t="s">
        <v>282</v>
      </c>
      <c r="L1088" s="38"/>
      <c r="M1088" s="11"/>
      <c r="N1088" s="11" t="n">
        <v>0</v>
      </c>
      <c r="O1088" s="11"/>
    </row>
    <row r="1089" customFormat="false" ht="15" hidden="false" customHeight="false" outlineLevel="0" collapsed="false">
      <c r="A1089" s="11" t="s">
        <v>535</v>
      </c>
      <c r="B1089" s="11" t="s">
        <v>350</v>
      </c>
      <c r="C1089" s="11" t="s">
        <v>349</v>
      </c>
      <c r="D1089" s="38" t="n">
        <v>46274</v>
      </c>
      <c r="E1089" s="38" t="n">
        <v>46334</v>
      </c>
      <c r="F1089" s="37" t="n">
        <v>3700</v>
      </c>
      <c r="G1089" s="37" t="n">
        <v>740</v>
      </c>
      <c r="H1089" s="37" t="n">
        <v>4440</v>
      </c>
      <c r="I1089" s="11" t="s">
        <v>283</v>
      </c>
      <c r="J1089" s="11"/>
      <c r="K1089" s="11" t="s">
        <v>282</v>
      </c>
      <c r="L1089" s="38"/>
      <c r="M1089" s="11"/>
      <c r="N1089" s="11" t="n">
        <v>0</v>
      </c>
      <c r="O1089" s="11"/>
    </row>
    <row r="1090" customFormat="false" ht="15" hidden="false" customHeight="false" outlineLevel="0" collapsed="false">
      <c r="A1090" s="11" t="s">
        <v>285</v>
      </c>
      <c r="B1090" s="11" t="s">
        <v>288</v>
      </c>
      <c r="C1090" s="11" t="s">
        <v>287</v>
      </c>
      <c r="D1090" s="38" t="n">
        <v>46275</v>
      </c>
      <c r="E1090" s="38" t="n">
        <v>46305</v>
      </c>
      <c r="F1090" s="37" t="n">
        <v>6850</v>
      </c>
      <c r="G1090" s="37" t="n">
        <v>1370</v>
      </c>
      <c r="H1090" s="37" t="n">
        <v>8220</v>
      </c>
      <c r="I1090" s="11" t="s">
        <v>283</v>
      </c>
      <c r="J1090" s="11"/>
      <c r="K1090" s="11" t="s">
        <v>282</v>
      </c>
      <c r="L1090" s="38"/>
      <c r="M1090" s="11"/>
      <c r="N1090" s="11" t="n">
        <v>0</v>
      </c>
      <c r="O1090" s="11"/>
    </row>
    <row r="1091" customFormat="false" ht="15" hidden="false" customHeight="false" outlineLevel="0" collapsed="false">
      <c r="A1091" s="11" t="s">
        <v>521</v>
      </c>
      <c r="B1091" s="11" t="s">
        <v>299</v>
      </c>
      <c r="C1091" s="11" t="s">
        <v>298</v>
      </c>
      <c r="D1091" s="38" t="n">
        <v>46275</v>
      </c>
      <c r="E1091" s="38" t="n">
        <v>46335</v>
      </c>
      <c r="F1091" s="37" t="n">
        <v>13020</v>
      </c>
      <c r="G1091" s="37" t="n">
        <v>0</v>
      </c>
      <c r="H1091" s="37" t="n">
        <v>13020</v>
      </c>
      <c r="I1091" s="11" t="s">
        <v>283</v>
      </c>
      <c r="J1091" s="11"/>
      <c r="K1091" s="11" t="s">
        <v>282</v>
      </c>
      <c r="L1091" s="38"/>
      <c r="M1091" s="11"/>
      <c r="N1091" s="11" t="n">
        <v>0</v>
      </c>
      <c r="O1091" s="11"/>
    </row>
    <row r="1092" customFormat="false" ht="15" hidden="false" customHeight="false" outlineLevel="0" collapsed="false">
      <c r="A1092" s="11" t="s">
        <v>303</v>
      </c>
      <c r="B1092" s="11" t="s">
        <v>288</v>
      </c>
      <c r="C1092" s="11" t="s">
        <v>287</v>
      </c>
      <c r="D1092" s="38" t="n">
        <v>46276</v>
      </c>
      <c r="E1092" s="38" t="n">
        <v>46306</v>
      </c>
      <c r="F1092" s="37" t="n">
        <v>2940</v>
      </c>
      <c r="G1092" s="37" t="n">
        <v>588</v>
      </c>
      <c r="H1092" s="37" t="n">
        <v>3528</v>
      </c>
      <c r="I1092" s="11" t="s">
        <v>283</v>
      </c>
      <c r="J1092" s="11"/>
      <c r="K1092" s="11" t="s">
        <v>282</v>
      </c>
      <c r="L1092" s="38"/>
      <c r="M1092" s="11"/>
      <c r="N1092" s="11" t="n">
        <v>0</v>
      </c>
      <c r="O1092" s="11"/>
    </row>
    <row r="1093" customFormat="false" ht="15" hidden="false" customHeight="false" outlineLevel="0" collapsed="false">
      <c r="A1093" s="11" t="s">
        <v>435</v>
      </c>
      <c r="B1093" s="11" t="s">
        <v>336</v>
      </c>
      <c r="C1093" s="11" t="s">
        <v>335</v>
      </c>
      <c r="D1093" s="38" t="n">
        <v>46276</v>
      </c>
      <c r="E1093" s="38" t="n">
        <v>46321</v>
      </c>
      <c r="F1093" s="37" t="n">
        <v>3340</v>
      </c>
      <c r="G1093" s="37" t="n">
        <v>668</v>
      </c>
      <c r="H1093" s="37" t="n">
        <v>4008</v>
      </c>
      <c r="I1093" s="11" t="s">
        <v>283</v>
      </c>
      <c r="J1093" s="11"/>
      <c r="K1093" s="11" t="s">
        <v>282</v>
      </c>
      <c r="L1093" s="38"/>
      <c r="M1093" s="11"/>
      <c r="N1093" s="11" t="n">
        <v>0</v>
      </c>
      <c r="O1093" s="11"/>
    </row>
    <row r="1094" customFormat="false" ht="15" hidden="false" customHeight="false" outlineLevel="0" collapsed="false">
      <c r="A1094" s="11" t="s">
        <v>576</v>
      </c>
      <c r="B1094" s="11" t="s">
        <v>393</v>
      </c>
      <c r="C1094" s="11" t="s">
        <v>392</v>
      </c>
      <c r="D1094" s="38" t="n">
        <v>46276</v>
      </c>
      <c r="E1094" s="38" t="n">
        <v>46326</v>
      </c>
      <c r="F1094" s="37" t="n">
        <v>9410</v>
      </c>
      <c r="G1094" s="37" t="n">
        <v>1882</v>
      </c>
      <c r="H1094" s="37" t="n">
        <v>11292</v>
      </c>
      <c r="I1094" s="11" t="s">
        <v>283</v>
      </c>
      <c r="J1094" s="11"/>
      <c r="K1094" s="11" t="s">
        <v>282</v>
      </c>
      <c r="L1094" s="38"/>
      <c r="M1094" s="11"/>
      <c r="N1094" s="11" t="n">
        <v>0</v>
      </c>
      <c r="O1094" s="11"/>
    </row>
    <row r="1095" customFormat="false" ht="15" hidden="false" customHeight="false" outlineLevel="0" collapsed="false">
      <c r="A1095" s="11" t="s">
        <v>552</v>
      </c>
      <c r="B1095" s="11" t="s">
        <v>350</v>
      </c>
      <c r="C1095" s="11" t="s">
        <v>349</v>
      </c>
      <c r="D1095" s="38" t="n">
        <v>46276</v>
      </c>
      <c r="E1095" s="38" t="n">
        <v>46336</v>
      </c>
      <c r="F1095" s="37" t="n">
        <v>4980</v>
      </c>
      <c r="G1095" s="37" t="n">
        <v>996</v>
      </c>
      <c r="H1095" s="37" t="n">
        <v>5976</v>
      </c>
      <c r="I1095" s="11" t="s">
        <v>283</v>
      </c>
      <c r="J1095" s="11"/>
      <c r="K1095" s="11" t="s">
        <v>282</v>
      </c>
      <c r="L1095" s="38"/>
      <c r="M1095" s="11"/>
      <c r="N1095" s="11" t="n">
        <v>0</v>
      </c>
      <c r="O1095" s="11"/>
    </row>
    <row r="1096" customFormat="false" ht="15" hidden="false" customHeight="false" outlineLevel="0" collapsed="false">
      <c r="A1096" s="11" t="s">
        <v>554</v>
      </c>
      <c r="B1096" s="11" t="s">
        <v>350</v>
      </c>
      <c r="C1096" s="11" t="s">
        <v>349</v>
      </c>
      <c r="D1096" s="38" t="n">
        <v>46276</v>
      </c>
      <c r="E1096" s="38" t="n">
        <v>46336</v>
      </c>
      <c r="F1096" s="37" t="n">
        <v>13110</v>
      </c>
      <c r="G1096" s="37" t="n">
        <v>2622</v>
      </c>
      <c r="H1096" s="37" t="n">
        <v>15732</v>
      </c>
      <c r="I1096" s="11" t="s">
        <v>283</v>
      </c>
      <c r="J1096" s="11"/>
      <c r="K1096" s="11" t="s">
        <v>282</v>
      </c>
      <c r="L1096" s="38"/>
      <c r="M1096" s="11"/>
      <c r="N1096" s="11" t="n">
        <v>0</v>
      </c>
      <c r="O1096" s="11"/>
    </row>
    <row r="1097" customFormat="false" ht="15" hidden="false" customHeight="false" outlineLevel="0" collapsed="false">
      <c r="A1097" s="11" t="s">
        <v>595</v>
      </c>
      <c r="B1097" s="11" t="s">
        <v>598</v>
      </c>
      <c r="C1097" s="11" t="s">
        <v>597</v>
      </c>
      <c r="D1097" s="38" t="n">
        <v>46279</v>
      </c>
      <c r="E1097" s="38" t="n">
        <v>46339</v>
      </c>
      <c r="F1097" s="37" t="n">
        <v>192000</v>
      </c>
      <c r="G1097" s="37" t="n">
        <v>38400</v>
      </c>
      <c r="H1097" s="37" t="n">
        <v>230400</v>
      </c>
      <c r="I1097" s="11" t="s">
        <v>599</v>
      </c>
      <c r="J1097" s="11" t="s">
        <v>4221</v>
      </c>
      <c r="K1097" s="11" t="s">
        <v>282</v>
      </c>
      <c r="L1097" s="38"/>
      <c r="M1097" s="11"/>
      <c r="N1097" s="11" t="n">
        <v>0</v>
      </c>
      <c r="O1097" s="11"/>
    </row>
    <row r="1098" customFormat="false" ht="15" hidden="false" customHeight="false" outlineLevel="0" collapsed="false">
      <c r="A1098" s="11" t="s">
        <v>475</v>
      </c>
      <c r="B1098" s="11" t="s">
        <v>336</v>
      </c>
      <c r="C1098" s="11" t="s">
        <v>335</v>
      </c>
      <c r="D1098" s="38" t="n">
        <v>46279</v>
      </c>
      <c r="E1098" s="38" t="n">
        <v>46324</v>
      </c>
      <c r="F1098" s="37" t="n">
        <v>7970</v>
      </c>
      <c r="G1098" s="37" t="n">
        <v>1594</v>
      </c>
      <c r="H1098" s="37" t="n">
        <v>9564</v>
      </c>
      <c r="I1098" s="11" t="s">
        <v>283</v>
      </c>
      <c r="J1098" s="11"/>
      <c r="K1098" s="11" t="s">
        <v>282</v>
      </c>
      <c r="L1098" s="38"/>
      <c r="M1098" s="11"/>
      <c r="N1098" s="11" t="n">
        <v>0</v>
      </c>
      <c r="O1098" s="11"/>
    </row>
    <row r="1099" customFormat="false" ht="15" hidden="false" customHeight="false" outlineLevel="0" collapsed="false">
      <c r="A1099" s="11" t="s">
        <v>603</v>
      </c>
      <c r="B1099" s="11" t="s">
        <v>393</v>
      </c>
      <c r="C1099" s="11" t="s">
        <v>392</v>
      </c>
      <c r="D1099" s="38" t="n">
        <v>46279</v>
      </c>
      <c r="E1099" s="38" t="n">
        <v>46329</v>
      </c>
      <c r="F1099" s="37" t="n">
        <v>19900</v>
      </c>
      <c r="G1099" s="37" t="n">
        <v>3980</v>
      </c>
      <c r="H1099" s="37" t="n">
        <v>23880</v>
      </c>
      <c r="I1099" s="11" t="s">
        <v>283</v>
      </c>
      <c r="J1099" s="11"/>
      <c r="K1099" s="11" t="s">
        <v>282</v>
      </c>
      <c r="L1099" s="38"/>
      <c r="M1099" s="11"/>
      <c r="N1099" s="11" t="n">
        <v>0</v>
      </c>
      <c r="O1099" s="11"/>
    </row>
    <row r="1100" customFormat="false" ht="15" hidden="false" customHeight="false" outlineLevel="0" collapsed="false">
      <c r="A1100" s="11" t="s">
        <v>431</v>
      </c>
      <c r="B1100" s="11" t="s">
        <v>281</v>
      </c>
      <c r="C1100" s="11" t="s">
        <v>280</v>
      </c>
      <c r="D1100" s="38" t="n">
        <v>46280</v>
      </c>
      <c r="E1100" s="38" t="n">
        <v>46325</v>
      </c>
      <c r="F1100" s="37" t="n">
        <v>7770</v>
      </c>
      <c r="G1100" s="37" t="n">
        <v>1554</v>
      </c>
      <c r="H1100" s="37" t="n">
        <v>9324</v>
      </c>
      <c r="I1100" s="11" t="s">
        <v>283</v>
      </c>
      <c r="J1100" s="11"/>
      <c r="K1100" s="11" t="s">
        <v>282</v>
      </c>
      <c r="L1100" s="38"/>
      <c r="M1100" s="11"/>
      <c r="N1100" s="11" t="n">
        <v>0</v>
      </c>
      <c r="O1100" s="11"/>
    </row>
    <row r="1101" customFormat="false" ht="15" hidden="false" customHeight="false" outlineLevel="0" collapsed="false">
      <c r="A1101" s="11" t="s">
        <v>558</v>
      </c>
      <c r="B1101" s="11" t="s">
        <v>299</v>
      </c>
      <c r="C1101" s="11" t="s">
        <v>298</v>
      </c>
      <c r="D1101" s="38" t="n">
        <v>46281</v>
      </c>
      <c r="E1101" s="38" t="n">
        <v>46341</v>
      </c>
      <c r="F1101" s="37" t="n">
        <v>6820</v>
      </c>
      <c r="G1101" s="37" t="n">
        <v>0</v>
      </c>
      <c r="H1101" s="37" t="n">
        <v>6820</v>
      </c>
      <c r="I1101" s="11" t="s">
        <v>283</v>
      </c>
      <c r="J1101" s="11"/>
      <c r="K1101" s="11" t="s">
        <v>282</v>
      </c>
      <c r="L1101" s="38"/>
      <c r="M1101" s="11"/>
      <c r="N1101" s="11" t="n">
        <v>0</v>
      </c>
      <c r="O1101" s="11"/>
    </row>
    <row r="1102" customFormat="false" ht="15" hidden="false" customHeight="false" outlineLevel="0" collapsed="false">
      <c r="A1102" s="11" t="s">
        <v>406</v>
      </c>
      <c r="B1102" s="11" t="s">
        <v>324</v>
      </c>
      <c r="C1102" s="11" t="s">
        <v>323</v>
      </c>
      <c r="D1102" s="38" t="n">
        <v>46281</v>
      </c>
      <c r="E1102" s="38" t="n">
        <v>46311</v>
      </c>
      <c r="F1102" s="37" t="n">
        <v>9590</v>
      </c>
      <c r="G1102" s="37" t="n">
        <v>1918</v>
      </c>
      <c r="H1102" s="37" t="n">
        <v>11508</v>
      </c>
      <c r="I1102" s="11" t="s">
        <v>283</v>
      </c>
      <c r="J1102" s="11"/>
      <c r="K1102" s="11" t="s">
        <v>282</v>
      </c>
      <c r="L1102" s="38"/>
      <c r="M1102" s="11"/>
      <c r="N1102" s="11" t="n">
        <v>0</v>
      </c>
      <c r="O1102" s="11"/>
    </row>
    <row r="1103" customFormat="false" ht="15" hidden="false" customHeight="false" outlineLevel="0" collapsed="false">
      <c r="A1103" s="11" t="s">
        <v>485</v>
      </c>
      <c r="B1103" s="11" t="s">
        <v>336</v>
      </c>
      <c r="C1103" s="11" t="s">
        <v>335</v>
      </c>
      <c r="D1103" s="38" t="n">
        <v>46282</v>
      </c>
      <c r="E1103" s="38" t="n">
        <v>46327</v>
      </c>
      <c r="F1103" s="37" t="n">
        <v>6590</v>
      </c>
      <c r="G1103" s="37" t="n">
        <v>1318</v>
      </c>
      <c r="H1103" s="37" t="n">
        <v>7908</v>
      </c>
      <c r="I1103" s="11" t="s">
        <v>283</v>
      </c>
      <c r="J1103" s="11"/>
      <c r="K1103" s="11" t="s">
        <v>282</v>
      </c>
      <c r="L1103" s="38"/>
      <c r="M1103" s="11"/>
      <c r="N1103" s="11" t="n">
        <v>0</v>
      </c>
      <c r="O1103" s="11"/>
    </row>
    <row r="1104" customFormat="false" ht="15" hidden="false" customHeight="false" outlineLevel="0" collapsed="false">
      <c r="A1104" s="11" t="s">
        <v>650</v>
      </c>
      <c r="B1104" s="11" t="s">
        <v>328</v>
      </c>
      <c r="C1104" s="11" t="s">
        <v>327</v>
      </c>
      <c r="D1104" s="38" t="n">
        <v>46282</v>
      </c>
      <c r="E1104" s="38" t="n">
        <v>46342</v>
      </c>
      <c r="F1104" s="37" t="n">
        <v>18340</v>
      </c>
      <c r="G1104" s="37" t="n">
        <v>3668</v>
      </c>
      <c r="H1104" s="37" t="n">
        <v>22008</v>
      </c>
      <c r="I1104" s="11" t="s">
        <v>283</v>
      </c>
      <c r="J1104" s="11"/>
      <c r="K1104" s="11" t="s">
        <v>282</v>
      </c>
      <c r="L1104" s="38"/>
      <c r="M1104" s="11"/>
      <c r="N1104" s="11" t="n">
        <v>0</v>
      </c>
      <c r="O1104" s="11"/>
    </row>
    <row r="1105" customFormat="false" ht="15" hidden="false" customHeight="false" outlineLevel="0" collapsed="false">
      <c r="A1105" s="11" t="s">
        <v>487</v>
      </c>
      <c r="B1105" s="11" t="s">
        <v>336</v>
      </c>
      <c r="C1105" s="11" t="s">
        <v>335</v>
      </c>
      <c r="D1105" s="38" t="n">
        <v>46282</v>
      </c>
      <c r="E1105" s="38" t="n">
        <v>46327</v>
      </c>
      <c r="F1105" s="37" t="n">
        <v>6870</v>
      </c>
      <c r="G1105" s="37" t="n">
        <v>1374</v>
      </c>
      <c r="H1105" s="37" t="n">
        <v>8244</v>
      </c>
      <c r="I1105" s="11" t="s">
        <v>283</v>
      </c>
      <c r="J1105" s="11"/>
      <c r="K1105" s="11" t="s">
        <v>282</v>
      </c>
      <c r="L1105" s="38"/>
      <c r="M1105" s="11"/>
      <c r="N1105" s="11" t="n">
        <v>0</v>
      </c>
      <c r="O1105" s="11"/>
    </row>
    <row r="1106" customFormat="false" ht="15" hidden="false" customHeight="false" outlineLevel="0" collapsed="false">
      <c r="A1106" s="11" t="s">
        <v>352</v>
      </c>
      <c r="B1106" s="11" t="s">
        <v>288</v>
      </c>
      <c r="C1106" s="11" t="s">
        <v>287</v>
      </c>
      <c r="D1106" s="38" t="n">
        <v>46282</v>
      </c>
      <c r="E1106" s="38" t="n">
        <v>46312</v>
      </c>
      <c r="F1106" s="37" t="n">
        <v>2180</v>
      </c>
      <c r="G1106" s="37" t="n">
        <v>436</v>
      </c>
      <c r="H1106" s="37" t="n">
        <v>2616</v>
      </c>
      <c r="I1106" s="11" t="s">
        <v>283</v>
      </c>
      <c r="J1106" s="11"/>
      <c r="K1106" s="11" t="s">
        <v>282</v>
      </c>
      <c r="L1106" s="38"/>
      <c r="M1106" s="11"/>
      <c r="N1106" s="11" t="n">
        <v>0</v>
      </c>
      <c r="O1106" s="11"/>
    </row>
    <row r="1107" customFormat="false" ht="15" hidden="false" customHeight="false" outlineLevel="0" collapsed="false">
      <c r="A1107" s="11" t="s">
        <v>354</v>
      </c>
      <c r="B1107" s="11" t="s">
        <v>288</v>
      </c>
      <c r="C1107" s="11" t="s">
        <v>287</v>
      </c>
      <c r="D1107" s="38" t="n">
        <v>46282</v>
      </c>
      <c r="E1107" s="38" t="n">
        <v>46312</v>
      </c>
      <c r="F1107" s="37" t="n">
        <v>2290</v>
      </c>
      <c r="G1107" s="37" t="n">
        <v>458</v>
      </c>
      <c r="H1107" s="37" t="n">
        <v>2748</v>
      </c>
      <c r="I1107" s="11" t="s">
        <v>283</v>
      </c>
      <c r="J1107" s="11"/>
      <c r="K1107" s="11" t="s">
        <v>282</v>
      </c>
      <c r="L1107" s="38"/>
      <c r="M1107" s="11"/>
      <c r="N1107" s="11" t="n">
        <v>0</v>
      </c>
      <c r="O1107" s="11"/>
    </row>
    <row r="1108" customFormat="false" ht="15" hidden="false" customHeight="false" outlineLevel="0" collapsed="false">
      <c r="A1108" s="11" t="s">
        <v>605</v>
      </c>
      <c r="B1108" s="11" t="s">
        <v>350</v>
      </c>
      <c r="C1108" s="11" t="s">
        <v>349</v>
      </c>
      <c r="D1108" s="38" t="n">
        <v>46283</v>
      </c>
      <c r="E1108" s="38" t="n">
        <v>46343</v>
      </c>
      <c r="F1108" s="37" t="n">
        <v>6980</v>
      </c>
      <c r="G1108" s="37" t="n">
        <v>1396</v>
      </c>
      <c r="H1108" s="37" t="n">
        <v>8376</v>
      </c>
      <c r="I1108" s="11" t="s">
        <v>283</v>
      </c>
      <c r="J1108" s="11"/>
      <c r="K1108" s="11" t="s">
        <v>282</v>
      </c>
      <c r="L1108" s="38"/>
      <c r="M1108" s="11"/>
      <c r="N1108" s="11" t="n">
        <v>0</v>
      </c>
      <c r="O1108" s="11"/>
    </row>
    <row r="1109" customFormat="false" ht="15" hidden="false" customHeight="false" outlineLevel="0" collapsed="false">
      <c r="A1109" s="11" t="s">
        <v>397</v>
      </c>
      <c r="B1109" s="11" t="s">
        <v>400</v>
      </c>
      <c r="C1109" s="11" t="s">
        <v>399</v>
      </c>
      <c r="D1109" s="38" t="n">
        <v>46283</v>
      </c>
      <c r="E1109" s="38" t="n">
        <v>46313</v>
      </c>
      <c r="F1109" s="37" t="n">
        <v>12100</v>
      </c>
      <c r="G1109" s="37" t="n">
        <v>2420</v>
      </c>
      <c r="H1109" s="37" t="n">
        <v>14520</v>
      </c>
      <c r="I1109" s="11" t="s">
        <v>283</v>
      </c>
      <c r="J1109" s="11"/>
      <c r="K1109" s="11" t="s">
        <v>282</v>
      </c>
      <c r="L1109" s="38"/>
      <c r="M1109" s="11"/>
      <c r="N1109" s="11" t="n">
        <v>0</v>
      </c>
      <c r="O1109" s="11"/>
    </row>
    <row r="1110" customFormat="false" ht="15" hidden="false" customHeight="false" outlineLevel="0" collapsed="false">
      <c r="A1110" s="11" t="s">
        <v>358</v>
      </c>
      <c r="B1110" s="11" t="s">
        <v>288</v>
      </c>
      <c r="C1110" s="11" t="s">
        <v>287</v>
      </c>
      <c r="D1110" s="38" t="n">
        <v>46283</v>
      </c>
      <c r="E1110" s="38" t="n">
        <v>46313</v>
      </c>
      <c r="F1110" s="37" t="n">
        <v>2430</v>
      </c>
      <c r="G1110" s="37" t="n">
        <v>486</v>
      </c>
      <c r="H1110" s="37" t="n">
        <v>2916</v>
      </c>
      <c r="I1110" s="11" t="s">
        <v>283</v>
      </c>
      <c r="J1110" s="11"/>
      <c r="K1110" s="11" t="s">
        <v>282</v>
      </c>
      <c r="L1110" s="38"/>
      <c r="M1110" s="11"/>
      <c r="N1110" s="11" t="n">
        <v>0</v>
      </c>
      <c r="O1110" s="11"/>
    </row>
    <row r="1111" customFormat="false" ht="15" hidden="false" customHeight="false" outlineLevel="0" collapsed="false">
      <c r="A1111" s="11" t="s">
        <v>437</v>
      </c>
      <c r="B1111" s="11" t="s">
        <v>281</v>
      </c>
      <c r="C1111" s="11" t="s">
        <v>280</v>
      </c>
      <c r="D1111" s="38" t="n">
        <v>46283</v>
      </c>
      <c r="E1111" s="38" t="n">
        <v>46328</v>
      </c>
      <c r="F1111" s="37" t="n">
        <v>7320</v>
      </c>
      <c r="G1111" s="37" t="n">
        <v>1464</v>
      </c>
      <c r="H1111" s="37" t="n">
        <v>8784</v>
      </c>
      <c r="I1111" s="11" t="s">
        <v>283</v>
      </c>
      <c r="J1111" s="11"/>
      <c r="K1111" s="11" t="s">
        <v>282</v>
      </c>
      <c r="L1111" s="38"/>
      <c r="M1111" s="11"/>
      <c r="N1111" s="11" t="n">
        <v>0</v>
      </c>
      <c r="O1111" s="11"/>
    </row>
    <row r="1112" customFormat="false" ht="15" hidden="false" customHeight="false" outlineLevel="0" collapsed="false">
      <c r="A1112" s="11" t="s">
        <v>489</v>
      </c>
      <c r="B1112" s="11" t="s">
        <v>336</v>
      </c>
      <c r="C1112" s="11" t="s">
        <v>335</v>
      </c>
      <c r="D1112" s="38" t="n">
        <v>46283</v>
      </c>
      <c r="E1112" s="38" t="n">
        <v>46328</v>
      </c>
      <c r="F1112" s="37" t="n">
        <v>4560</v>
      </c>
      <c r="G1112" s="37" t="n">
        <v>912</v>
      </c>
      <c r="H1112" s="37" t="n">
        <v>5472</v>
      </c>
      <c r="I1112" s="11" t="s">
        <v>283</v>
      </c>
      <c r="J1112" s="11"/>
      <c r="K1112" s="11" t="s">
        <v>282</v>
      </c>
      <c r="L1112" s="38"/>
      <c r="M1112" s="11"/>
      <c r="N1112" s="11" t="n">
        <v>0</v>
      </c>
      <c r="O1112" s="11"/>
    </row>
    <row r="1113" customFormat="false" ht="15" hidden="false" customHeight="false" outlineLevel="0" collapsed="false">
      <c r="A1113" s="11" t="s">
        <v>439</v>
      </c>
      <c r="B1113" s="11" t="s">
        <v>281</v>
      </c>
      <c r="C1113" s="11" t="s">
        <v>280</v>
      </c>
      <c r="D1113" s="38" t="n">
        <v>46283</v>
      </c>
      <c r="E1113" s="38" t="n">
        <v>46328</v>
      </c>
      <c r="F1113" s="37" t="n">
        <v>9190</v>
      </c>
      <c r="G1113" s="37" t="n">
        <v>1838</v>
      </c>
      <c r="H1113" s="37" t="n">
        <v>11028</v>
      </c>
      <c r="I1113" s="11" t="s">
        <v>283</v>
      </c>
      <c r="J1113" s="11"/>
      <c r="K1113" s="11" t="s">
        <v>282</v>
      </c>
      <c r="L1113" s="38"/>
      <c r="M1113" s="11"/>
      <c r="N1113" s="11" t="n">
        <v>0</v>
      </c>
      <c r="O1113" s="11"/>
    </row>
    <row r="1114" customFormat="false" ht="15" hidden="false" customHeight="false" outlineLevel="0" collapsed="false">
      <c r="A1114" s="11" t="s">
        <v>360</v>
      </c>
      <c r="B1114" s="11" t="s">
        <v>288</v>
      </c>
      <c r="C1114" s="11" t="s">
        <v>287</v>
      </c>
      <c r="D1114" s="38" t="n">
        <v>46283</v>
      </c>
      <c r="E1114" s="38" t="n">
        <v>46313</v>
      </c>
      <c r="F1114" s="37" t="n">
        <v>6630</v>
      </c>
      <c r="G1114" s="37" t="n">
        <v>1326</v>
      </c>
      <c r="H1114" s="37" t="n">
        <v>7956</v>
      </c>
      <c r="I1114" s="11" t="s">
        <v>283</v>
      </c>
      <c r="J1114" s="11"/>
      <c r="K1114" s="11" t="s">
        <v>282</v>
      </c>
      <c r="L1114" s="38"/>
      <c r="M1114" s="11"/>
      <c r="N1114" s="11" t="n">
        <v>0</v>
      </c>
      <c r="O1114" s="11"/>
    </row>
    <row r="1115" customFormat="false" ht="15" hidden="false" customHeight="false" outlineLevel="0" collapsed="false">
      <c r="A1115" s="11" t="s">
        <v>441</v>
      </c>
      <c r="B1115" s="11" t="s">
        <v>281</v>
      </c>
      <c r="C1115" s="11" t="s">
        <v>280</v>
      </c>
      <c r="D1115" s="38" t="n">
        <v>46283</v>
      </c>
      <c r="E1115" s="38" t="n">
        <v>46328</v>
      </c>
      <c r="F1115" s="37" t="n">
        <v>5250</v>
      </c>
      <c r="G1115" s="37" t="n">
        <v>1050</v>
      </c>
      <c r="H1115" s="37" t="n">
        <v>6300</v>
      </c>
      <c r="I1115" s="11" t="s">
        <v>283</v>
      </c>
      <c r="J1115" s="11"/>
      <c r="K1115" s="11" t="s">
        <v>282</v>
      </c>
      <c r="L1115" s="38"/>
      <c r="M1115" s="11"/>
      <c r="N1115" s="11" t="n">
        <v>0</v>
      </c>
      <c r="O1115" s="11"/>
    </row>
    <row r="1116" customFormat="false" ht="15" hidden="false" customHeight="false" outlineLevel="0" collapsed="false">
      <c r="A1116" s="11" t="s">
        <v>611</v>
      </c>
      <c r="B1116" s="11" t="s">
        <v>332</v>
      </c>
      <c r="C1116" s="11" t="s">
        <v>331</v>
      </c>
      <c r="D1116" s="38" t="n">
        <v>46286</v>
      </c>
      <c r="E1116" s="38" t="n">
        <v>46331</v>
      </c>
      <c r="F1116" s="37" t="n">
        <v>20570</v>
      </c>
      <c r="G1116" s="37" t="n">
        <v>4114</v>
      </c>
      <c r="H1116" s="37" t="n">
        <v>24684</v>
      </c>
      <c r="I1116" s="11" t="s">
        <v>283</v>
      </c>
      <c r="J1116" s="11"/>
      <c r="K1116" s="11" t="s">
        <v>282</v>
      </c>
      <c r="L1116" s="38"/>
      <c r="M1116" s="11"/>
      <c r="N1116" s="11" t="n">
        <v>0</v>
      </c>
      <c r="O1116" s="11"/>
    </row>
    <row r="1117" customFormat="false" ht="15" hidden="false" customHeight="false" outlineLevel="0" collapsed="false">
      <c r="A1117" s="11" t="s">
        <v>627</v>
      </c>
      <c r="B1117" s="11" t="s">
        <v>350</v>
      </c>
      <c r="C1117" s="11" t="s">
        <v>349</v>
      </c>
      <c r="D1117" s="38" t="n">
        <v>46287</v>
      </c>
      <c r="E1117" s="38" t="n">
        <v>46347</v>
      </c>
      <c r="F1117" s="37" t="n">
        <v>8370</v>
      </c>
      <c r="G1117" s="37" t="n">
        <v>1674</v>
      </c>
      <c r="H1117" s="37" t="n">
        <v>10044</v>
      </c>
      <c r="I1117" s="11" t="s">
        <v>283</v>
      </c>
      <c r="J1117" s="11"/>
      <c r="K1117" s="11" t="s">
        <v>282</v>
      </c>
      <c r="L1117" s="38"/>
      <c r="M1117" s="11"/>
      <c r="N1117" s="11" t="n">
        <v>0</v>
      </c>
      <c r="O1117" s="11"/>
    </row>
    <row r="1118" customFormat="false" ht="15" hidden="false" customHeight="false" outlineLevel="0" collapsed="false">
      <c r="A1118" s="11" t="s">
        <v>696</v>
      </c>
      <c r="B1118" s="11" t="s">
        <v>328</v>
      </c>
      <c r="C1118" s="11" t="s">
        <v>327</v>
      </c>
      <c r="D1118" s="38" t="n">
        <v>46287</v>
      </c>
      <c r="E1118" s="38" t="n">
        <v>46347</v>
      </c>
      <c r="F1118" s="37" t="n">
        <v>16300</v>
      </c>
      <c r="G1118" s="37" t="n">
        <v>3260</v>
      </c>
      <c r="H1118" s="37" t="n">
        <v>19560</v>
      </c>
      <c r="I1118" s="11" t="s">
        <v>283</v>
      </c>
      <c r="J1118" s="11"/>
      <c r="K1118" s="11" t="s">
        <v>282</v>
      </c>
      <c r="L1118" s="38"/>
      <c r="M1118" s="11"/>
      <c r="N1118" s="11" t="n">
        <v>0</v>
      </c>
      <c r="O1118" s="11"/>
    </row>
    <row r="1119" customFormat="false" ht="15" hidden="false" customHeight="false" outlineLevel="0" collapsed="false">
      <c r="A1119" s="11" t="s">
        <v>477</v>
      </c>
      <c r="B1119" s="11" t="s">
        <v>281</v>
      </c>
      <c r="C1119" s="11" t="s">
        <v>280</v>
      </c>
      <c r="D1119" s="38" t="n">
        <v>46287</v>
      </c>
      <c r="E1119" s="38" t="n">
        <v>46332</v>
      </c>
      <c r="F1119" s="37" t="n">
        <v>6610</v>
      </c>
      <c r="G1119" s="37" t="n">
        <v>1322</v>
      </c>
      <c r="H1119" s="37" t="n">
        <v>7932</v>
      </c>
      <c r="I1119" s="11" t="s">
        <v>283</v>
      </c>
      <c r="J1119" s="11"/>
      <c r="K1119" s="11" t="s">
        <v>282</v>
      </c>
      <c r="L1119" s="38"/>
      <c r="M1119" s="11"/>
      <c r="N1119" s="11" t="n">
        <v>0</v>
      </c>
      <c r="O1119" s="11"/>
    </row>
    <row r="1120" customFormat="false" ht="15" hidden="false" customHeight="false" outlineLevel="0" collapsed="false">
      <c r="A1120" s="11" t="s">
        <v>725</v>
      </c>
      <c r="B1120" s="11" t="s">
        <v>328</v>
      </c>
      <c r="C1120" s="11" t="s">
        <v>327</v>
      </c>
      <c r="D1120" s="38" t="n">
        <v>46290</v>
      </c>
      <c r="E1120" s="38" t="n">
        <v>46350</v>
      </c>
      <c r="F1120" s="37" t="n">
        <v>4670</v>
      </c>
      <c r="G1120" s="37" t="n">
        <v>934</v>
      </c>
      <c r="H1120" s="37" t="n">
        <v>5604</v>
      </c>
      <c r="I1120" s="11" t="s">
        <v>283</v>
      </c>
      <c r="J1120" s="11"/>
      <c r="K1120" s="11" t="s">
        <v>282</v>
      </c>
      <c r="L1120" s="38"/>
      <c r="M1120" s="11"/>
      <c r="N1120" s="11" t="n">
        <v>0</v>
      </c>
      <c r="O1120" s="11"/>
    </row>
    <row r="1121" customFormat="false" ht="15" hidden="false" customHeight="false" outlineLevel="0" collapsed="false">
      <c r="A1121" s="11" t="s">
        <v>727</v>
      </c>
      <c r="B1121" s="11" t="s">
        <v>328</v>
      </c>
      <c r="C1121" s="11" t="s">
        <v>327</v>
      </c>
      <c r="D1121" s="38" t="n">
        <v>46290</v>
      </c>
      <c r="E1121" s="38" t="n">
        <v>46350</v>
      </c>
      <c r="F1121" s="37" t="n">
        <v>19580</v>
      </c>
      <c r="G1121" s="37" t="n">
        <v>3916</v>
      </c>
      <c r="H1121" s="37" t="n">
        <v>23496</v>
      </c>
      <c r="I1121" s="11" t="s">
        <v>283</v>
      </c>
      <c r="J1121" s="11"/>
      <c r="K1121" s="11" t="s">
        <v>282</v>
      </c>
      <c r="L1121" s="38"/>
      <c r="M1121" s="11"/>
      <c r="N1121" s="11" t="n">
        <v>0</v>
      </c>
      <c r="O1121" s="11"/>
    </row>
    <row r="1122" customFormat="false" ht="15" hidden="false" customHeight="false" outlineLevel="0" collapsed="false">
      <c r="A1122" s="11" t="s">
        <v>523</v>
      </c>
      <c r="B1122" s="11" t="s">
        <v>336</v>
      </c>
      <c r="C1122" s="11" t="s">
        <v>335</v>
      </c>
      <c r="D1122" s="38" t="n">
        <v>46290</v>
      </c>
      <c r="E1122" s="38" t="n">
        <v>46335</v>
      </c>
      <c r="F1122" s="37" t="n">
        <v>6750</v>
      </c>
      <c r="G1122" s="37" t="n">
        <v>1350</v>
      </c>
      <c r="H1122" s="37" t="n">
        <v>8100</v>
      </c>
      <c r="I1122" s="11" t="s">
        <v>283</v>
      </c>
      <c r="J1122" s="11"/>
      <c r="K1122" s="11" t="s">
        <v>282</v>
      </c>
      <c r="L1122" s="38"/>
      <c r="M1122" s="11"/>
      <c r="N1122" s="11" t="n">
        <v>0</v>
      </c>
      <c r="O1122" s="11"/>
    </row>
    <row r="1123" customFormat="false" ht="15" hidden="false" customHeight="false" outlineLevel="0" collapsed="false">
      <c r="A1123" s="11" t="s">
        <v>408</v>
      </c>
      <c r="B1123" s="11" t="s">
        <v>288</v>
      </c>
      <c r="C1123" s="11" t="s">
        <v>287</v>
      </c>
      <c r="D1123" s="38" t="n">
        <v>46290</v>
      </c>
      <c r="E1123" s="38" t="n">
        <v>46320</v>
      </c>
      <c r="F1123" s="37" t="n">
        <v>1680</v>
      </c>
      <c r="G1123" s="37" t="n">
        <v>336</v>
      </c>
      <c r="H1123" s="37" t="n">
        <v>2016</v>
      </c>
      <c r="I1123" s="11" t="s">
        <v>283</v>
      </c>
      <c r="J1123" s="11"/>
      <c r="K1123" s="11" t="s">
        <v>282</v>
      </c>
      <c r="L1123" s="38"/>
      <c r="M1123" s="11"/>
      <c r="N1123" s="11" t="n">
        <v>0</v>
      </c>
      <c r="O1123" s="11"/>
    </row>
    <row r="1124" customFormat="false" ht="15" hidden="false" customHeight="false" outlineLevel="0" collapsed="false">
      <c r="A1124" s="11" t="s">
        <v>443</v>
      </c>
      <c r="B1124" s="11" t="s">
        <v>400</v>
      </c>
      <c r="C1124" s="11" t="s">
        <v>399</v>
      </c>
      <c r="D1124" s="38" t="n">
        <v>46290</v>
      </c>
      <c r="E1124" s="38" t="n">
        <v>46320</v>
      </c>
      <c r="F1124" s="37" t="n">
        <v>24540</v>
      </c>
      <c r="G1124" s="37" t="n">
        <v>4908</v>
      </c>
      <c r="H1124" s="37" t="n">
        <v>29448</v>
      </c>
      <c r="I1124" s="11" t="s">
        <v>283</v>
      </c>
      <c r="J1124" s="11"/>
      <c r="K1124" s="11" t="s">
        <v>282</v>
      </c>
      <c r="L1124" s="38"/>
      <c r="M1124" s="11"/>
      <c r="N1124" s="11" t="n">
        <v>0</v>
      </c>
      <c r="O1124" s="11"/>
    </row>
    <row r="1125" customFormat="false" ht="15" hidden="false" customHeight="false" outlineLevel="0" collapsed="false">
      <c r="A1125" s="11" t="s">
        <v>640</v>
      </c>
      <c r="B1125" s="11" t="s">
        <v>299</v>
      </c>
      <c r="C1125" s="11" t="s">
        <v>298</v>
      </c>
      <c r="D1125" s="38" t="n">
        <v>46293</v>
      </c>
      <c r="E1125" s="38" t="n">
        <v>46353</v>
      </c>
      <c r="F1125" s="37" t="n">
        <v>10970</v>
      </c>
      <c r="G1125" s="37" t="n">
        <v>0</v>
      </c>
      <c r="H1125" s="37" t="n">
        <v>10970</v>
      </c>
      <c r="I1125" s="11" t="s">
        <v>283</v>
      </c>
      <c r="J1125" s="11"/>
      <c r="K1125" s="11" t="s">
        <v>282</v>
      </c>
      <c r="L1125" s="38"/>
      <c r="M1125" s="11"/>
      <c r="N1125" s="11" t="n">
        <v>0</v>
      </c>
      <c r="O1125" s="11"/>
    </row>
    <row r="1126" customFormat="false" ht="15" hidden="false" customHeight="false" outlineLevel="0" collapsed="false">
      <c r="A1126" s="11" t="s">
        <v>652</v>
      </c>
      <c r="B1126" s="11" t="s">
        <v>332</v>
      </c>
      <c r="C1126" s="11" t="s">
        <v>331</v>
      </c>
      <c r="D1126" s="38" t="n">
        <v>46293</v>
      </c>
      <c r="E1126" s="38" t="n">
        <v>46338</v>
      </c>
      <c r="F1126" s="37" t="n">
        <v>7140</v>
      </c>
      <c r="G1126" s="37" t="n">
        <v>1428</v>
      </c>
      <c r="H1126" s="37" t="n">
        <v>8568</v>
      </c>
      <c r="I1126" s="11" t="s">
        <v>283</v>
      </c>
      <c r="J1126" s="11"/>
      <c r="K1126" s="11" t="s">
        <v>282</v>
      </c>
      <c r="L1126" s="38"/>
      <c r="M1126" s="11"/>
      <c r="N1126" s="11" t="n">
        <v>0</v>
      </c>
      <c r="O1126" s="11"/>
    </row>
    <row r="1127" customFormat="false" ht="15" hidden="false" customHeight="false" outlineLevel="0" collapsed="false">
      <c r="A1127" s="11" t="s">
        <v>743</v>
      </c>
      <c r="B1127" s="11" t="s">
        <v>328</v>
      </c>
      <c r="C1127" s="11" t="s">
        <v>327</v>
      </c>
      <c r="D1127" s="38" t="n">
        <v>46293</v>
      </c>
      <c r="E1127" s="38" t="n">
        <v>46353</v>
      </c>
      <c r="F1127" s="37" t="n">
        <v>18630</v>
      </c>
      <c r="G1127" s="37" t="n">
        <v>3726</v>
      </c>
      <c r="H1127" s="37" t="n">
        <v>22356</v>
      </c>
      <c r="I1127" s="11" t="s">
        <v>283</v>
      </c>
      <c r="J1127" s="11"/>
      <c r="K1127" s="11" t="s">
        <v>282</v>
      </c>
      <c r="L1127" s="38"/>
      <c r="M1127" s="11"/>
      <c r="N1127" s="11" t="n">
        <v>0</v>
      </c>
      <c r="O1127" s="11"/>
    </row>
    <row r="1128" customFormat="false" ht="15" hidden="false" customHeight="false" outlineLevel="0" collapsed="false">
      <c r="A1128" s="11" t="s">
        <v>445</v>
      </c>
      <c r="B1128" s="11" t="s">
        <v>288</v>
      </c>
      <c r="C1128" s="11" t="s">
        <v>287</v>
      </c>
      <c r="D1128" s="38" t="n">
        <v>46293</v>
      </c>
      <c r="E1128" s="38" t="n">
        <v>46323</v>
      </c>
      <c r="F1128" s="37" t="n">
        <v>3040</v>
      </c>
      <c r="G1128" s="37" t="n">
        <v>608</v>
      </c>
      <c r="H1128" s="37" t="n">
        <v>3648</v>
      </c>
      <c r="I1128" s="11" t="s">
        <v>283</v>
      </c>
      <c r="J1128" s="11"/>
      <c r="K1128" s="11" t="s">
        <v>282</v>
      </c>
      <c r="L1128" s="38"/>
      <c r="M1128" s="11"/>
      <c r="N1128" s="11" t="n">
        <v>0</v>
      </c>
      <c r="O1128" s="11"/>
    </row>
    <row r="1129" customFormat="false" ht="15" hidden="false" customHeight="false" outlineLevel="0" collapsed="false">
      <c r="A1129" s="11" t="s">
        <v>654</v>
      </c>
      <c r="B1129" s="11" t="s">
        <v>332</v>
      </c>
      <c r="C1129" s="11" t="s">
        <v>331</v>
      </c>
      <c r="D1129" s="38" t="n">
        <v>46293</v>
      </c>
      <c r="E1129" s="38" t="n">
        <v>46338</v>
      </c>
      <c r="F1129" s="37" t="n">
        <v>6350</v>
      </c>
      <c r="G1129" s="37" t="n">
        <v>1270</v>
      </c>
      <c r="H1129" s="37" t="n">
        <v>7620</v>
      </c>
      <c r="I1129" s="11" t="s">
        <v>283</v>
      </c>
      <c r="J1129" s="11"/>
      <c r="K1129" s="11" t="s">
        <v>282</v>
      </c>
      <c r="L1129" s="38"/>
      <c r="M1129" s="11"/>
      <c r="N1129" s="11" t="n">
        <v>0</v>
      </c>
      <c r="O1129" s="11"/>
    </row>
    <row r="1130" customFormat="false" ht="15" hidden="false" customHeight="false" outlineLevel="0" collapsed="false">
      <c r="A1130" s="11" t="s">
        <v>656</v>
      </c>
      <c r="B1130" s="11" t="s">
        <v>332</v>
      </c>
      <c r="C1130" s="11" t="s">
        <v>331</v>
      </c>
      <c r="D1130" s="38" t="n">
        <v>46293</v>
      </c>
      <c r="E1130" s="38" t="n">
        <v>46338</v>
      </c>
      <c r="F1130" s="37" t="n">
        <v>4130</v>
      </c>
      <c r="G1130" s="37" t="n">
        <v>826</v>
      </c>
      <c r="H1130" s="37" t="n">
        <v>4956</v>
      </c>
      <c r="I1130" s="11" t="s">
        <v>283</v>
      </c>
      <c r="J1130" s="11"/>
      <c r="K1130" s="11" t="s">
        <v>282</v>
      </c>
      <c r="L1130" s="38"/>
      <c r="M1130" s="11"/>
      <c r="N1130" s="11" t="n">
        <v>0</v>
      </c>
      <c r="O1130" s="11"/>
    </row>
    <row r="1131" customFormat="false" ht="15" hidden="false" customHeight="false" outlineLevel="0" collapsed="false">
      <c r="A1131" s="11" t="s">
        <v>511</v>
      </c>
      <c r="B1131" s="11" t="s">
        <v>281</v>
      </c>
      <c r="C1131" s="11" t="s">
        <v>280</v>
      </c>
      <c r="D1131" s="38" t="n">
        <v>46294</v>
      </c>
      <c r="E1131" s="38" t="n">
        <v>46339</v>
      </c>
      <c r="F1131" s="37" t="n">
        <v>15100</v>
      </c>
      <c r="G1131" s="37" t="n">
        <v>3020</v>
      </c>
      <c r="H1131" s="37" t="n">
        <v>18120</v>
      </c>
      <c r="I1131" s="11" t="s">
        <v>283</v>
      </c>
      <c r="J1131" s="11"/>
      <c r="K1131" s="11" t="s">
        <v>282</v>
      </c>
      <c r="L1131" s="38"/>
      <c r="M1131" s="11"/>
      <c r="N1131" s="11" t="n">
        <v>0</v>
      </c>
      <c r="O1131" s="11"/>
    </row>
    <row r="1132" customFormat="false" ht="15" hidden="false" customHeight="false" outlineLevel="0" collapsed="false">
      <c r="A1132" s="11" t="s">
        <v>513</v>
      </c>
      <c r="B1132" s="11" t="s">
        <v>281</v>
      </c>
      <c r="C1132" s="11" t="s">
        <v>280</v>
      </c>
      <c r="D1132" s="38" t="n">
        <v>46294</v>
      </c>
      <c r="E1132" s="38" t="n">
        <v>46339</v>
      </c>
      <c r="F1132" s="37" t="n">
        <v>6210</v>
      </c>
      <c r="G1132" s="37" t="n">
        <v>1242</v>
      </c>
      <c r="H1132" s="37" t="n">
        <v>7452</v>
      </c>
      <c r="I1132" s="11" t="s">
        <v>283</v>
      </c>
      <c r="J1132" s="11"/>
      <c r="K1132" s="11" t="s">
        <v>282</v>
      </c>
      <c r="L1132" s="38"/>
      <c r="M1132" s="11"/>
      <c r="N1132" s="11" t="n">
        <v>0</v>
      </c>
      <c r="O1132" s="11"/>
    </row>
    <row r="1133" customFormat="false" ht="15" hidden="false" customHeight="false" outlineLevel="0" collapsed="false">
      <c r="A1133" s="11" t="s">
        <v>676</v>
      </c>
      <c r="B1133" s="11" t="s">
        <v>332</v>
      </c>
      <c r="C1133" s="11" t="s">
        <v>331</v>
      </c>
      <c r="D1133" s="38" t="n">
        <v>46295</v>
      </c>
      <c r="E1133" s="38" t="n">
        <v>46340</v>
      </c>
      <c r="F1133" s="37" t="n">
        <v>7610</v>
      </c>
      <c r="G1133" s="37" t="n">
        <v>1522</v>
      </c>
      <c r="H1133" s="37" t="n">
        <v>9132</v>
      </c>
      <c r="I1133" s="11" t="s">
        <v>283</v>
      </c>
      <c r="J1133" s="11"/>
      <c r="K1133" s="11" t="s">
        <v>282</v>
      </c>
      <c r="L1133" s="38"/>
      <c r="M1133" s="11"/>
      <c r="N1133" s="11" t="n">
        <v>0</v>
      </c>
      <c r="O1133" s="11"/>
    </row>
    <row r="1134" customFormat="false" ht="15" hidden="false" customHeight="false" outlineLevel="0" collapsed="false">
      <c r="A1134" s="11" t="s">
        <v>688</v>
      </c>
      <c r="B1134" s="11" t="s">
        <v>332</v>
      </c>
      <c r="C1134" s="11" t="s">
        <v>331</v>
      </c>
      <c r="D1134" s="38" t="n">
        <v>46297</v>
      </c>
      <c r="E1134" s="38" t="n">
        <v>46342</v>
      </c>
      <c r="F1134" s="37" t="n">
        <v>4600</v>
      </c>
      <c r="G1134" s="37" t="n">
        <v>920</v>
      </c>
      <c r="H1134" s="37" t="n">
        <v>5520</v>
      </c>
      <c r="I1134" s="11" t="s">
        <v>283</v>
      </c>
      <c r="J1134" s="11"/>
      <c r="K1134" s="11" t="s">
        <v>282</v>
      </c>
      <c r="L1134" s="38"/>
      <c r="M1134" s="11"/>
      <c r="N1134" s="11" t="n">
        <v>0</v>
      </c>
      <c r="O1134" s="11"/>
    </row>
    <row r="1135" customFormat="false" ht="15" hidden="false" customHeight="false" outlineLevel="0" collapsed="false">
      <c r="A1135" s="11" t="s">
        <v>515</v>
      </c>
      <c r="B1135" s="11" t="s">
        <v>324</v>
      </c>
      <c r="C1135" s="11" t="s">
        <v>323</v>
      </c>
      <c r="D1135" s="38" t="n">
        <v>46297</v>
      </c>
      <c r="E1135" s="38" t="n">
        <v>46327</v>
      </c>
      <c r="F1135" s="37" t="n">
        <v>6670</v>
      </c>
      <c r="G1135" s="37" t="n">
        <v>1334</v>
      </c>
      <c r="H1135" s="37" t="n">
        <v>8004</v>
      </c>
      <c r="I1135" s="11" t="s">
        <v>283</v>
      </c>
      <c r="J1135" s="11"/>
      <c r="K1135" s="11" t="s">
        <v>282</v>
      </c>
      <c r="L1135" s="38"/>
      <c r="M1135" s="11"/>
      <c r="N1135" s="11" t="n">
        <v>0</v>
      </c>
      <c r="O1135" s="11"/>
    </row>
    <row r="1136" customFormat="false" ht="15" hidden="false" customHeight="false" outlineLevel="0" collapsed="false">
      <c r="A1136" s="11" t="s">
        <v>560</v>
      </c>
      <c r="B1136" s="11" t="s">
        <v>336</v>
      </c>
      <c r="C1136" s="11" t="s">
        <v>335</v>
      </c>
      <c r="D1136" s="38" t="n">
        <v>46297</v>
      </c>
      <c r="E1136" s="38" t="n">
        <v>46342</v>
      </c>
      <c r="F1136" s="37" t="n">
        <v>6470</v>
      </c>
      <c r="G1136" s="37" t="n">
        <v>1294</v>
      </c>
      <c r="H1136" s="37" t="n">
        <v>7764</v>
      </c>
      <c r="I1136" s="11" t="s">
        <v>283</v>
      </c>
      <c r="J1136" s="11"/>
      <c r="K1136" s="11" t="s">
        <v>282</v>
      </c>
      <c r="L1136" s="38"/>
      <c r="M1136" s="11"/>
      <c r="N1136" s="11" t="n">
        <v>0</v>
      </c>
      <c r="O1136" s="11"/>
    </row>
    <row r="1137" customFormat="false" ht="15" hidden="false" customHeight="false" outlineLevel="0" collapsed="false">
      <c r="A1137" s="11" t="s">
        <v>525</v>
      </c>
      <c r="B1137" s="11" t="s">
        <v>281</v>
      </c>
      <c r="C1137" s="11" t="s">
        <v>280</v>
      </c>
      <c r="D1137" s="38" t="n">
        <v>46297</v>
      </c>
      <c r="E1137" s="38" t="n">
        <v>46342</v>
      </c>
      <c r="F1137" s="37" t="n">
        <v>7870</v>
      </c>
      <c r="G1137" s="37" t="n">
        <v>1574</v>
      </c>
      <c r="H1137" s="37" t="n">
        <v>9444</v>
      </c>
      <c r="I1137" s="11" t="s">
        <v>283</v>
      </c>
      <c r="J1137" s="11"/>
      <c r="K1137" s="11" t="s">
        <v>282</v>
      </c>
      <c r="L1137" s="38"/>
      <c r="M1137" s="11"/>
      <c r="N1137" s="11" t="n">
        <v>0</v>
      </c>
      <c r="O1137" s="11"/>
    </row>
    <row r="1138" customFormat="false" ht="15" hidden="false" customHeight="false" outlineLevel="0" collapsed="false">
      <c r="A1138" s="11" t="s">
        <v>527</v>
      </c>
      <c r="B1138" s="11" t="s">
        <v>281</v>
      </c>
      <c r="C1138" s="11" t="s">
        <v>280</v>
      </c>
      <c r="D1138" s="38" t="n">
        <v>46297</v>
      </c>
      <c r="E1138" s="38" t="n">
        <v>46342</v>
      </c>
      <c r="F1138" s="37" t="n">
        <v>5300</v>
      </c>
      <c r="G1138" s="37" t="n">
        <v>1060</v>
      </c>
      <c r="H1138" s="37" t="n">
        <v>6360</v>
      </c>
      <c r="I1138" s="11" t="s">
        <v>283</v>
      </c>
      <c r="J1138" s="11"/>
      <c r="K1138" s="11" t="s">
        <v>282</v>
      </c>
      <c r="L1138" s="38"/>
      <c r="M1138" s="11"/>
      <c r="N1138" s="11" t="n">
        <v>0</v>
      </c>
      <c r="O1138" s="11"/>
    </row>
    <row r="1139" customFormat="false" ht="15" hidden="false" customHeight="false" outlineLevel="0" collapsed="false">
      <c r="A1139" s="11" t="s">
        <v>690</v>
      </c>
      <c r="B1139" s="11" t="s">
        <v>332</v>
      </c>
      <c r="C1139" s="11" t="s">
        <v>331</v>
      </c>
      <c r="D1139" s="38" t="n">
        <v>46297</v>
      </c>
      <c r="E1139" s="38" t="n">
        <v>46342</v>
      </c>
      <c r="F1139" s="37" t="n">
        <v>5980</v>
      </c>
      <c r="G1139" s="37" t="n">
        <v>1196</v>
      </c>
      <c r="H1139" s="37" t="n">
        <v>7176</v>
      </c>
      <c r="I1139" s="11" t="s">
        <v>283</v>
      </c>
      <c r="J1139" s="11"/>
      <c r="K1139" s="11" t="s">
        <v>282</v>
      </c>
      <c r="L1139" s="38"/>
      <c r="M1139" s="11"/>
      <c r="N1139" s="11" t="n">
        <v>0</v>
      </c>
      <c r="O1139" s="11"/>
    </row>
    <row r="1140" customFormat="false" ht="15" hidden="false" customHeight="false" outlineLevel="0" collapsed="false">
      <c r="A1140" s="11" t="s">
        <v>658</v>
      </c>
      <c r="B1140" s="11" t="s">
        <v>299</v>
      </c>
      <c r="C1140" s="11" t="s">
        <v>298</v>
      </c>
      <c r="D1140" s="38" t="n">
        <v>46297</v>
      </c>
      <c r="E1140" s="38" t="n">
        <v>46357</v>
      </c>
      <c r="F1140" s="37" t="n">
        <v>5150</v>
      </c>
      <c r="G1140" s="37" t="n">
        <v>0</v>
      </c>
      <c r="H1140" s="37" t="n">
        <v>5150</v>
      </c>
      <c r="I1140" s="11" t="s">
        <v>283</v>
      </c>
      <c r="J1140" s="11"/>
      <c r="K1140" s="11" t="s">
        <v>282</v>
      </c>
      <c r="L1140" s="38"/>
      <c r="M1140" s="11"/>
      <c r="N1140" s="11" t="n">
        <v>0</v>
      </c>
      <c r="O1140" s="11"/>
    </row>
    <row r="1141" customFormat="false" ht="15" hidden="false" customHeight="false" outlineLevel="0" collapsed="false">
      <c r="A1141" s="11" t="s">
        <v>692</v>
      </c>
      <c r="B1141" s="11" t="s">
        <v>350</v>
      </c>
      <c r="C1141" s="11" t="s">
        <v>349</v>
      </c>
      <c r="D1141" s="38" t="n">
        <v>46297</v>
      </c>
      <c r="E1141" s="38" t="n">
        <v>46357</v>
      </c>
      <c r="F1141" s="37" t="n">
        <v>10300</v>
      </c>
      <c r="G1141" s="37" t="n">
        <v>2060</v>
      </c>
      <c r="H1141" s="37" t="n">
        <v>12360</v>
      </c>
      <c r="I1141" s="11" t="s">
        <v>283</v>
      </c>
      <c r="J1141" s="11"/>
      <c r="K1141" s="11" t="s">
        <v>282</v>
      </c>
      <c r="L1141" s="38"/>
      <c r="M1141" s="11"/>
      <c r="N1141" s="11" t="n">
        <v>0</v>
      </c>
      <c r="O1141" s="11"/>
    </row>
    <row r="1142" customFormat="false" ht="15" hidden="false" customHeight="false" outlineLevel="0" collapsed="false">
      <c r="A1142" s="11" t="s">
        <v>694</v>
      </c>
      <c r="B1142" s="11" t="s">
        <v>350</v>
      </c>
      <c r="C1142" s="11" t="s">
        <v>349</v>
      </c>
      <c r="D1142" s="38" t="n">
        <v>46297</v>
      </c>
      <c r="E1142" s="38" t="n">
        <v>46357</v>
      </c>
      <c r="F1142" s="37" t="n">
        <v>5670</v>
      </c>
      <c r="G1142" s="37" t="n">
        <v>1134</v>
      </c>
      <c r="H1142" s="37" t="n">
        <v>6804</v>
      </c>
      <c r="I1142" s="11" t="s">
        <v>283</v>
      </c>
      <c r="J1142" s="11"/>
      <c r="K1142" s="11" t="s">
        <v>282</v>
      </c>
      <c r="L1142" s="38"/>
      <c r="M1142" s="11"/>
      <c r="N1142" s="11" t="n">
        <v>0</v>
      </c>
      <c r="O1142" s="11"/>
    </row>
    <row r="1143" customFormat="false" ht="15" hidden="false" customHeight="false" outlineLevel="0" collapsed="false">
      <c r="A1143" s="11" t="s">
        <v>491</v>
      </c>
      <c r="B1143" s="11" t="s">
        <v>288</v>
      </c>
      <c r="C1143" s="11" t="s">
        <v>287</v>
      </c>
      <c r="D1143" s="38" t="n">
        <v>46300</v>
      </c>
      <c r="E1143" s="38" t="n">
        <v>46330</v>
      </c>
      <c r="F1143" s="37" t="n">
        <v>4540</v>
      </c>
      <c r="G1143" s="37" t="n">
        <v>908</v>
      </c>
      <c r="H1143" s="37" t="n">
        <v>5448</v>
      </c>
      <c r="I1143" s="11" t="s">
        <v>283</v>
      </c>
      <c r="J1143" s="11"/>
      <c r="K1143" s="11" t="s">
        <v>282</v>
      </c>
      <c r="L1143" s="38"/>
      <c r="M1143" s="11"/>
      <c r="N1143" s="11" t="n">
        <v>0</v>
      </c>
      <c r="O1143" s="11"/>
    </row>
    <row r="1144" customFormat="false" ht="15" hidden="false" customHeight="false" outlineLevel="0" collapsed="false">
      <c r="A1144" s="11" t="s">
        <v>698</v>
      </c>
      <c r="B1144" s="11" t="s">
        <v>332</v>
      </c>
      <c r="C1144" s="11" t="s">
        <v>331</v>
      </c>
      <c r="D1144" s="38" t="n">
        <v>46300</v>
      </c>
      <c r="E1144" s="38" t="n">
        <v>46345</v>
      </c>
      <c r="F1144" s="37" t="n">
        <v>11210</v>
      </c>
      <c r="G1144" s="37" t="n">
        <v>2242</v>
      </c>
      <c r="H1144" s="37" t="n">
        <v>13452</v>
      </c>
      <c r="I1144" s="11" t="s">
        <v>283</v>
      </c>
      <c r="J1144" s="11"/>
      <c r="K1144" s="11" t="s">
        <v>282</v>
      </c>
      <c r="L1144" s="38"/>
      <c r="M1144" s="11"/>
      <c r="N1144" s="11" t="n">
        <v>0</v>
      </c>
      <c r="O1144" s="11"/>
    </row>
    <row r="1145" customFormat="false" ht="15" hidden="false" customHeight="false" outlineLevel="0" collapsed="false">
      <c r="A1145" s="11" t="s">
        <v>531</v>
      </c>
      <c r="B1145" s="11" t="s">
        <v>324</v>
      </c>
      <c r="C1145" s="11" t="s">
        <v>323</v>
      </c>
      <c r="D1145" s="38" t="n">
        <v>46301</v>
      </c>
      <c r="E1145" s="38" t="n">
        <v>46331</v>
      </c>
      <c r="F1145" s="37" t="n">
        <v>6400</v>
      </c>
      <c r="G1145" s="37" t="n">
        <v>1280</v>
      </c>
      <c r="H1145" s="37" t="n">
        <v>7680</v>
      </c>
      <c r="I1145" s="11" t="s">
        <v>283</v>
      </c>
      <c r="J1145" s="11"/>
      <c r="K1145" s="11" t="s">
        <v>282</v>
      </c>
      <c r="L1145" s="38"/>
      <c r="M1145" s="11"/>
      <c r="N1145" s="11" t="n">
        <v>0</v>
      </c>
      <c r="O1145" s="11"/>
    </row>
    <row r="1146" customFormat="false" ht="15" hidden="false" customHeight="false" outlineLevel="0" collapsed="false">
      <c r="A1146" s="11" t="s">
        <v>562</v>
      </c>
      <c r="B1146" s="11" t="s">
        <v>281</v>
      </c>
      <c r="C1146" s="11" t="s">
        <v>280</v>
      </c>
      <c r="D1146" s="38" t="n">
        <v>46302</v>
      </c>
      <c r="E1146" s="38" t="n">
        <v>46347</v>
      </c>
      <c r="F1146" s="37" t="n">
        <v>6050</v>
      </c>
      <c r="G1146" s="37" t="n">
        <v>1210</v>
      </c>
      <c r="H1146" s="37" t="n">
        <v>7260</v>
      </c>
      <c r="I1146" s="11" t="s">
        <v>283</v>
      </c>
      <c r="J1146" s="11"/>
      <c r="K1146" s="11" t="s">
        <v>282</v>
      </c>
      <c r="L1146" s="38"/>
      <c r="M1146" s="11"/>
      <c r="N1146" s="11" t="n">
        <v>0</v>
      </c>
      <c r="O1146" s="11"/>
    </row>
    <row r="1147" customFormat="false" ht="15" hidden="false" customHeight="false" outlineLevel="0" collapsed="false">
      <c r="A1147" s="11" t="s">
        <v>564</v>
      </c>
      <c r="B1147" s="11" t="s">
        <v>281</v>
      </c>
      <c r="C1147" s="11" t="s">
        <v>280</v>
      </c>
      <c r="D1147" s="38" t="n">
        <v>46302</v>
      </c>
      <c r="E1147" s="38" t="n">
        <v>46347</v>
      </c>
      <c r="F1147" s="37" t="n">
        <v>3570</v>
      </c>
      <c r="G1147" s="37" t="n">
        <v>714</v>
      </c>
      <c r="H1147" s="37" t="n">
        <v>4284</v>
      </c>
      <c r="I1147" s="11" t="s">
        <v>283</v>
      </c>
      <c r="J1147" s="11"/>
      <c r="K1147" s="11" t="s">
        <v>282</v>
      </c>
      <c r="L1147" s="38"/>
      <c r="M1147" s="11"/>
      <c r="N1147" s="11" t="n">
        <v>0</v>
      </c>
      <c r="O1147" s="11"/>
    </row>
    <row r="1148" customFormat="false" ht="15" hidden="false" customHeight="false" outlineLevel="0" collapsed="false">
      <c r="A1148" s="11" t="s">
        <v>805</v>
      </c>
      <c r="B1148" s="11" t="s">
        <v>328</v>
      </c>
      <c r="C1148" s="11" t="s">
        <v>327</v>
      </c>
      <c r="D1148" s="38" t="n">
        <v>46303</v>
      </c>
      <c r="E1148" s="38" t="n">
        <v>46363</v>
      </c>
      <c r="F1148" s="37" t="n">
        <v>30720</v>
      </c>
      <c r="G1148" s="37" t="n">
        <v>6144</v>
      </c>
      <c r="H1148" s="37" t="n">
        <v>36864</v>
      </c>
      <c r="I1148" s="11" t="s">
        <v>283</v>
      </c>
      <c r="J1148" s="11"/>
      <c r="K1148" s="11" t="s">
        <v>282</v>
      </c>
      <c r="L1148" s="38"/>
      <c r="M1148" s="11"/>
      <c r="N1148" s="11" t="n">
        <v>0</v>
      </c>
      <c r="O1148" s="11"/>
    </row>
    <row r="1149" customFormat="false" ht="15" hidden="false" customHeight="false" outlineLevel="0" collapsed="false">
      <c r="A1149" s="11" t="s">
        <v>613</v>
      </c>
      <c r="B1149" s="11" t="s">
        <v>336</v>
      </c>
      <c r="C1149" s="11" t="s">
        <v>335</v>
      </c>
      <c r="D1149" s="38" t="n">
        <v>46303</v>
      </c>
      <c r="E1149" s="38" t="n">
        <v>46348</v>
      </c>
      <c r="F1149" s="37" t="n">
        <v>3070</v>
      </c>
      <c r="G1149" s="37" t="n">
        <v>614</v>
      </c>
      <c r="H1149" s="37" t="n">
        <v>3684</v>
      </c>
      <c r="I1149" s="11" t="s">
        <v>283</v>
      </c>
      <c r="J1149" s="11"/>
      <c r="K1149" s="11" t="s">
        <v>282</v>
      </c>
      <c r="L1149" s="38"/>
      <c r="M1149" s="11"/>
      <c r="N1149" s="11" t="n">
        <v>0</v>
      </c>
      <c r="O1149" s="11"/>
    </row>
    <row r="1150" customFormat="false" ht="15" hidden="false" customHeight="false" outlineLevel="0" collapsed="false">
      <c r="A1150" s="11" t="s">
        <v>807</v>
      </c>
      <c r="B1150" s="11" t="s">
        <v>328</v>
      </c>
      <c r="C1150" s="11" t="s">
        <v>327</v>
      </c>
      <c r="D1150" s="38" t="n">
        <v>46303</v>
      </c>
      <c r="E1150" s="38" t="n">
        <v>46363</v>
      </c>
      <c r="F1150" s="37" t="n">
        <v>30570</v>
      </c>
      <c r="G1150" s="37" t="n">
        <v>6114</v>
      </c>
      <c r="H1150" s="37" t="n">
        <v>36684</v>
      </c>
      <c r="I1150" s="11" t="s">
        <v>283</v>
      </c>
      <c r="J1150" s="11"/>
      <c r="K1150" s="11" t="s">
        <v>282</v>
      </c>
      <c r="L1150" s="38"/>
      <c r="M1150" s="11"/>
      <c r="N1150" s="11" t="n">
        <v>0</v>
      </c>
      <c r="O1150" s="11"/>
    </row>
    <row r="1151" customFormat="false" ht="15" hidden="false" customHeight="false" outlineLevel="0" collapsed="false">
      <c r="A1151" s="11" t="s">
        <v>497</v>
      </c>
      <c r="B1151" s="11" t="s">
        <v>288</v>
      </c>
      <c r="C1151" s="11" t="s">
        <v>287</v>
      </c>
      <c r="D1151" s="38" t="n">
        <v>46303</v>
      </c>
      <c r="E1151" s="38" t="n">
        <v>46333</v>
      </c>
      <c r="F1151" s="37" t="n">
        <v>2430</v>
      </c>
      <c r="G1151" s="37" t="n">
        <v>486</v>
      </c>
      <c r="H1151" s="37" t="n">
        <v>2916</v>
      </c>
      <c r="I1151" s="11" t="s">
        <v>283</v>
      </c>
      <c r="J1151" s="11"/>
      <c r="K1151" s="11" t="s">
        <v>282</v>
      </c>
      <c r="L1151" s="38"/>
      <c r="M1151" s="11"/>
      <c r="N1151" s="11" t="n">
        <v>0</v>
      </c>
      <c r="O1151" s="11"/>
    </row>
    <row r="1152" customFormat="false" ht="15" hidden="false" customHeight="false" outlineLevel="0" collapsed="false">
      <c r="A1152" s="11" t="s">
        <v>499</v>
      </c>
      <c r="B1152" s="11" t="s">
        <v>288</v>
      </c>
      <c r="C1152" s="11" t="s">
        <v>287</v>
      </c>
      <c r="D1152" s="38" t="n">
        <v>46303</v>
      </c>
      <c r="E1152" s="38" t="n">
        <v>46333</v>
      </c>
      <c r="F1152" s="37" t="n">
        <v>4840</v>
      </c>
      <c r="G1152" s="37" t="n">
        <v>968</v>
      </c>
      <c r="H1152" s="37" t="n">
        <v>5808</v>
      </c>
      <c r="I1152" s="11" t="s">
        <v>283</v>
      </c>
      <c r="J1152" s="11"/>
      <c r="K1152" s="11" t="s">
        <v>282</v>
      </c>
      <c r="L1152" s="38"/>
      <c r="M1152" s="11"/>
      <c r="N1152" s="11" t="n">
        <v>0</v>
      </c>
      <c r="O1152" s="11"/>
    </row>
    <row r="1153" customFormat="false" ht="15" hidden="false" customHeight="false" outlineLevel="0" collapsed="false">
      <c r="A1153" s="11" t="s">
        <v>615</v>
      </c>
      <c r="B1153" s="11" t="s">
        <v>336</v>
      </c>
      <c r="C1153" s="11" t="s">
        <v>335</v>
      </c>
      <c r="D1153" s="38" t="n">
        <v>46304</v>
      </c>
      <c r="E1153" s="38" t="n">
        <v>46349</v>
      </c>
      <c r="F1153" s="37" t="n">
        <v>4560</v>
      </c>
      <c r="G1153" s="37" t="n">
        <v>912</v>
      </c>
      <c r="H1153" s="37" t="n">
        <v>5472</v>
      </c>
      <c r="I1153" s="11" t="s">
        <v>283</v>
      </c>
      <c r="J1153" s="11"/>
      <c r="K1153" s="11" t="s">
        <v>282</v>
      </c>
      <c r="L1153" s="38"/>
      <c r="M1153" s="11"/>
      <c r="N1153" s="11" t="n">
        <v>0</v>
      </c>
      <c r="O1153" s="11"/>
    </row>
    <row r="1154" customFormat="false" ht="15" hidden="false" customHeight="false" outlineLevel="0" collapsed="false">
      <c r="A1154" s="11" t="s">
        <v>529</v>
      </c>
      <c r="B1154" s="11" t="s">
        <v>400</v>
      </c>
      <c r="C1154" s="11" t="s">
        <v>399</v>
      </c>
      <c r="D1154" s="38" t="n">
        <v>46304</v>
      </c>
      <c r="E1154" s="38" t="n">
        <v>46334</v>
      </c>
      <c r="F1154" s="37" t="n">
        <v>15490</v>
      </c>
      <c r="G1154" s="37" t="n">
        <v>3098</v>
      </c>
      <c r="H1154" s="37" t="n">
        <v>18588</v>
      </c>
      <c r="I1154" s="11" t="s">
        <v>283</v>
      </c>
      <c r="J1154" s="11"/>
      <c r="K1154" s="11" t="s">
        <v>282</v>
      </c>
      <c r="L1154" s="38"/>
      <c r="M1154" s="11"/>
      <c r="N1154" s="11" t="n">
        <v>0</v>
      </c>
      <c r="O1154" s="11"/>
    </row>
    <row r="1155" customFormat="false" ht="15" hidden="false" customHeight="false" outlineLevel="0" collapsed="false">
      <c r="A1155" s="11" t="s">
        <v>507</v>
      </c>
      <c r="B1155" s="11" t="s">
        <v>288</v>
      </c>
      <c r="C1155" s="11" t="s">
        <v>287</v>
      </c>
      <c r="D1155" s="38" t="n">
        <v>46304</v>
      </c>
      <c r="E1155" s="38" t="n">
        <v>46334</v>
      </c>
      <c r="F1155" s="37" t="n">
        <v>2170</v>
      </c>
      <c r="G1155" s="37" t="n">
        <v>434</v>
      </c>
      <c r="H1155" s="37" t="n">
        <v>2604</v>
      </c>
      <c r="I1155" s="11" t="s">
        <v>283</v>
      </c>
      <c r="J1155" s="11"/>
      <c r="K1155" s="11" t="s">
        <v>282</v>
      </c>
      <c r="L1155" s="38"/>
      <c r="M1155" s="11"/>
      <c r="N1155" s="11" t="n">
        <v>0</v>
      </c>
      <c r="O1155" s="11"/>
    </row>
    <row r="1156" customFormat="false" ht="15" hidden="false" customHeight="false" outlineLevel="0" collapsed="false">
      <c r="A1156" s="11" t="s">
        <v>745</v>
      </c>
      <c r="B1156" s="11" t="s">
        <v>332</v>
      </c>
      <c r="C1156" s="11" t="s">
        <v>331</v>
      </c>
      <c r="D1156" s="38" t="n">
        <v>46304</v>
      </c>
      <c r="E1156" s="38" t="n">
        <v>46349</v>
      </c>
      <c r="F1156" s="37" t="n">
        <v>5430</v>
      </c>
      <c r="G1156" s="37" t="n">
        <v>1086</v>
      </c>
      <c r="H1156" s="37" t="n">
        <v>6516</v>
      </c>
      <c r="I1156" s="11" t="s">
        <v>283</v>
      </c>
      <c r="J1156" s="11"/>
      <c r="K1156" s="11" t="s">
        <v>282</v>
      </c>
      <c r="L1156" s="38"/>
      <c r="M1156" s="11"/>
      <c r="N1156" s="11" t="n">
        <v>0</v>
      </c>
      <c r="O1156" s="11"/>
    </row>
    <row r="1157" customFormat="false" ht="15" hidden="false" customHeight="false" outlineLevel="0" collapsed="false">
      <c r="A1157" s="11" t="s">
        <v>700</v>
      </c>
      <c r="B1157" s="11" t="s">
        <v>299</v>
      </c>
      <c r="C1157" s="11" t="s">
        <v>298</v>
      </c>
      <c r="D1157" s="38" t="n">
        <v>46304</v>
      </c>
      <c r="E1157" s="38" t="n">
        <v>46364</v>
      </c>
      <c r="F1157" s="37" t="n">
        <v>6740</v>
      </c>
      <c r="G1157" s="37" t="n">
        <v>0</v>
      </c>
      <c r="H1157" s="37" t="n">
        <v>6740</v>
      </c>
      <c r="I1157" s="11" t="s">
        <v>283</v>
      </c>
      <c r="J1157" s="11"/>
      <c r="K1157" s="11" t="s">
        <v>282</v>
      </c>
      <c r="L1157" s="38"/>
      <c r="M1157" s="11"/>
      <c r="N1157" s="11" t="n">
        <v>0</v>
      </c>
      <c r="O1157" s="11"/>
    </row>
    <row r="1158" customFormat="false" ht="15" hidden="false" customHeight="false" outlineLevel="0" collapsed="false">
      <c r="A1158" s="11" t="s">
        <v>747</v>
      </c>
      <c r="B1158" s="11" t="s">
        <v>350</v>
      </c>
      <c r="C1158" s="11" t="s">
        <v>349</v>
      </c>
      <c r="D1158" s="38" t="n">
        <v>46304</v>
      </c>
      <c r="E1158" s="38" t="n">
        <v>46364</v>
      </c>
      <c r="F1158" s="37" t="n">
        <v>7790</v>
      </c>
      <c r="G1158" s="37" t="n">
        <v>1558</v>
      </c>
      <c r="H1158" s="37" t="n">
        <v>9348</v>
      </c>
      <c r="I1158" s="11" t="s">
        <v>283</v>
      </c>
      <c r="J1158" s="11"/>
      <c r="K1158" s="11" t="s">
        <v>282</v>
      </c>
      <c r="L1158" s="38"/>
      <c r="M1158" s="11"/>
      <c r="N1158" s="11" t="n">
        <v>0</v>
      </c>
      <c r="O1158" s="11"/>
    </row>
  </sheetData>
  <autoFilter ref="A1:O11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L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6"/>
    <col collapsed="false" customWidth="true" hidden="false" outlineLevel="0" max="4" min="4" style="0" width="46"/>
    <col collapsed="false" customWidth="true" hidden="false" outlineLevel="0" max="5" min="5" style="0" width="12"/>
    <col collapsed="false" customWidth="true" hidden="false" outlineLevel="0" max="6" min="6" style="0" width="32"/>
    <col collapsed="false" customWidth="true" hidden="false" outlineLevel="0" max="7" min="7" style="0" width="13"/>
    <col collapsed="false" customWidth="true" hidden="false" outlineLevel="0" max="8" min="8" style="0" width="23"/>
    <col collapsed="false" customWidth="true" hidden="false" outlineLevel="0" max="9" min="9" style="0" width="18"/>
    <col collapsed="false" customWidth="true" hidden="false" outlineLevel="0" max="10" min="10" style="0" width="15"/>
    <col collapsed="false" customWidth="true" hidden="false" outlineLevel="0" max="11" min="11" style="0" width="12"/>
    <col collapsed="false" customWidth="true" hidden="false" outlineLevel="0" max="12" min="12" style="0" width="17"/>
  </cols>
  <sheetData>
    <row r="1" customFormat="false" ht="15" hidden="false" customHeight="false" outlineLevel="0" collapsed="false">
      <c r="A1" s="2" t="s">
        <v>4224</v>
      </c>
    </row>
    <row r="3" customFormat="false" ht="30" hidden="false" customHeight="true" outlineLevel="0" collapsed="false">
      <c r="A3" s="33" t="s">
        <v>4225</v>
      </c>
      <c r="B3" s="33" t="s">
        <v>254</v>
      </c>
      <c r="C3" s="33" t="s">
        <v>4122</v>
      </c>
      <c r="D3" s="33" t="s">
        <v>268</v>
      </c>
      <c r="E3" s="33" t="s">
        <v>1367</v>
      </c>
      <c r="F3" s="33" t="s">
        <v>1369</v>
      </c>
      <c r="G3" s="33" t="s">
        <v>256</v>
      </c>
      <c r="H3" s="33" t="s">
        <v>4226</v>
      </c>
      <c r="I3" s="33" t="s">
        <v>4227</v>
      </c>
      <c r="J3" s="33" t="s">
        <v>4146</v>
      </c>
      <c r="K3" s="33" t="s">
        <v>4147</v>
      </c>
      <c r="L3" s="33" t="s">
        <v>1362</v>
      </c>
    </row>
    <row r="4" customFormat="false" ht="15" hidden="false" customHeight="false" outlineLevel="0" collapsed="false">
      <c r="A4" s="11" t="s">
        <v>739</v>
      </c>
      <c r="B4" s="11" t="s">
        <v>299</v>
      </c>
      <c r="C4" s="11" t="s">
        <v>298</v>
      </c>
      <c r="D4" s="11" t="s">
        <v>283</v>
      </c>
      <c r="E4" s="11"/>
      <c r="F4" s="11" t="s">
        <v>538</v>
      </c>
      <c r="G4" s="26" t="n">
        <v>1</v>
      </c>
      <c r="H4" s="38" t="n">
        <v>46307</v>
      </c>
      <c r="I4" s="38" t="n">
        <v>46367</v>
      </c>
      <c r="J4" s="37" t="n">
        <v>19060</v>
      </c>
      <c r="K4" s="37" t="n">
        <v>0</v>
      </c>
      <c r="L4" s="37" t="n">
        <v>19060</v>
      </c>
    </row>
    <row r="5" customFormat="false" ht="15" hidden="false" customHeight="false" outlineLevel="0" collapsed="false">
      <c r="A5" s="11" t="s">
        <v>642</v>
      </c>
      <c r="B5" s="11" t="s">
        <v>336</v>
      </c>
      <c r="C5" s="11" t="s">
        <v>335</v>
      </c>
      <c r="D5" s="11" t="s">
        <v>283</v>
      </c>
      <c r="E5" s="11"/>
      <c r="F5" s="11" t="s">
        <v>538</v>
      </c>
      <c r="G5" s="26" t="n">
        <v>1</v>
      </c>
      <c r="H5" s="38" t="n">
        <v>46307</v>
      </c>
      <c r="I5" s="38" t="n">
        <v>46352</v>
      </c>
      <c r="J5" s="37" t="n">
        <v>6420</v>
      </c>
      <c r="K5" s="37" t="n">
        <v>1284</v>
      </c>
      <c r="L5" s="37" t="n">
        <v>7704</v>
      </c>
    </row>
    <row r="6" customFormat="false" ht="15" hidden="false" customHeight="false" outlineLevel="0" collapsed="false">
      <c r="A6" s="11" t="s">
        <v>550</v>
      </c>
      <c r="B6" s="11" t="s">
        <v>400</v>
      </c>
      <c r="C6" s="11" t="s">
        <v>399</v>
      </c>
      <c r="D6" s="11" t="s">
        <v>283</v>
      </c>
      <c r="E6" s="11"/>
      <c r="F6" s="11" t="s">
        <v>538</v>
      </c>
      <c r="G6" s="26" t="n">
        <v>1</v>
      </c>
      <c r="H6" s="38" t="n">
        <v>46307</v>
      </c>
      <c r="I6" s="38" t="n">
        <v>46337</v>
      </c>
      <c r="J6" s="37" t="n">
        <v>15710</v>
      </c>
      <c r="K6" s="37" t="n">
        <v>3142</v>
      </c>
      <c r="L6" s="37" t="n">
        <v>18852</v>
      </c>
    </row>
    <row r="7" customFormat="false" ht="15" hidden="false" customHeight="false" outlineLevel="0" collapsed="false">
      <c r="A7" s="11" t="s">
        <v>644</v>
      </c>
      <c r="B7" s="11" t="s">
        <v>336</v>
      </c>
      <c r="C7" s="11" t="s">
        <v>335</v>
      </c>
      <c r="D7" s="11" t="s">
        <v>283</v>
      </c>
      <c r="E7" s="11"/>
      <c r="F7" s="11" t="s">
        <v>538</v>
      </c>
      <c r="G7" s="26" t="n">
        <v>1</v>
      </c>
      <c r="H7" s="38" t="n">
        <v>46307</v>
      </c>
      <c r="I7" s="38" t="n">
        <v>46352</v>
      </c>
      <c r="J7" s="37" t="n">
        <v>3090</v>
      </c>
      <c r="K7" s="37" t="n">
        <v>618</v>
      </c>
      <c r="L7" s="37" t="n">
        <v>3708</v>
      </c>
    </row>
    <row r="8" customFormat="false" ht="15" hidden="false" customHeight="false" outlineLevel="0" collapsed="false">
      <c r="A8" s="11" t="s">
        <v>601</v>
      </c>
      <c r="B8" s="11" t="s">
        <v>281</v>
      </c>
      <c r="C8" s="11" t="s">
        <v>280</v>
      </c>
      <c r="D8" s="11" t="s">
        <v>283</v>
      </c>
      <c r="E8" s="11"/>
      <c r="F8" s="11" t="s">
        <v>538</v>
      </c>
      <c r="G8" s="26" t="n">
        <v>1</v>
      </c>
      <c r="H8" s="38" t="n">
        <v>46307</v>
      </c>
      <c r="I8" s="38" t="n">
        <v>46352</v>
      </c>
      <c r="J8" s="37" t="n">
        <v>6900</v>
      </c>
      <c r="K8" s="37" t="n">
        <v>1380</v>
      </c>
      <c r="L8" s="37" t="n">
        <v>8280</v>
      </c>
    </row>
    <row r="9" customFormat="false" ht="15" hidden="false" customHeight="false" outlineLevel="0" collapsed="false">
      <c r="A9" s="11" t="s">
        <v>578</v>
      </c>
      <c r="B9" s="11" t="s">
        <v>324</v>
      </c>
      <c r="C9" s="11" t="s">
        <v>323</v>
      </c>
      <c r="D9" s="11" t="s">
        <v>283</v>
      </c>
      <c r="E9" s="11"/>
      <c r="F9" s="11" t="s">
        <v>538</v>
      </c>
      <c r="G9" s="26" t="n">
        <v>1</v>
      </c>
      <c r="H9" s="38" t="n">
        <v>46308</v>
      </c>
      <c r="I9" s="38" t="n">
        <v>46338</v>
      </c>
      <c r="J9" s="37" t="n">
        <v>7300</v>
      </c>
      <c r="K9" s="37" t="n">
        <v>1460</v>
      </c>
      <c r="L9" s="37" t="n">
        <v>8760</v>
      </c>
    </row>
    <row r="10" customFormat="false" ht="15" hidden="false" customHeight="false" outlineLevel="0" collapsed="false">
      <c r="A10" s="11" t="s">
        <v>767</v>
      </c>
      <c r="B10" s="11" t="s">
        <v>350</v>
      </c>
      <c r="C10" s="11" t="s">
        <v>349</v>
      </c>
      <c r="D10" s="11" t="s">
        <v>283</v>
      </c>
      <c r="E10" s="11"/>
      <c r="F10" s="11" t="s">
        <v>538</v>
      </c>
      <c r="G10" s="26" t="n">
        <v>1</v>
      </c>
      <c r="H10" s="38" t="n">
        <v>46308</v>
      </c>
      <c r="I10" s="38" t="n">
        <v>46368</v>
      </c>
      <c r="J10" s="37" t="n">
        <v>6870</v>
      </c>
      <c r="K10" s="37" t="n">
        <v>1374</v>
      </c>
      <c r="L10" s="37" t="n">
        <v>8244</v>
      </c>
    </row>
    <row r="11" customFormat="false" ht="15" hidden="false" customHeight="false" outlineLevel="0" collapsed="false">
      <c r="A11" s="11" t="s">
        <v>769</v>
      </c>
      <c r="B11" s="11" t="s">
        <v>332</v>
      </c>
      <c r="C11" s="11" t="s">
        <v>331</v>
      </c>
      <c r="D11" s="11" t="s">
        <v>283</v>
      </c>
      <c r="E11" s="11"/>
      <c r="F11" s="11" t="s">
        <v>538</v>
      </c>
      <c r="G11" s="26" t="n">
        <v>1</v>
      </c>
      <c r="H11" s="38" t="n">
        <v>46308</v>
      </c>
      <c r="I11" s="38" t="n">
        <v>46353</v>
      </c>
      <c r="J11" s="37" t="n">
        <v>9450</v>
      </c>
      <c r="K11" s="37" t="n">
        <v>1890</v>
      </c>
      <c r="L11" s="37" t="n">
        <v>11340</v>
      </c>
    </row>
    <row r="12" customFormat="false" ht="15" hidden="false" customHeight="false" outlineLevel="0" collapsed="false">
      <c r="A12" s="11" t="s">
        <v>617</v>
      </c>
      <c r="B12" s="11" t="s">
        <v>281</v>
      </c>
      <c r="C12" s="11" t="s">
        <v>280</v>
      </c>
      <c r="D12" s="11" t="s">
        <v>283</v>
      </c>
      <c r="E12" s="11"/>
      <c r="F12" s="11" t="s">
        <v>538</v>
      </c>
      <c r="G12" s="26" t="n">
        <v>1</v>
      </c>
      <c r="H12" s="38" t="n">
        <v>46309</v>
      </c>
      <c r="I12" s="38" t="n">
        <v>46354</v>
      </c>
      <c r="J12" s="37" t="n">
        <v>3940</v>
      </c>
      <c r="K12" s="37" t="n">
        <v>788</v>
      </c>
      <c r="L12" s="37" t="n">
        <v>4728</v>
      </c>
    </row>
    <row r="13" customFormat="false" ht="15" hidden="false" customHeight="false" outlineLevel="0" collapsed="false">
      <c r="A13" s="11" t="s">
        <v>619</v>
      </c>
      <c r="B13" s="11" t="s">
        <v>281</v>
      </c>
      <c r="C13" s="11" t="s">
        <v>280</v>
      </c>
      <c r="D13" s="11" t="s">
        <v>283</v>
      </c>
      <c r="E13" s="11"/>
      <c r="F13" s="11" t="s">
        <v>538</v>
      </c>
      <c r="G13" s="26" t="n">
        <v>1</v>
      </c>
      <c r="H13" s="38" t="n">
        <v>46310</v>
      </c>
      <c r="I13" s="38" t="n">
        <v>46355</v>
      </c>
      <c r="J13" s="37" t="n">
        <v>6030</v>
      </c>
      <c r="K13" s="37" t="n">
        <v>1206</v>
      </c>
      <c r="L13" s="37" t="n">
        <v>7236</v>
      </c>
    </row>
    <row r="14" customFormat="false" ht="15" hidden="false" customHeight="false" outlineLevel="0" collapsed="false">
      <c r="A14" s="11" t="s">
        <v>855</v>
      </c>
      <c r="B14" s="11" t="s">
        <v>328</v>
      </c>
      <c r="C14" s="11" t="s">
        <v>327</v>
      </c>
      <c r="D14" s="11" t="s">
        <v>283</v>
      </c>
      <c r="E14" s="11"/>
      <c r="F14" s="11" t="s">
        <v>538</v>
      </c>
      <c r="G14" s="26" t="n">
        <v>1</v>
      </c>
      <c r="H14" s="38" t="n">
        <v>46310</v>
      </c>
      <c r="I14" s="38" t="n">
        <v>46370</v>
      </c>
      <c r="J14" s="37" t="n">
        <v>13150</v>
      </c>
      <c r="K14" s="37" t="n">
        <v>2630</v>
      </c>
      <c r="L14" s="37" t="n">
        <v>15780</v>
      </c>
    </row>
    <row r="15" customFormat="false" ht="15" hidden="false" customHeight="false" outlineLevel="0" collapsed="false">
      <c r="A15" s="11" t="s">
        <v>789</v>
      </c>
      <c r="B15" s="11" t="s">
        <v>332</v>
      </c>
      <c r="C15" s="11" t="s">
        <v>331</v>
      </c>
      <c r="D15" s="11" t="s">
        <v>283</v>
      </c>
      <c r="E15" s="11"/>
      <c r="F15" s="11" t="s">
        <v>538</v>
      </c>
      <c r="G15" s="26" t="n">
        <v>1</v>
      </c>
      <c r="H15" s="38" t="n">
        <v>46310</v>
      </c>
      <c r="I15" s="38" t="n">
        <v>46355</v>
      </c>
      <c r="J15" s="37" t="n">
        <v>18330</v>
      </c>
      <c r="K15" s="37" t="n">
        <v>3666</v>
      </c>
      <c r="L15" s="37" t="n">
        <v>21996</v>
      </c>
    </row>
    <row r="16" customFormat="false" ht="15" hidden="false" customHeight="false" outlineLevel="0" collapsed="false">
      <c r="A16" s="11" t="s">
        <v>823</v>
      </c>
      <c r="B16" s="11" t="s">
        <v>393</v>
      </c>
      <c r="C16" s="11" t="s">
        <v>392</v>
      </c>
      <c r="D16" s="11" t="s">
        <v>283</v>
      </c>
      <c r="E16" s="11"/>
      <c r="F16" s="11" t="s">
        <v>538</v>
      </c>
      <c r="G16" s="26" t="n">
        <v>1</v>
      </c>
      <c r="H16" s="38" t="n">
        <v>46311</v>
      </c>
      <c r="I16" s="38" t="n">
        <v>46361</v>
      </c>
      <c r="J16" s="37" t="n">
        <v>4560</v>
      </c>
      <c r="K16" s="37" t="n">
        <v>912</v>
      </c>
      <c r="L16" s="37" t="n">
        <v>5472</v>
      </c>
    </row>
    <row r="17" customFormat="false" ht="15" hidden="false" customHeight="false" outlineLevel="0" collapsed="false">
      <c r="A17" s="11" t="s">
        <v>797</v>
      </c>
      <c r="B17" s="11" t="s">
        <v>350</v>
      </c>
      <c r="C17" s="11" t="s">
        <v>349</v>
      </c>
      <c r="D17" s="11" t="s">
        <v>283</v>
      </c>
      <c r="E17" s="11"/>
      <c r="F17" s="11" t="s">
        <v>538</v>
      </c>
      <c r="G17" s="26" t="n">
        <v>1</v>
      </c>
      <c r="H17" s="38" t="n">
        <v>46311</v>
      </c>
      <c r="I17" s="38" t="n">
        <v>46371</v>
      </c>
      <c r="J17" s="37" t="n">
        <v>8990</v>
      </c>
      <c r="K17" s="37" t="n">
        <v>1798</v>
      </c>
      <c r="L17" s="37" t="n">
        <v>10788</v>
      </c>
    </row>
    <row r="18" customFormat="false" ht="15" hidden="false" customHeight="false" outlineLevel="0" collapsed="false">
      <c r="A18" s="11" t="s">
        <v>537</v>
      </c>
      <c r="B18" s="11" t="s">
        <v>288</v>
      </c>
      <c r="C18" s="11" t="s">
        <v>287</v>
      </c>
      <c r="D18" s="11" t="s">
        <v>283</v>
      </c>
      <c r="E18" s="11"/>
      <c r="F18" s="11" t="s">
        <v>538</v>
      </c>
      <c r="G18" s="26" t="n">
        <v>1</v>
      </c>
      <c r="H18" s="38" t="n">
        <v>46311</v>
      </c>
      <c r="I18" s="38" t="n">
        <v>46341</v>
      </c>
      <c r="J18" s="37" t="n">
        <v>2500</v>
      </c>
      <c r="K18" s="37" t="n">
        <v>500</v>
      </c>
      <c r="L18" s="37" t="n">
        <v>3000</v>
      </c>
    </row>
    <row r="19" customFormat="false" ht="15" hidden="false" customHeight="false" outlineLevel="0" collapsed="false">
      <c r="A19" s="11" t="s">
        <v>751</v>
      </c>
      <c r="B19" s="11" t="s">
        <v>299</v>
      </c>
      <c r="C19" s="11" t="s">
        <v>298</v>
      </c>
      <c r="D19" s="11" t="s">
        <v>283</v>
      </c>
      <c r="E19" s="11"/>
      <c r="F19" s="11" t="s">
        <v>538</v>
      </c>
      <c r="G19" s="26" t="n">
        <v>1</v>
      </c>
      <c r="H19" s="38" t="n">
        <v>46311</v>
      </c>
      <c r="I19" s="38" t="n">
        <v>46371</v>
      </c>
      <c r="J19" s="37" t="n">
        <v>6920</v>
      </c>
      <c r="K19" s="37" t="n">
        <v>0</v>
      </c>
      <c r="L19" s="37" t="n">
        <v>6920</v>
      </c>
    </row>
    <row r="20" customFormat="false" ht="15" hidden="false" customHeight="false" outlineLevel="0" collapsed="false">
      <c r="A20" s="11" t="s">
        <v>540</v>
      </c>
      <c r="B20" s="11" t="s">
        <v>288</v>
      </c>
      <c r="C20" s="11" t="s">
        <v>287</v>
      </c>
      <c r="D20" s="11" t="s">
        <v>283</v>
      </c>
      <c r="E20" s="11"/>
      <c r="F20" s="11" t="s">
        <v>538</v>
      </c>
      <c r="G20" s="26" t="n">
        <v>1</v>
      </c>
      <c r="H20" s="38" t="n">
        <v>46311</v>
      </c>
      <c r="I20" s="38" t="n">
        <v>46341</v>
      </c>
      <c r="J20" s="37" t="n">
        <v>3460</v>
      </c>
      <c r="K20" s="37" t="n">
        <v>692</v>
      </c>
      <c r="L20" s="37" t="n">
        <v>4152</v>
      </c>
    </row>
    <row r="21" customFormat="false" ht="15" hidden="false" customHeight="false" outlineLevel="0" collapsed="false">
      <c r="A21" s="11" t="s">
        <v>607</v>
      </c>
      <c r="B21" s="11" t="s">
        <v>324</v>
      </c>
      <c r="C21" s="11" t="s">
        <v>323</v>
      </c>
      <c r="D21" s="11" t="s">
        <v>283</v>
      </c>
      <c r="E21" s="11"/>
      <c r="F21" s="11" t="s">
        <v>538</v>
      </c>
      <c r="G21" s="26" t="n">
        <v>1</v>
      </c>
      <c r="H21" s="38" t="n">
        <v>46311</v>
      </c>
      <c r="I21" s="38" t="n">
        <v>46341</v>
      </c>
      <c r="J21" s="37" t="n">
        <v>3880</v>
      </c>
      <c r="K21" s="37" t="n">
        <v>776</v>
      </c>
      <c r="L21" s="37" t="n">
        <v>4656</v>
      </c>
    </row>
    <row r="22" customFormat="false" ht="15" hidden="false" customHeight="false" outlineLevel="0" collapsed="false">
      <c r="A22" s="11" t="s">
        <v>660</v>
      </c>
      <c r="B22" s="11" t="s">
        <v>336</v>
      </c>
      <c r="C22" s="11" t="s">
        <v>335</v>
      </c>
      <c r="D22" s="11" t="s">
        <v>283</v>
      </c>
      <c r="E22" s="11"/>
      <c r="F22" s="11" t="s">
        <v>538</v>
      </c>
      <c r="G22" s="26" t="n">
        <v>1</v>
      </c>
      <c r="H22" s="38" t="n">
        <v>46311</v>
      </c>
      <c r="I22" s="38" t="n">
        <v>46356</v>
      </c>
      <c r="J22" s="37" t="n">
        <v>2540</v>
      </c>
      <c r="K22" s="37" t="n">
        <v>508</v>
      </c>
      <c r="L22" s="37" t="n">
        <v>3048</v>
      </c>
    </row>
    <row r="23" customFormat="false" ht="15" hidden="false" customHeight="false" outlineLevel="0" collapsed="false">
      <c r="A23" s="11" t="s">
        <v>621</v>
      </c>
      <c r="B23" s="11" t="s">
        <v>281</v>
      </c>
      <c r="C23" s="11" t="s">
        <v>280</v>
      </c>
      <c r="D23" s="11" t="s">
        <v>283</v>
      </c>
      <c r="E23" s="11"/>
      <c r="F23" s="11" t="s">
        <v>538</v>
      </c>
      <c r="G23" s="26" t="n">
        <v>1</v>
      </c>
      <c r="H23" s="38" t="n">
        <v>46311</v>
      </c>
      <c r="I23" s="38" t="n">
        <v>46356</v>
      </c>
      <c r="J23" s="37" t="n">
        <v>4580</v>
      </c>
      <c r="K23" s="37" t="n">
        <v>916</v>
      </c>
      <c r="L23" s="37" t="n">
        <v>5496</v>
      </c>
    </row>
    <row r="24" customFormat="false" ht="15" hidden="false" customHeight="false" outlineLevel="0" collapsed="false">
      <c r="A24" s="11" t="s">
        <v>662</v>
      </c>
      <c r="B24" s="11" t="s">
        <v>336</v>
      </c>
      <c r="C24" s="11" t="s">
        <v>335</v>
      </c>
      <c r="D24" s="11" t="s">
        <v>283</v>
      </c>
      <c r="E24" s="11"/>
      <c r="F24" s="11" t="s">
        <v>538</v>
      </c>
      <c r="G24" s="26" t="n">
        <v>1</v>
      </c>
      <c r="H24" s="38" t="n">
        <v>46311</v>
      </c>
      <c r="I24" s="38" t="n">
        <v>46356</v>
      </c>
      <c r="J24" s="37" t="n">
        <v>11160</v>
      </c>
      <c r="K24" s="37" t="n">
        <v>2232</v>
      </c>
      <c r="L24" s="37" t="n">
        <v>13392</v>
      </c>
    </row>
    <row r="25" customFormat="false" ht="15" hidden="false" customHeight="false" outlineLevel="0" collapsed="false">
      <c r="A25" s="11" t="s">
        <v>623</v>
      </c>
      <c r="B25" s="11" t="s">
        <v>281</v>
      </c>
      <c r="C25" s="11" t="s">
        <v>280</v>
      </c>
      <c r="D25" s="11" t="s">
        <v>283</v>
      </c>
      <c r="E25" s="11"/>
      <c r="F25" s="11" t="s">
        <v>538</v>
      </c>
      <c r="G25" s="26" t="n">
        <v>1</v>
      </c>
      <c r="H25" s="38" t="n">
        <v>46311</v>
      </c>
      <c r="I25" s="38" t="n">
        <v>46356</v>
      </c>
      <c r="J25" s="37" t="n">
        <v>3890</v>
      </c>
      <c r="K25" s="37" t="n">
        <v>778</v>
      </c>
      <c r="L25" s="37" t="n">
        <v>4668</v>
      </c>
    </row>
    <row r="26" customFormat="false" ht="15" hidden="false" customHeight="false" outlineLevel="0" collapsed="false">
      <c r="A26" s="11" t="s">
        <v>799</v>
      </c>
      <c r="B26" s="11" t="s">
        <v>350</v>
      </c>
      <c r="C26" s="11" t="s">
        <v>349</v>
      </c>
      <c r="D26" s="11" t="s">
        <v>283</v>
      </c>
      <c r="E26" s="11"/>
      <c r="F26" s="11" t="s">
        <v>538</v>
      </c>
      <c r="G26" s="26" t="n">
        <v>1</v>
      </c>
      <c r="H26" s="38" t="n">
        <v>46311</v>
      </c>
      <c r="I26" s="38" t="n">
        <v>46371</v>
      </c>
      <c r="J26" s="37" t="n">
        <v>3530</v>
      </c>
      <c r="K26" s="37" t="n">
        <v>706</v>
      </c>
      <c r="L26" s="37" t="n">
        <v>4236</v>
      </c>
    </row>
    <row r="27" customFormat="false" ht="15" hidden="false" customHeight="false" outlineLevel="0" collapsed="false">
      <c r="A27" s="11" t="s">
        <v>566</v>
      </c>
      <c r="B27" s="11" t="s">
        <v>288</v>
      </c>
      <c r="C27" s="11" t="s">
        <v>287</v>
      </c>
      <c r="D27" s="11" t="s">
        <v>283</v>
      </c>
      <c r="E27" s="11"/>
      <c r="F27" s="11" t="s">
        <v>538</v>
      </c>
      <c r="G27" s="26" t="n">
        <v>1</v>
      </c>
      <c r="H27" s="38" t="n">
        <v>46314</v>
      </c>
      <c r="I27" s="38" t="n">
        <v>46344</v>
      </c>
      <c r="J27" s="37" t="n">
        <v>3020</v>
      </c>
      <c r="K27" s="37" t="n">
        <v>604</v>
      </c>
      <c r="L27" s="37" t="n">
        <v>3624</v>
      </c>
    </row>
    <row r="28" customFormat="false" ht="15" hidden="false" customHeight="false" outlineLevel="0" collapsed="false">
      <c r="A28" s="11" t="s">
        <v>825</v>
      </c>
      <c r="B28" s="11" t="s">
        <v>332</v>
      </c>
      <c r="C28" s="11" t="s">
        <v>331</v>
      </c>
      <c r="D28" s="11" t="s">
        <v>283</v>
      </c>
      <c r="E28" s="11"/>
      <c r="F28" s="11" t="s">
        <v>538</v>
      </c>
      <c r="G28" s="26" t="n">
        <v>1</v>
      </c>
      <c r="H28" s="38" t="n">
        <v>46315</v>
      </c>
      <c r="I28" s="38" t="n">
        <v>46360</v>
      </c>
      <c r="J28" s="37" t="n">
        <v>6190</v>
      </c>
      <c r="K28" s="37" t="n">
        <v>1238</v>
      </c>
      <c r="L28" s="37" t="n">
        <v>7428</v>
      </c>
    </row>
    <row r="29" customFormat="false" ht="15" hidden="false" customHeight="false" outlineLevel="0" collapsed="false">
      <c r="A29" s="11" t="s">
        <v>568</v>
      </c>
      <c r="B29" s="11" t="s">
        <v>288</v>
      </c>
      <c r="C29" s="11" t="s">
        <v>287</v>
      </c>
      <c r="D29" s="11" t="s">
        <v>283</v>
      </c>
      <c r="E29" s="11"/>
      <c r="F29" s="11" t="s">
        <v>538</v>
      </c>
      <c r="G29" s="26" t="n">
        <v>1</v>
      </c>
      <c r="H29" s="38" t="n">
        <v>46315</v>
      </c>
      <c r="I29" s="38" t="n">
        <v>46345</v>
      </c>
      <c r="J29" s="37" t="n">
        <v>3200</v>
      </c>
      <c r="K29" s="37" t="n">
        <v>640</v>
      </c>
      <c r="L29" s="37" t="n">
        <v>3840</v>
      </c>
    </row>
    <row r="30" customFormat="false" ht="15" hidden="false" customHeight="false" outlineLevel="0" collapsed="false">
      <c r="A30" s="11" t="s">
        <v>664</v>
      </c>
      <c r="B30" s="11" t="s">
        <v>281</v>
      </c>
      <c r="C30" s="11" t="s">
        <v>280</v>
      </c>
      <c r="D30" s="11" t="s">
        <v>283</v>
      </c>
      <c r="E30" s="11"/>
      <c r="F30" s="11" t="s">
        <v>538</v>
      </c>
      <c r="G30" s="26" t="n">
        <v>1</v>
      </c>
      <c r="H30" s="38" t="n">
        <v>46316</v>
      </c>
      <c r="I30" s="38" t="n">
        <v>46361</v>
      </c>
      <c r="J30" s="37" t="n">
        <v>10740</v>
      </c>
      <c r="K30" s="37" t="n">
        <v>2148</v>
      </c>
      <c r="L30" s="37" t="n">
        <v>12888</v>
      </c>
    </row>
    <row r="31" customFormat="false" ht="15" hidden="false" customHeight="false" outlineLevel="0" collapsed="false">
      <c r="A31" s="11" t="s">
        <v>702</v>
      </c>
      <c r="B31" s="11" t="s">
        <v>336</v>
      </c>
      <c r="C31" s="11" t="s">
        <v>335</v>
      </c>
      <c r="D31" s="11" t="s">
        <v>283</v>
      </c>
      <c r="E31" s="11"/>
      <c r="F31" s="11" t="s">
        <v>538</v>
      </c>
      <c r="G31" s="26" t="n">
        <v>1</v>
      </c>
      <c r="H31" s="38" t="n">
        <v>46316</v>
      </c>
      <c r="I31" s="38" t="n">
        <v>46361</v>
      </c>
      <c r="J31" s="37" t="n">
        <v>4100</v>
      </c>
      <c r="K31" s="37" t="n">
        <v>820</v>
      </c>
      <c r="L31" s="37" t="n">
        <v>4920</v>
      </c>
    </row>
    <row r="32" customFormat="false" ht="15" hidden="false" customHeight="false" outlineLevel="0" collapsed="false">
      <c r="A32" s="11" t="s">
        <v>666</v>
      </c>
      <c r="B32" s="11" t="s">
        <v>281</v>
      </c>
      <c r="C32" s="11" t="s">
        <v>280</v>
      </c>
      <c r="D32" s="11" t="s">
        <v>283</v>
      </c>
      <c r="E32" s="11"/>
      <c r="F32" s="11" t="s">
        <v>538</v>
      </c>
      <c r="G32" s="26" t="n">
        <v>1</v>
      </c>
      <c r="H32" s="38" t="n">
        <v>46317</v>
      </c>
      <c r="I32" s="38" t="n">
        <v>46362</v>
      </c>
      <c r="J32" s="37" t="n">
        <v>8310</v>
      </c>
      <c r="K32" s="37" t="n">
        <v>1662</v>
      </c>
      <c r="L32" s="37" t="n">
        <v>9972</v>
      </c>
    </row>
    <row r="33" customFormat="false" ht="15" hidden="false" customHeight="false" outlineLevel="0" collapsed="false">
      <c r="A33" s="11" t="s">
        <v>902</v>
      </c>
      <c r="B33" s="11" t="s">
        <v>328</v>
      </c>
      <c r="C33" s="11" t="s">
        <v>327</v>
      </c>
      <c r="D33" s="11" t="s">
        <v>283</v>
      </c>
      <c r="E33" s="11"/>
      <c r="F33" s="11" t="s">
        <v>538</v>
      </c>
      <c r="G33" s="26" t="n">
        <v>1</v>
      </c>
      <c r="H33" s="38" t="n">
        <v>46317</v>
      </c>
      <c r="I33" s="38" t="n">
        <v>46377</v>
      </c>
      <c r="J33" s="37" t="n">
        <v>11090</v>
      </c>
      <c r="K33" s="37" t="n">
        <v>2218</v>
      </c>
      <c r="L33" s="37" t="n">
        <v>13308</v>
      </c>
    </row>
    <row r="34" customFormat="false" ht="15" hidden="false" customHeight="false" outlineLevel="0" collapsed="false">
      <c r="A34" s="11" t="s">
        <v>704</v>
      </c>
      <c r="B34" s="11" t="s">
        <v>336</v>
      </c>
      <c r="C34" s="11" t="s">
        <v>335</v>
      </c>
      <c r="D34" s="11" t="s">
        <v>283</v>
      </c>
      <c r="E34" s="11"/>
      <c r="F34" s="11" t="s">
        <v>538</v>
      </c>
      <c r="G34" s="26" t="n">
        <v>1</v>
      </c>
      <c r="H34" s="38" t="n">
        <v>46317</v>
      </c>
      <c r="I34" s="38" t="n">
        <v>46362</v>
      </c>
      <c r="J34" s="37" t="n">
        <v>4400</v>
      </c>
      <c r="K34" s="37" t="n">
        <v>880</v>
      </c>
      <c r="L34" s="37" t="n">
        <v>5280</v>
      </c>
    </row>
    <row r="35" customFormat="false" ht="15" hidden="false" customHeight="false" outlineLevel="0" collapsed="false">
      <c r="A35" s="11" t="s">
        <v>580</v>
      </c>
      <c r="B35" s="11" t="s">
        <v>288</v>
      </c>
      <c r="C35" s="11" t="s">
        <v>287</v>
      </c>
      <c r="D35" s="11" t="s">
        <v>283</v>
      </c>
      <c r="E35" s="11"/>
      <c r="F35" s="11" t="s">
        <v>538</v>
      </c>
      <c r="G35" s="26" t="n">
        <v>1</v>
      </c>
      <c r="H35" s="38" t="n">
        <v>46317</v>
      </c>
      <c r="I35" s="38" t="n">
        <v>46347</v>
      </c>
      <c r="J35" s="37" t="n">
        <v>4430</v>
      </c>
      <c r="K35" s="37" t="n">
        <v>886</v>
      </c>
      <c r="L35" s="37" t="n">
        <v>5316</v>
      </c>
    </row>
    <row r="36" customFormat="false" ht="15" hidden="false" customHeight="false" outlineLevel="0" collapsed="false">
      <c r="A36" s="11" t="s">
        <v>904</v>
      </c>
      <c r="B36" s="11" t="s">
        <v>328</v>
      </c>
      <c r="C36" s="11" t="s">
        <v>327</v>
      </c>
      <c r="D36" s="11" t="s">
        <v>283</v>
      </c>
      <c r="E36" s="11"/>
      <c r="F36" s="11" t="s">
        <v>538</v>
      </c>
      <c r="G36" s="26" t="n">
        <v>1</v>
      </c>
      <c r="H36" s="38" t="n">
        <v>46317</v>
      </c>
      <c r="I36" s="38" t="n">
        <v>46377</v>
      </c>
      <c r="J36" s="37" t="n">
        <v>17420</v>
      </c>
      <c r="K36" s="37" t="n">
        <v>3484</v>
      </c>
      <c r="L36" s="37" t="n">
        <v>20904</v>
      </c>
    </row>
    <row r="37" customFormat="false" ht="15" hidden="false" customHeight="false" outlineLevel="0" collapsed="false">
      <c r="A37" s="11" t="s">
        <v>668</v>
      </c>
      <c r="B37" s="11" t="s">
        <v>281</v>
      </c>
      <c r="C37" s="11" t="s">
        <v>280</v>
      </c>
      <c r="D37" s="11" t="s">
        <v>283</v>
      </c>
      <c r="E37" s="11"/>
      <c r="F37" s="11" t="s">
        <v>538</v>
      </c>
      <c r="G37" s="26" t="n">
        <v>1</v>
      </c>
      <c r="H37" s="38" t="n">
        <v>46317</v>
      </c>
      <c r="I37" s="38" t="n">
        <v>46362</v>
      </c>
      <c r="J37" s="37" t="n">
        <v>6790</v>
      </c>
      <c r="K37" s="37" t="n">
        <v>1358</v>
      </c>
      <c r="L37" s="37" t="n">
        <v>8148</v>
      </c>
    </row>
    <row r="38" customFormat="false" ht="15" hidden="false" customHeight="false" outlineLevel="0" collapsed="false">
      <c r="A38" s="11" t="s">
        <v>925</v>
      </c>
      <c r="B38" s="11" t="s">
        <v>328</v>
      </c>
      <c r="C38" s="11" t="s">
        <v>327</v>
      </c>
      <c r="D38" s="11" t="s">
        <v>283</v>
      </c>
      <c r="E38" s="11"/>
      <c r="F38" s="11" t="s">
        <v>538</v>
      </c>
      <c r="G38" s="26" t="n">
        <v>1</v>
      </c>
      <c r="H38" s="38" t="n">
        <v>46318</v>
      </c>
      <c r="I38" s="38" t="n">
        <v>46378</v>
      </c>
      <c r="J38" s="37" t="n">
        <v>16960</v>
      </c>
      <c r="K38" s="37" t="n">
        <v>3392</v>
      </c>
      <c r="L38" s="37" t="n">
        <v>20352</v>
      </c>
    </row>
    <row r="39" customFormat="false" ht="15" hidden="false" customHeight="false" outlineLevel="0" collapsed="false">
      <c r="A39" s="11" t="s">
        <v>706</v>
      </c>
      <c r="B39" s="11" t="s">
        <v>336</v>
      </c>
      <c r="C39" s="11" t="s">
        <v>335</v>
      </c>
      <c r="D39" s="11" t="s">
        <v>283</v>
      </c>
      <c r="E39" s="11"/>
      <c r="F39" s="11" t="s">
        <v>538</v>
      </c>
      <c r="G39" s="26" t="n">
        <v>1</v>
      </c>
      <c r="H39" s="38" t="n">
        <v>46318</v>
      </c>
      <c r="I39" s="38" t="n">
        <v>46363</v>
      </c>
      <c r="J39" s="37" t="n">
        <v>10680</v>
      </c>
      <c r="K39" s="37" t="n">
        <v>2136</v>
      </c>
      <c r="L39" s="37" t="n">
        <v>12816</v>
      </c>
    </row>
    <row r="40" customFormat="false" ht="15" hidden="false" customHeight="false" outlineLevel="0" collapsed="false">
      <c r="A40" s="11" t="s">
        <v>646</v>
      </c>
      <c r="B40" s="11" t="s">
        <v>324</v>
      </c>
      <c r="C40" s="11" t="s">
        <v>323</v>
      </c>
      <c r="D40" s="11" t="s">
        <v>283</v>
      </c>
      <c r="E40" s="11"/>
      <c r="F40" s="11" t="s">
        <v>538</v>
      </c>
      <c r="G40" s="26" t="n">
        <v>1</v>
      </c>
      <c r="H40" s="38" t="n">
        <v>46318</v>
      </c>
      <c r="I40" s="38" t="n">
        <v>46348</v>
      </c>
      <c r="J40" s="37" t="n">
        <v>3170</v>
      </c>
      <c r="K40" s="37" t="n">
        <v>634</v>
      </c>
      <c r="L40" s="37" t="n">
        <v>3804</v>
      </c>
    </row>
    <row r="41" customFormat="false" ht="15" hidden="false" customHeight="false" outlineLevel="0" collapsed="false">
      <c r="A41" s="11" t="s">
        <v>670</v>
      </c>
      <c r="B41" s="11" t="s">
        <v>281</v>
      </c>
      <c r="C41" s="11" t="s">
        <v>280</v>
      </c>
      <c r="D41" s="11" t="s">
        <v>283</v>
      </c>
      <c r="E41" s="11"/>
      <c r="F41" s="11" t="s">
        <v>538</v>
      </c>
      <c r="G41" s="26" t="n">
        <v>1</v>
      </c>
      <c r="H41" s="38" t="n">
        <v>46318</v>
      </c>
      <c r="I41" s="38" t="n">
        <v>46363</v>
      </c>
      <c r="J41" s="37" t="n">
        <v>4120</v>
      </c>
      <c r="K41" s="37" t="n">
        <v>824</v>
      </c>
      <c r="L41" s="37" t="n">
        <v>4944</v>
      </c>
    </row>
    <row r="42" customFormat="false" ht="15" hidden="false" customHeight="false" outlineLevel="0" collapsed="false">
      <c r="A42" s="11" t="s">
        <v>625</v>
      </c>
      <c r="B42" s="11" t="s">
        <v>400</v>
      </c>
      <c r="C42" s="11" t="s">
        <v>399</v>
      </c>
      <c r="D42" s="11" t="s">
        <v>283</v>
      </c>
      <c r="E42" s="11"/>
      <c r="F42" s="11" t="s">
        <v>538</v>
      </c>
      <c r="G42" s="26" t="n">
        <v>1</v>
      </c>
      <c r="H42" s="38" t="n">
        <v>46318</v>
      </c>
      <c r="I42" s="38" t="n">
        <v>46348</v>
      </c>
      <c r="J42" s="37" t="n">
        <v>7030</v>
      </c>
      <c r="K42" s="37" t="n">
        <v>1406</v>
      </c>
      <c r="L42" s="37" t="n">
        <v>8436</v>
      </c>
    </row>
    <row r="43" customFormat="false" ht="15" hidden="false" customHeight="false" outlineLevel="0" collapsed="false">
      <c r="A43" s="11" t="s">
        <v>872</v>
      </c>
      <c r="B43" s="11" t="s">
        <v>393</v>
      </c>
      <c r="C43" s="11" t="s">
        <v>392</v>
      </c>
      <c r="D43" s="11" t="s">
        <v>283</v>
      </c>
      <c r="E43" s="11"/>
      <c r="F43" s="11" t="s">
        <v>538</v>
      </c>
      <c r="G43" s="26" t="n">
        <v>1</v>
      </c>
      <c r="H43" s="38" t="n">
        <v>46318</v>
      </c>
      <c r="I43" s="38" t="n">
        <v>46368</v>
      </c>
      <c r="J43" s="37" t="n">
        <v>6630</v>
      </c>
      <c r="K43" s="37" t="n">
        <v>1326</v>
      </c>
      <c r="L43" s="37" t="n">
        <v>7956</v>
      </c>
    </row>
    <row r="44" customFormat="false" ht="15" hidden="false" customHeight="false" outlineLevel="0" collapsed="false">
      <c r="A44" s="11" t="s">
        <v>898</v>
      </c>
      <c r="B44" s="11" t="s">
        <v>393</v>
      </c>
      <c r="C44" s="11" t="s">
        <v>392</v>
      </c>
      <c r="D44" s="11" t="s">
        <v>283</v>
      </c>
      <c r="E44" s="11"/>
      <c r="F44" s="11" t="s">
        <v>538</v>
      </c>
      <c r="G44" s="26" t="n">
        <v>1</v>
      </c>
      <c r="H44" s="38" t="n">
        <v>46321</v>
      </c>
      <c r="I44" s="38" t="n">
        <v>46371</v>
      </c>
      <c r="J44" s="37" t="n">
        <v>19400</v>
      </c>
      <c r="K44" s="37" t="n">
        <v>3880</v>
      </c>
      <c r="L44" s="37" t="n">
        <v>23280</v>
      </c>
    </row>
    <row r="45" customFormat="false" ht="15" hidden="false" customHeight="false" outlineLevel="0" collapsed="false">
      <c r="A45" s="11" t="s">
        <v>841</v>
      </c>
      <c r="B45" s="11" t="s">
        <v>299</v>
      </c>
      <c r="C45" s="11" t="s">
        <v>298</v>
      </c>
      <c r="D45" s="11" t="s">
        <v>283</v>
      </c>
      <c r="E45" s="11"/>
      <c r="F45" s="11" t="s">
        <v>538</v>
      </c>
      <c r="G45" s="26" t="n">
        <v>1</v>
      </c>
      <c r="H45" s="38" t="n">
        <v>46321</v>
      </c>
      <c r="I45" s="38" t="n">
        <v>46381</v>
      </c>
      <c r="J45" s="37" t="n">
        <v>8010</v>
      </c>
      <c r="K45" s="37" t="n">
        <v>0</v>
      </c>
      <c r="L45" s="37" t="n">
        <v>8010</v>
      </c>
    </row>
    <row r="46" customFormat="false" ht="15" hidden="false" customHeight="false" outlineLevel="0" collapsed="false">
      <c r="A46" s="11" t="s">
        <v>945</v>
      </c>
      <c r="B46" s="11" t="s">
        <v>328</v>
      </c>
      <c r="C46" s="11" t="s">
        <v>327</v>
      </c>
      <c r="D46" s="11" t="s">
        <v>283</v>
      </c>
      <c r="E46" s="11"/>
      <c r="F46" s="11" t="s">
        <v>538</v>
      </c>
      <c r="G46" s="26" t="n">
        <v>1</v>
      </c>
      <c r="H46" s="38" t="n">
        <v>46323</v>
      </c>
      <c r="I46" s="38" t="n">
        <v>46383</v>
      </c>
      <c r="J46" s="37" t="n">
        <v>10080</v>
      </c>
      <c r="K46" s="37" t="n">
        <v>2016</v>
      </c>
      <c r="L46" s="37" t="n">
        <v>12096</v>
      </c>
    </row>
    <row r="47" customFormat="false" ht="15" hidden="false" customHeight="false" outlineLevel="0" collapsed="false">
      <c r="A47" s="11" t="s">
        <v>753</v>
      </c>
      <c r="B47" s="11" t="s">
        <v>336</v>
      </c>
      <c r="C47" s="11" t="s">
        <v>335</v>
      </c>
      <c r="D47" s="11" t="s">
        <v>283</v>
      </c>
      <c r="E47" s="11"/>
      <c r="F47" s="11" t="s">
        <v>538</v>
      </c>
      <c r="G47" s="26" t="n">
        <v>1</v>
      </c>
      <c r="H47" s="38" t="n">
        <v>46323</v>
      </c>
      <c r="I47" s="38" t="n">
        <v>46368</v>
      </c>
      <c r="J47" s="37" t="n">
        <v>7390</v>
      </c>
      <c r="K47" s="37" t="n">
        <v>1478</v>
      </c>
      <c r="L47" s="37" t="n">
        <v>8868</v>
      </c>
    </row>
    <row r="48" customFormat="false" ht="15" hidden="false" customHeight="false" outlineLevel="0" collapsed="false">
      <c r="A48" s="11" t="s">
        <v>755</v>
      </c>
      <c r="B48" s="11" t="s">
        <v>336</v>
      </c>
      <c r="C48" s="11" t="s">
        <v>335</v>
      </c>
      <c r="D48" s="11" t="s">
        <v>283</v>
      </c>
      <c r="E48" s="11"/>
      <c r="F48" s="11" t="s">
        <v>538</v>
      </c>
      <c r="G48" s="26" t="n">
        <v>1</v>
      </c>
      <c r="H48" s="38" t="n">
        <v>46323</v>
      </c>
      <c r="I48" s="38" t="n">
        <v>46368</v>
      </c>
      <c r="J48" s="37" t="n">
        <v>4950</v>
      </c>
      <c r="K48" s="37" t="n">
        <v>990</v>
      </c>
      <c r="L48" s="37" t="n">
        <v>5940</v>
      </c>
    </row>
    <row r="49" customFormat="false" ht="15" hidden="false" customHeight="false" outlineLevel="0" collapsed="false">
      <c r="A49" s="11" t="s">
        <v>686</v>
      </c>
      <c r="B49" s="11" t="s">
        <v>324</v>
      </c>
      <c r="C49" s="11" t="s">
        <v>323</v>
      </c>
      <c r="D49" s="11" t="s">
        <v>283</v>
      </c>
      <c r="E49" s="11"/>
      <c r="F49" s="11" t="s">
        <v>538</v>
      </c>
      <c r="G49" s="26" t="n">
        <v>1</v>
      </c>
      <c r="H49" s="38" t="n">
        <v>46324</v>
      </c>
      <c r="I49" s="38" t="n">
        <v>46354</v>
      </c>
      <c r="J49" s="37" t="n">
        <v>3170</v>
      </c>
      <c r="K49" s="37" t="n">
        <v>634</v>
      </c>
      <c r="L49" s="37" t="n">
        <v>3804</v>
      </c>
    </row>
    <row r="50" customFormat="false" ht="15" hidden="false" customHeight="false" outlineLevel="0" collapsed="false">
      <c r="A50" s="11" t="s">
        <v>886</v>
      </c>
      <c r="B50" s="11" t="s">
        <v>350</v>
      </c>
      <c r="C50" s="11" t="s">
        <v>349</v>
      </c>
      <c r="D50" s="11" t="s">
        <v>283</v>
      </c>
      <c r="E50" s="11"/>
      <c r="F50" s="11" t="s">
        <v>538</v>
      </c>
      <c r="G50" s="26" t="n">
        <v>1</v>
      </c>
      <c r="H50" s="38" t="n">
        <v>46324</v>
      </c>
      <c r="I50" s="38" t="n">
        <v>46384</v>
      </c>
      <c r="J50" s="37" t="n">
        <v>15930</v>
      </c>
      <c r="K50" s="37" t="n">
        <v>3186</v>
      </c>
      <c r="L50" s="37" t="n">
        <v>19116</v>
      </c>
    </row>
    <row r="51" customFormat="false" ht="15" hidden="false" customHeight="false" outlineLevel="0" collapsed="false">
      <c r="A51" s="11" t="s">
        <v>708</v>
      </c>
      <c r="B51" s="11" t="s">
        <v>281</v>
      </c>
      <c r="C51" s="11" t="s">
        <v>280</v>
      </c>
      <c r="D51" s="11" t="s">
        <v>283</v>
      </c>
      <c r="E51" s="11"/>
      <c r="F51" s="11" t="s">
        <v>538</v>
      </c>
      <c r="G51" s="26" t="n">
        <v>1</v>
      </c>
      <c r="H51" s="38" t="n">
        <v>46325</v>
      </c>
      <c r="I51" s="38" t="n">
        <v>46370</v>
      </c>
      <c r="J51" s="37" t="n">
        <v>6630</v>
      </c>
      <c r="K51" s="37" t="n">
        <v>1326</v>
      </c>
      <c r="L51" s="37" t="n">
        <v>7956</v>
      </c>
    </row>
    <row r="52" customFormat="false" ht="15" hidden="false" customHeight="false" outlineLevel="0" collapsed="false">
      <c r="A52" s="11" t="s">
        <v>906</v>
      </c>
      <c r="B52" s="11" t="s">
        <v>598</v>
      </c>
      <c r="C52" s="11" t="s">
        <v>597</v>
      </c>
      <c r="D52" s="11" t="s">
        <v>907</v>
      </c>
      <c r="E52" s="11" t="s">
        <v>4221</v>
      </c>
      <c r="F52" s="11" t="s">
        <v>812</v>
      </c>
      <c r="G52" s="26" t="n">
        <v>1</v>
      </c>
      <c r="H52" s="38" t="n">
        <v>46325</v>
      </c>
      <c r="I52" s="38" t="n">
        <v>46385</v>
      </c>
      <c r="J52" s="37" t="n">
        <v>144000</v>
      </c>
      <c r="K52" s="37" t="n">
        <v>28800</v>
      </c>
      <c r="L52" s="37" t="n">
        <v>172800</v>
      </c>
    </row>
    <row r="53" customFormat="false" ht="15" hidden="false" customHeight="false" outlineLevel="0" collapsed="false">
      <c r="A53" s="11" t="s">
        <v>710</v>
      </c>
      <c r="B53" s="11" t="s">
        <v>281</v>
      </c>
      <c r="C53" s="11" t="s">
        <v>280</v>
      </c>
      <c r="D53" s="11" t="s">
        <v>283</v>
      </c>
      <c r="E53" s="11"/>
      <c r="F53" s="11" t="s">
        <v>538</v>
      </c>
      <c r="G53" s="26" t="n">
        <v>1</v>
      </c>
      <c r="H53" s="38" t="n">
        <v>46325</v>
      </c>
      <c r="I53" s="38" t="n">
        <v>46370</v>
      </c>
      <c r="J53" s="37" t="n">
        <v>7000</v>
      </c>
      <c r="K53" s="37" t="n">
        <v>1400</v>
      </c>
      <c r="L53" s="37" t="n">
        <v>8400</v>
      </c>
    </row>
    <row r="54" customFormat="false" ht="15" hidden="false" customHeight="false" outlineLevel="0" collapsed="false">
      <c r="A54" s="11" t="s">
        <v>900</v>
      </c>
      <c r="B54" s="11" t="s">
        <v>350</v>
      </c>
      <c r="C54" s="11" t="s">
        <v>349</v>
      </c>
      <c r="D54" s="11" t="s">
        <v>283</v>
      </c>
      <c r="E54" s="11"/>
      <c r="F54" s="11" t="s">
        <v>538</v>
      </c>
      <c r="G54" s="26" t="n">
        <v>1</v>
      </c>
      <c r="H54" s="38" t="n">
        <v>46325</v>
      </c>
      <c r="I54" s="38" t="n">
        <v>46385</v>
      </c>
      <c r="J54" s="37" t="n">
        <v>25020</v>
      </c>
      <c r="K54" s="37" t="n">
        <v>5004</v>
      </c>
      <c r="L54" s="37" t="n">
        <v>30024</v>
      </c>
    </row>
    <row r="55" customFormat="false" ht="15" hidden="false" customHeight="false" outlineLevel="0" collapsed="false">
      <c r="A55" s="11" t="s">
        <v>791</v>
      </c>
      <c r="B55" s="11" t="s">
        <v>336</v>
      </c>
      <c r="C55" s="11" t="s">
        <v>335</v>
      </c>
      <c r="D55" s="11" t="s">
        <v>283</v>
      </c>
      <c r="E55" s="11"/>
      <c r="F55" s="11" t="s">
        <v>538</v>
      </c>
      <c r="G55" s="26" t="n">
        <v>1</v>
      </c>
      <c r="H55" s="38" t="n">
        <v>46328</v>
      </c>
      <c r="I55" s="38" t="n">
        <v>46373</v>
      </c>
      <c r="J55" s="37" t="n">
        <v>6380</v>
      </c>
      <c r="K55" s="37" t="n">
        <v>1276</v>
      </c>
      <c r="L55" s="37" t="n">
        <v>7656</v>
      </c>
    </row>
    <row r="56" customFormat="false" ht="15" hidden="false" customHeight="false" outlineLevel="0" collapsed="false">
      <c r="A56" s="11" t="s">
        <v>741</v>
      </c>
      <c r="B56" s="11" t="s">
        <v>281</v>
      </c>
      <c r="C56" s="11" t="s">
        <v>280</v>
      </c>
      <c r="D56" s="11" t="s">
        <v>283</v>
      </c>
      <c r="E56" s="11"/>
      <c r="F56" s="11" t="s">
        <v>538</v>
      </c>
      <c r="G56" s="26" t="n">
        <v>1</v>
      </c>
      <c r="H56" s="38" t="n">
        <v>46328</v>
      </c>
      <c r="I56" s="38" t="n">
        <v>46373</v>
      </c>
      <c r="J56" s="37" t="n">
        <v>6880</v>
      </c>
      <c r="K56" s="37" t="n">
        <v>1376</v>
      </c>
      <c r="L56" s="37" t="n">
        <v>8256</v>
      </c>
    </row>
    <row r="57" customFormat="false" ht="15" hidden="false" customHeight="false" outlineLevel="0" collapsed="false">
      <c r="A57" s="11" t="s">
        <v>909</v>
      </c>
      <c r="B57" s="11" t="s">
        <v>350</v>
      </c>
      <c r="C57" s="11" t="s">
        <v>349</v>
      </c>
      <c r="D57" s="11" t="s">
        <v>283</v>
      </c>
      <c r="E57" s="11"/>
      <c r="F57" s="11" t="s">
        <v>538</v>
      </c>
      <c r="G57" s="26" t="n">
        <v>1</v>
      </c>
      <c r="H57" s="38" t="n">
        <v>46328</v>
      </c>
      <c r="I57" s="38" t="n">
        <v>46388</v>
      </c>
      <c r="J57" s="37" t="n">
        <v>24430</v>
      </c>
      <c r="K57" s="37" t="n">
        <v>4886</v>
      </c>
      <c r="L57" s="37" t="n">
        <v>29316</v>
      </c>
    </row>
    <row r="58" customFormat="false" ht="15" hidden="false" customHeight="false" outlineLevel="0" collapsed="false">
      <c r="A58" s="11" t="s">
        <v>809</v>
      </c>
      <c r="B58" s="11" t="s">
        <v>811</v>
      </c>
      <c r="C58" s="11" t="s">
        <v>810</v>
      </c>
      <c r="D58" s="11" t="s">
        <v>813</v>
      </c>
      <c r="E58" s="11" t="s">
        <v>4228</v>
      </c>
      <c r="F58" s="11" t="s">
        <v>812</v>
      </c>
      <c r="G58" s="26" t="n">
        <v>1</v>
      </c>
      <c r="H58" s="38" t="n">
        <v>46328</v>
      </c>
      <c r="I58" s="38" t="n">
        <v>46373</v>
      </c>
      <c r="J58" s="37" t="n">
        <v>108000</v>
      </c>
      <c r="K58" s="37" t="n">
        <v>21600</v>
      </c>
      <c r="L58" s="37" t="n">
        <v>129600</v>
      </c>
    </row>
    <row r="59" customFormat="false" ht="15" hidden="false" customHeight="false" outlineLevel="0" collapsed="false">
      <c r="A59" s="11" t="s">
        <v>888</v>
      </c>
      <c r="B59" s="11" t="s">
        <v>299</v>
      </c>
      <c r="C59" s="11" t="s">
        <v>298</v>
      </c>
      <c r="D59" s="11" t="s">
        <v>283</v>
      </c>
      <c r="E59" s="11"/>
      <c r="F59" s="11" t="s">
        <v>538</v>
      </c>
      <c r="G59" s="26" t="n">
        <v>1</v>
      </c>
      <c r="H59" s="38" t="n">
        <v>46328</v>
      </c>
      <c r="I59" s="38" t="n">
        <v>46388</v>
      </c>
      <c r="J59" s="37" t="n">
        <v>15980</v>
      </c>
      <c r="K59" s="37" t="n">
        <v>0</v>
      </c>
      <c r="L59" s="37" t="n">
        <v>15980</v>
      </c>
    </row>
    <row r="60" customFormat="false" ht="15" hidden="false" customHeight="false" outlineLevel="0" collapsed="false">
      <c r="A60" s="11" t="s">
        <v>927</v>
      </c>
      <c r="B60" s="11" t="s">
        <v>332</v>
      </c>
      <c r="C60" s="11" t="s">
        <v>331</v>
      </c>
      <c r="D60" s="11" t="s">
        <v>283</v>
      </c>
      <c r="E60" s="11"/>
      <c r="F60" s="11" t="s">
        <v>538</v>
      </c>
      <c r="G60" s="26" t="n">
        <v>1</v>
      </c>
      <c r="H60" s="38" t="n">
        <v>46329</v>
      </c>
      <c r="I60" s="38" t="n">
        <v>46374</v>
      </c>
      <c r="J60" s="37" t="n">
        <v>12640</v>
      </c>
      <c r="K60" s="37" t="n">
        <v>2528</v>
      </c>
      <c r="L60" s="37" t="n">
        <v>15168</v>
      </c>
    </row>
    <row r="61" customFormat="false" ht="15" hidden="false" customHeight="false" outlineLevel="0" collapsed="false">
      <c r="A61" s="11" t="s">
        <v>801</v>
      </c>
      <c r="B61" s="11" t="s">
        <v>336</v>
      </c>
      <c r="C61" s="11" t="s">
        <v>335</v>
      </c>
      <c r="D61" s="11" t="s">
        <v>283</v>
      </c>
      <c r="E61" s="11"/>
      <c r="F61" s="11" t="s">
        <v>538</v>
      </c>
      <c r="G61" s="26" t="n">
        <v>1</v>
      </c>
      <c r="H61" s="38" t="n">
        <v>46329</v>
      </c>
      <c r="I61" s="38" t="n">
        <v>46374</v>
      </c>
      <c r="J61" s="37" t="n">
        <v>2460</v>
      </c>
      <c r="K61" s="37" t="n">
        <v>492</v>
      </c>
      <c r="L61" s="37" t="n">
        <v>2952</v>
      </c>
    </row>
    <row r="62" customFormat="false" ht="15" hidden="false" customHeight="false" outlineLevel="0" collapsed="false">
      <c r="A62" s="11" t="s">
        <v>973</v>
      </c>
      <c r="B62" s="11" t="s">
        <v>328</v>
      </c>
      <c r="C62" s="11" t="s">
        <v>327</v>
      </c>
      <c r="D62" s="11" t="s">
        <v>283</v>
      </c>
      <c r="E62" s="11"/>
      <c r="F62" s="11" t="s">
        <v>538</v>
      </c>
      <c r="G62" s="26" t="n">
        <v>1</v>
      </c>
      <c r="H62" s="38" t="n">
        <v>46329</v>
      </c>
      <c r="I62" s="38" t="n">
        <v>46389</v>
      </c>
      <c r="J62" s="37" t="n">
        <v>19280</v>
      </c>
      <c r="K62" s="37" t="n">
        <v>3856</v>
      </c>
      <c r="L62" s="37" t="n">
        <v>23136</v>
      </c>
    </row>
    <row r="63" customFormat="false" ht="15" hidden="false" customHeight="false" outlineLevel="0" collapsed="false">
      <c r="A63" s="11" t="s">
        <v>749</v>
      </c>
      <c r="B63" s="11" t="s">
        <v>281</v>
      </c>
      <c r="C63" s="11" t="s">
        <v>280</v>
      </c>
      <c r="D63" s="11" t="s">
        <v>283</v>
      </c>
      <c r="E63" s="11"/>
      <c r="F63" s="11" t="s">
        <v>538</v>
      </c>
      <c r="G63" s="26" t="n">
        <v>1</v>
      </c>
      <c r="H63" s="38" t="n">
        <v>46329</v>
      </c>
      <c r="I63" s="38" t="n">
        <v>46374</v>
      </c>
      <c r="J63" s="37" t="n">
        <v>9450</v>
      </c>
      <c r="K63" s="37" t="n">
        <v>1890</v>
      </c>
      <c r="L63" s="37" t="n">
        <v>11340</v>
      </c>
    </row>
    <row r="64" customFormat="false" ht="15" hidden="false" customHeight="false" outlineLevel="0" collapsed="false">
      <c r="A64" s="11" t="s">
        <v>975</v>
      </c>
      <c r="B64" s="11" t="s">
        <v>328</v>
      </c>
      <c r="C64" s="11" t="s">
        <v>327</v>
      </c>
      <c r="D64" s="11" t="s">
        <v>283</v>
      </c>
      <c r="E64" s="11"/>
      <c r="F64" s="11" t="s">
        <v>538</v>
      </c>
      <c r="G64" s="26" t="n">
        <v>1</v>
      </c>
      <c r="H64" s="38" t="n">
        <v>46330</v>
      </c>
      <c r="I64" s="38" t="n">
        <v>46390</v>
      </c>
      <c r="J64" s="37" t="n">
        <v>22270</v>
      </c>
      <c r="K64" s="37" t="n">
        <v>4454</v>
      </c>
      <c r="L64" s="37" t="n">
        <v>26724</v>
      </c>
    </row>
    <row r="65" customFormat="false" ht="15" hidden="false" customHeight="false" outlineLevel="0" collapsed="false">
      <c r="A65" s="11" t="s">
        <v>935</v>
      </c>
      <c r="B65" s="11" t="s">
        <v>332</v>
      </c>
      <c r="C65" s="11" t="s">
        <v>331</v>
      </c>
      <c r="D65" s="11" t="s">
        <v>283</v>
      </c>
      <c r="E65" s="11"/>
      <c r="F65" s="11" t="s">
        <v>538</v>
      </c>
      <c r="G65" s="26" t="n">
        <v>1</v>
      </c>
      <c r="H65" s="38" t="n">
        <v>46331</v>
      </c>
      <c r="I65" s="38" t="n">
        <v>46376</v>
      </c>
      <c r="J65" s="37" t="n">
        <v>5360</v>
      </c>
      <c r="K65" s="37" t="n">
        <v>1072</v>
      </c>
      <c r="L65" s="37" t="n">
        <v>6432</v>
      </c>
    </row>
    <row r="66" customFormat="false" ht="15" hidden="false" customHeight="false" outlineLevel="0" collapsed="false">
      <c r="A66" s="11" t="s">
        <v>757</v>
      </c>
      <c r="B66" s="11" t="s">
        <v>281</v>
      </c>
      <c r="C66" s="11" t="s">
        <v>280</v>
      </c>
      <c r="D66" s="11" t="s">
        <v>283</v>
      </c>
      <c r="E66" s="11"/>
      <c r="F66" s="11" t="s">
        <v>538</v>
      </c>
      <c r="G66" s="26" t="n">
        <v>1</v>
      </c>
      <c r="H66" s="38" t="n">
        <v>46331</v>
      </c>
      <c r="I66" s="38" t="n">
        <v>46376</v>
      </c>
      <c r="J66" s="37" t="n">
        <v>6450</v>
      </c>
      <c r="K66" s="37" t="n">
        <v>1290</v>
      </c>
      <c r="L66" s="37" t="n">
        <v>7740</v>
      </c>
    </row>
    <row r="67" customFormat="false" ht="15" hidden="false" customHeight="false" outlineLevel="0" collapsed="false">
      <c r="A67" s="11" t="s">
        <v>815</v>
      </c>
      <c r="B67" s="11" t="s">
        <v>336</v>
      </c>
      <c r="C67" s="11" t="s">
        <v>335</v>
      </c>
      <c r="D67" s="11" t="s">
        <v>283</v>
      </c>
      <c r="E67" s="11"/>
      <c r="F67" s="11" t="s">
        <v>538</v>
      </c>
      <c r="G67" s="26" t="n">
        <v>1</v>
      </c>
      <c r="H67" s="38" t="n">
        <v>46332</v>
      </c>
      <c r="I67" s="38" t="n">
        <v>46377</v>
      </c>
      <c r="J67" s="37" t="n">
        <v>7620</v>
      </c>
      <c r="K67" s="37" t="n">
        <v>1524</v>
      </c>
      <c r="L67" s="37" t="n">
        <v>9144</v>
      </c>
    </row>
    <row r="68" customFormat="false" ht="15" hidden="false" customHeight="false" outlineLevel="0" collapsed="false">
      <c r="A68" s="11" t="s">
        <v>817</v>
      </c>
      <c r="B68" s="11" t="s">
        <v>336</v>
      </c>
      <c r="C68" s="11" t="s">
        <v>335</v>
      </c>
      <c r="D68" s="11" t="s">
        <v>283</v>
      </c>
      <c r="E68" s="11"/>
      <c r="F68" s="11" t="s">
        <v>538</v>
      </c>
      <c r="G68" s="26" t="n">
        <v>1</v>
      </c>
      <c r="H68" s="38" t="n">
        <v>46332</v>
      </c>
      <c r="I68" s="38" t="n">
        <v>46377</v>
      </c>
      <c r="J68" s="37" t="n">
        <v>7490</v>
      </c>
      <c r="K68" s="37" t="n">
        <v>1498</v>
      </c>
      <c r="L68" s="37" t="n">
        <v>8988</v>
      </c>
    </row>
    <row r="69" customFormat="false" ht="15" hidden="false" customHeight="false" outlineLevel="0" collapsed="false">
      <c r="A69" s="11" t="s">
        <v>712</v>
      </c>
      <c r="B69" s="11" t="s">
        <v>400</v>
      </c>
      <c r="C69" s="11" t="s">
        <v>399</v>
      </c>
      <c r="D69" s="11" t="s">
        <v>283</v>
      </c>
      <c r="E69" s="11"/>
      <c r="F69" s="11" t="s">
        <v>538</v>
      </c>
      <c r="G69" s="26" t="n">
        <v>1</v>
      </c>
      <c r="H69" s="38" t="n">
        <v>46332</v>
      </c>
      <c r="I69" s="38" t="n">
        <v>46362</v>
      </c>
      <c r="J69" s="37" t="n">
        <v>8170</v>
      </c>
      <c r="K69" s="37" t="n">
        <v>1634</v>
      </c>
      <c r="L69" s="37" t="n">
        <v>9804</v>
      </c>
    </row>
    <row r="70" customFormat="false" ht="15" hidden="false" customHeight="false" outlineLevel="0" collapsed="false">
      <c r="A70" s="11" t="s">
        <v>759</v>
      </c>
      <c r="B70" s="11" t="s">
        <v>281</v>
      </c>
      <c r="C70" s="11" t="s">
        <v>280</v>
      </c>
      <c r="D70" s="11" t="s">
        <v>283</v>
      </c>
      <c r="E70" s="11"/>
      <c r="F70" s="11" t="s">
        <v>538</v>
      </c>
      <c r="G70" s="26" t="n">
        <v>1</v>
      </c>
      <c r="H70" s="38" t="n">
        <v>46332</v>
      </c>
      <c r="I70" s="38" t="n">
        <v>46377</v>
      </c>
      <c r="J70" s="37" t="n">
        <v>4510</v>
      </c>
      <c r="K70" s="37" t="n">
        <v>902</v>
      </c>
      <c r="L70" s="37" t="n">
        <v>5412</v>
      </c>
    </row>
    <row r="71" customFormat="false" ht="15" hidden="false" customHeight="false" outlineLevel="0" collapsed="false">
      <c r="A71" s="11" t="s">
        <v>939</v>
      </c>
      <c r="B71" s="11" t="s">
        <v>332</v>
      </c>
      <c r="C71" s="11" t="s">
        <v>331</v>
      </c>
      <c r="D71" s="11" t="s">
        <v>283</v>
      </c>
      <c r="E71" s="11"/>
      <c r="F71" s="11" t="s">
        <v>538</v>
      </c>
      <c r="G71" s="26" t="n">
        <v>1</v>
      </c>
      <c r="H71" s="38" t="n">
        <v>46332</v>
      </c>
      <c r="I71" s="38" t="n">
        <v>46377</v>
      </c>
      <c r="J71" s="37" t="n">
        <v>10270</v>
      </c>
      <c r="K71" s="37" t="n">
        <v>2054</v>
      </c>
      <c r="L71" s="37" t="n">
        <v>12324</v>
      </c>
    </row>
    <row r="72" customFormat="false" ht="15" hidden="false" customHeight="false" outlineLevel="0" collapsed="false">
      <c r="A72" s="11" t="s">
        <v>941</v>
      </c>
      <c r="B72" s="11" t="s">
        <v>350</v>
      </c>
      <c r="C72" s="11" t="s">
        <v>349</v>
      </c>
      <c r="D72" s="11" t="s">
        <v>283</v>
      </c>
      <c r="E72" s="11"/>
      <c r="F72" s="11" t="s">
        <v>538</v>
      </c>
      <c r="G72" s="26" t="n">
        <v>1</v>
      </c>
      <c r="H72" s="38" t="n">
        <v>46332</v>
      </c>
      <c r="I72" s="38" t="n">
        <v>46392</v>
      </c>
      <c r="J72" s="37" t="n">
        <v>12890</v>
      </c>
      <c r="K72" s="37" t="n">
        <v>2578</v>
      </c>
      <c r="L72" s="37" t="n">
        <v>15468</v>
      </c>
    </row>
    <row r="73" customFormat="false" ht="15" hidden="false" customHeight="false" outlineLevel="0" collapsed="false">
      <c r="A73" s="11" t="s">
        <v>793</v>
      </c>
      <c r="B73" s="11" t="s">
        <v>281</v>
      </c>
      <c r="C73" s="11" t="s">
        <v>280</v>
      </c>
      <c r="D73" s="11" t="s">
        <v>283</v>
      </c>
      <c r="E73" s="11"/>
      <c r="F73" s="11" t="s">
        <v>538</v>
      </c>
      <c r="G73" s="26" t="n">
        <v>1</v>
      </c>
      <c r="H73" s="38" t="n">
        <v>46335</v>
      </c>
      <c r="I73" s="38" t="n">
        <v>46380</v>
      </c>
      <c r="J73" s="37" t="n">
        <v>3320</v>
      </c>
      <c r="K73" s="37" t="n">
        <v>664</v>
      </c>
      <c r="L73" s="37" t="n">
        <v>3984</v>
      </c>
    </row>
    <row r="74" customFormat="false" ht="15" hidden="false" customHeight="false" outlineLevel="0" collapsed="false">
      <c r="A74" s="11" t="s">
        <v>795</v>
      </c>
      <c r="B74" s="11" t="s">
        <v>281</v>
      </c>
      <c r="C74" s="11" t="s">
        <v>280</v>
      </c>
      <c r="D74" s="11" t="s">
        <v>283</v>
      </c>
      <c r="E74" s="11"/>
      <c r="F74" s="11" t="s">
        <v>538</v>
      </c>
      <c r="G74" s="26" t="n">
        <v>1</v>
      </c>
      <c r="H74" s="38" t="n">
        <v>46335</v>
      </c>
      <c r="I74" s="38" t="n">
        <v>46380</v>
      </c>
      <c r="J74" s="37" t="n">
        <v>4480</v>
      </c>
      <c r="K74" s="37" t="n">
        <v>896</v>
      </c>
      <c r="L74" s="37" t="n">
        <v>5376</v>
      </c>
    </row>
    <row r="75" customFormat="false" ht="15" hidden="false" customHeight="false" outlineLevel="0" collapsed="false">
      <c r="A75" s="11" t="s">
        <v>997</v>
      </c>
      <c r="B75" s="11" t="s">
        <v>328</v>
      </c>
      <c r="C75" s="11" t="s">
        <v>327</v>
      </c>
      <c r="D75" s="11" t="s">
        <v>283</v>
      </c>
      <c r="E75" s="11"/>
      <c r="F75" s="11" t="s">
        <v>538</v>
      </c>
      <c r="G75" s="26" t="n">
        <v>1</v>
      </c>
      <c r="H75" s="38" t="n">
        <v>46335</v>
      </c>
      <c r="I75" s="38" t="n">
        <v>46395</v>
      </c>
      <c r="J75" s="37" t="n">
        <v>15770</v>
      </c>
      <c r="K75" s="37" t="n">
        <v>3154</v>
      </c>
      <c r="L75" s="37" t="n">
        <v>18924</v>
      </c>
    </row>
    <row r="76" customFormat="false" ht="15" hidden="false" customHeight="false" outlineLevel="0" collapsed="false">
      <c r="A76" s="11" t="s">
        <v>771</v>
      </c>
      <c r="B76" s="11" t="s">
        <v>324</v>
      </c>
      <c r="C76" s="11" t="s">
        <v>323</v>
      </c>
      <c r="D76" s="11" t="s">
        <v>283</v>
      </c>
      <c r="E76" s="11"/>
      <c r="F76" s="11" t="s">
        <v>538</v>
      </c>
      <c r="G76" s="26" t="n">
        <v>1</v>
      </c>
      <c r="H76" s="38" t="n">
        <v>46336</v>
      </c>
      <c r="I76" s="38" t="n">
        <v>46366</v>
      </c>
      <c r="J76" s="37" t="n">
        <v>3770</v>
      </c>
      <c r="K76" s="37" t="n">
        <v>754</v>
      </c>
      <c r="L76" s="37" t="n">
        <v>4524</v>
      </c>
    </row>
    <row r="77" customFormat="false" ht="15" hidden="false" customHeight="false" outlineLevel="0" collapsed="false">
      <c r="A77" s="11" t="s">
        <v>773</v>
      </c>
      <c r="B77" s="11" t="s">
        <v>324</v>
      </c>
      <c r="C77" s="11" t="s">
        <v>323</v>
      </c>
      <c r="D77" s="11" t="s">
        <v>283</v>
      </c>
      <c r="E77" s="11"/>
      <c r="F77" s="11" t="s">
        <v>538</v>
      </c>
      <c r="G77" s="26" t="n">
        <v>1</v>
      </c>
      <c r="H77" s="38" t="n">
        <v>46336</v>
      </c>
      <c r="I77" s="38" t="n">
        <v>46366</v>
      </c>
      <c r="J77" s="37" t="n">
        <v>4530</v>
      </c>
      <c r="K77" s="37" t="n">
        <v>906</v>
      </c>
      <c r="L77" s="37" t="n">
        <v>5436</v>
      </c>
    </row>
    <row r="78" customFormat="false" ht="15" hidden="false" customHeight="false" outlineLevel="0" collapsed="false">
      <c r="A78" s="11" t="s">
        <v>843</v>
      </c>
      <c r="B78" s="11" t="s">
        <v>336</v>
      </c>
      <c r="C78" s="11" t="s">
        <v>335</v>
      </c>
      <c r="D78" s="11" t="s">
        <v>283</v>
      </c>
      <c r="E78" s="11"/>
      <c r="F78" s="11" t="s">
        <v>538</v>
      </c>
      <c r="G78" s="26" t="n">
        <v>1</v>
      </c>
      <c r="H78" s="38" t="n">
        <v>46336</v>
      </c>
      <c r="I78" s="38" t="n">
        <v>46381</v>
      </c>
      <c r="J78" s="37" t="n">
        <v>2430</v>
      </c>
      <c r="K78" s="37" t="n">
        <v>486</v>
      </c>
      <c r="L78" s="37" t="n">
        <v>2916</v>
      </c>
    </row>
    <row r="79" customFormat="false" ht="15" hidden="false" customHeight="false" outlineLevel="0" collapsed="false">
      <c r="A79" s="11" t="s">
        <v>943</v>
      </c>
      <c r="B79" s="11" t="s">
        <v>299</v>
      </c>
      <c r="C79" s="11" t="s">
        <v>298</v>
      </c>
      <c r="D79" s="11" t="s">
        <v>283</v>
      </c>
      <c r="E79" s="11"/>
      <c r="F79" s="11" t="s">
        <v>538</v>
      </c>
      <c r="G79" s="26" t="n">
        <v>1</v>
      </c>
      <c r="H79" s="38" t="n">
        <v>46336</v>
      </c>
      <c r="I79" s="38" t="n">
        <v>46396</v>
      </c>
      <c r="J79" s="37" t="n">
        <v>15950</v>
      </c>
      <c r="K79" s="37" t="n">
        <v>0</v>
      </c>
      <c r="L79" s="37" t="n">
        <v>15950</v>
      </c>
    </row>
    <row r="80" customFormat="false" ht="15" hidden="false" customHeight="false" outlineLevel="0" collapsed="false">
      <c r="A80" s="11" t="s">
        <v>714</v>
      </c>
      <c r="B80" s="11" t="s">
        <v>288</v>
      </c>
      <c r="C80" s="11" t="s">
        <v>287</v>
      </c>
      <c r="D80" s="11" t="s">
        <v>283</v>
      </c>
      <c r="E80" s="11"/>
      <c r="F80" s="11" t="s">
        <v>538</v>
      </c>
      <c r="G80" s="26" t="n">
        <v>1</v>
      </c>
      <c r="H80" s="38" t="n">
        <v>46336</v>
      </c>
      <c r="I80" s="38" t="n">
        <v>46366</v>
      </c>
      <c r="J80" s="37" t="n">
        <v>3940</v>
      </c>
      <c r="K80" s="37" t="n">
        <v>788</v>
      </c>
      <c r="L80" s="37" t="n">
        <v>4728</v>
      </c>
    </row>
    <row r="81" customFormat="false" ht="15" hidden="false" customHeight="false" outlineLevel="0" collapsed="false">
      <c r="A81" s="11" t="s">
        <v>963</v>
      </c>
      <c r="B81" s="11" t="s">
        <v>332</v>
      </c>
      <c r="C81" s="11" t="s">
        <v>331</v>
      </c>
      <c r="D81" s="11" t="s">
        <v>283</v>
      </c>
      <c r="E81" s="11"/>
      <c r="F81" s="11" t="s">
        <v>538</v>
      </c>
      <c r="G81" s="26" t="n">
        <v>1</v>
      </c>
      <c r="H81" s="38" t="n">
        <v>46338</v>
      </c>
      <c r="I81" s="38" t="n">
        <v>46383</v>
      </c>
      <c r="J81" s="37" t="n">
        <v>14990</v>
      </c>
      <c r="K81" s="37" t="n">
        <v>2998</v>
      </c>
      <c r="L81" s="37" t="n">
        <v>17988</v>
      </c>
    </row>
    <row r="82" customFormat="false" ht="15" hidden="false" customHeight="false" outlineLevel="0" collapsed="false">
      <c r="A82" s="11" t="s">
        <v>729</v>
      </c>
      <c r="B82" s="11" t="s">
        <v>288</v>
      </c>
      <c r="C82" s="11" t="s">
        <v>287</v>
      </c>
      <c r="D82" s="11" t="s">
        <v>283</v>
      </c>
      <c r="E82" s="11"/>
      <c r="F82" s="11" t="s">
        <v>538</v>
      </c>
      <c r="G82" s="26" t="n">
        <v>1</v>
      </c>
      <c r="H82" s="38" t="n">
        <v>46338</v>
      </c>
      <c r="I82" s="38" t="n">
        <v>46368</v>
      </c>
      <c r="J82" s="37" t="n">
        <v>3020</v>
      </c>
      <c r="K82" s="37" t="n">
        <v>604</v>
      </c>
      <c r="L82" s="37" t="n">
        <v>3624</v>
      </c>
    </row>
    <row r="83" customFormat="false" ht="15" hidden="false" customHeight="false" outlineLevel="0" collapsed="false">
      <c r="A83" s="11" t="s">
        <v>731</v>
      </c>
      <c r="B83" s="11" t="s">
        <v>288</v>
      </c>
      <c r="C83" s="11" t="s">
        <v>287</v>
      </c>
      <c r="D83" s="11" t="s">
        <v>283</v>
      </c>
      <c r="E83" s="11"/>
      <c r="F83" s="11" t="s">
        <v>538</v>
      </c>
      <c r="G83" s="26" t="n">
        <v>1</v>
      </c>
      <c r="H83" s="38" t="n">
        <v>46338</v>
      </c>
      <c r="I83" s="38" t="n">
        <v>46368</v>
      </c>
      <c r="J83" s="37" t="n">
        <v>7940</v>
      </c>
      <c r="K83" s="37" t="n">
        <v>1588</v>
      </c>
      <c r="L83" s="37" t="n">
        <v>9528</v>
      </c>
    </row>
    <row r="84" customFormat="false" ht="15" hidden="false" customHeight="false" outlineLevel="0" collapsed="false">
      <c r="A84" s="11" t="s">
        <v>947</v>
      </c>
      <c r="B84" s="11" t="s">
        <v>299</v>
      </c>
      <c r="C84" s="11" t="s">
        <v>298</v>
      </c>
      <c r="D84" s="11" t="s">
        <v>283</v>
      </c>
      <c r="E84" s="11"/>
      <c r="F84" s="11" t="s">
        <v>538</v>
      </c>
      <c r="G84" s="26" t="n">
        <v>1</v>
      </c>
      <c r="H84" s="38" t="n">
        <v>46339</v>
      </c>
      <c r="I84" s="38" t="n">
        <v>46399</v>
      </c>
      <c r="J84" s="37" t="n">
        <v>5130</v>
      </c>
      <c r="K84" s="37" t="n">
        <v>0</v>
      </c>
      <c r="L84" s="37" t="n">
        <v>5130</v>
      </c>
    </row>
    <row r="85" customFormat="false" ht="15" hidden="false" customHeight="false" outlineLevel="0" collapsed="false">
      <c r="A85" s="11" t="s">
        <v>803</v>
      </c>
      <c r="B85" s="11" t="s">
        <v>324</v>
      </c>
      <c r="C85" s="11" t="s">
        <v>323</v>
      </c>
      <c r="D85" s="11" t="s">
        <v>283</v>
      </c>
      <c r="E85" s="11"/>
      <c r="F85" s="11" t="s">
        <v>538</v>
      </c>
      <c r="G85" s="26" t="n">
        <v>1</v>
      </c>
      <c r="H85" s="38" t="n">
        <v>46339</v>
      </c>
      <c r="I85" s="38" t="n">
        <v>46369</v>
      </c>
      <c r="J85" s="37" t="n">
        <v>9660</v>
      </c>
      <c r="K85" s="37" t="n">
        <v>1932</v>
      </c>
      <c r="L85" s="37" t="n">
        <v>11592</v>
      </c>
    </row>
    <row r="86" customFormat="false" ht="15" hidden="false" customHeight="false" outlineLevel="0" collapsed="false">
      <c r="A86" s="11" t="s">
        <v>761</v>
      </c>
      <c r="B86" s="11" t="s">
        <v>400</v>
      </c>
      <c r="C86" s="11" t="s">
        <v>399</v>
      </c>
      <c r="D86" s="11" t="s">
        <v>283</v>
      </c>
      <c r="E86" s="11"/>
      <c r="F86" s="11" t="s">
        <v>538</v>
      </c>
      <c r="G86" s="26" t="n">
        <v>1</v>
      </c>
      <c r="H86" s="38" t="n">
        <v>46339</v>
      </c>
      <c r="I86" s="38" t="n">
        <v>46369</v>
      </c>
      <c r="J86" s="37" t="n">
        <v>11870</v>
      </c>
      <c r="K86" s="37" t="n">
        <v>2374</v>
      </c>
      <c r="L86" s="37" t="n">
        <v>14244</v>
      </c>
    </row>
    <row r="87" customFormat="false" ht="15" hidden="false" customHeight="false" outlineLevel="0" collapsed="false">
      <c r="A87" s="11" t="s">
        <v>967</v>
      </c>
      <c r="B87" s="11" t="s">
        <v>350</v>
      </c>
      <c r="C87" s="11" t="s">
        <v>349</v>
      </c>
      <c r="D87" s="11" t="s">
        <v>283</v>
      </c>
      <c r="E87" s="11"/>
      <c r="F87" s="11" t="s">
        <v>538</v>
      </c>
      <c r="G87" s="26" t="n">
        <v>1</v>
      </c>
      <c r="H87" s="38" t="n">
        <v>46339</v>
      </c>
      <c r="I87" s="38" t="n">
        <v>46399</v>
      </c>
      <c r="J87" s="37" t="n">
        <v>8430</v>
      </c>
      <c r="K87" s="37" t="n">
        <v>1686</v>
      </c>
      <c r="L87" s="37" t="n">
        <v>10116</v>
      </c>
    </row>
    <row r="88" customFormat="false" ht="15" hidden="false" customHeight="false" outlineLevel="0" collapsed="false">
      <c r="A88" s="11" t="s">
        <v>819</v>
      </c>
      <c r="B88" s="11" t="s">
        <v>281</v>
      </c>
      <c r="C88" s="11" t="s">
        <v>280</v>
      </c>
      <c r="D88" s="11" t="s">
        <v>283</v>
      </c>
      <c r="E88" s="11"/>
      <c r="F88" s="11" t="s">
        <v>538</v>
      </c>
      <c r="G88" s="26" t="n">
        <v>1</v>
      </c>
      <c r="H88" s="38" t="n">
        <v>46339</v>
      </c>
      <c r="I88" s="38" t="n">
        <v>46384</v>
      </c>
      <c r="J88" s="37" t="n">
        <v>6950</v>
      </c>
      <c r="K88" s="37" t="n">
        <v>1390</v>
      </c>
      <c r="L88" s="37" t="n">
        <v>8340</v>
      </c>
    </row>
    <row r="89" customFormat="false" ht="15" hidden="false" customHeight="false" outlineLevel="0" collapsed="false">
      <c r="A89" s="11" t="s">
        <v>991</v>
      </c>
      <c r="B89" s="11" t="s">
        <v>393</v>
      </c>
      <c r="C89" s="11" t="s">
        <v>392</v>
      </c>
      <c r="D89" s="11" t="s">
        <v>283</v>
      </c>
      <c r="E89" s="11"/>
      <c r="F89" s="11" t="s">
        <v>538</v>
      </c>
      <c r="G89" s="26" t="n">
        <v>1</v>
      </c>
      <c r="H89" s="38" t="n">
        <v>46339</v>
      </c>
      <c r="I89" s="38" t="n">
        <v>46389</v>
      </c>
      <c r="J89" s="37" t="n">
        <v>7870</v>
      </c>
      <c r="K89" s="37" t="n">
        <v>1574</v>
      </c>
      <c r="L89" s="37" t="n">
        <v>9444</v>
      </c>
    </row>
    <row r="90" customFormat="false" ht="15" hidden="false" customHeight="false" outlineLevel="0" collapsed="false">
      <c r="A90" s="11" t="s">
        <v>821</v>
      </c>
      <c r="B90" s="11" t="s">
        <v>324</v>
      </c>
      <c r="C90" s="11" t="s">
        <v>323</v>
      </c>
      <c r="D90" s="11" t="s">
        <v>283</v>
      </c>
      <c r="E90" s="11"/>
      <c r="F90" s="11" t="s">
        <v>538</v>
      </c>
      <c r="G90" s="26" t="n">
        <v>1</v>
      </c>
      <c r="H90" s="38" t="n">
        <v>46342</v>
      </c>
      <c r="I90" s="38" t="n">
        <v>46372</v>
      </c>
      <c r="J90" s="37" t="n">
        <v>8720</v>
      </c>
      <c r="K90" s="37" t="n">
        <v>1744</v>
      </c>
      <c r="L90" s="37" t="n">
        <v>10464</v>
      </c>
    </row>
    <row r="91" customFormat="false" ht="15" hidden="false" customHeight="false" outlineLevel="0" collapsed="false">
      <c r="A91" s="11" t="s">
        <v>890</v>
      </c>
      <c r="B91" s="11" t="s">
        <v>336</v>
      </c>
      <c r="C91" s="11" t="s">
        <v>335</v>
      </c>
      <c r="D91" s="11" t="s">
        <v>283</v>
      </c>
      <c r="E91" s="11"/>
      <c r="F91" s="11" t="s">
        <v>538</v>
      </c>
      <c r="G91" s="26" t="n">
        <v>1</v>
      </c>
      <c r="H91" s="38" t="n">
        <v>46342</v>
      </c>
      <c r="I91" s="38" t="n">
        <v>46387</v>
      </c>
      <c r="J91" s="37" t="n">
        <v>11030</v>
      </c>
      <c r="K91" s="37" t="n">
        <v>2206</v>
      </c>
      <c r="L91" s="37" t="n">
        <v>13236</v>
      </c>
    </row>
    <row r="92" customFormat="false" ht="15" hidden="false" customHeight="false" outlineLevel="0" collapsed="false">
      <c r="A92" s="11" t="s">
        <v>857</v>
      </c>
      <c r="B92" s="11" t="s">
        <v>281</v>
      </c>
      <c r="C92" s="11" t="s">
        <v>280</v>
      </c>
      <c r="D92" s="11" t="s">
        <v>283</v>
      </c>
      <c r="E92" s="11"/>
      <c r="F92" s="11" t="s">
        <v>538</v>
      </c>
      <c r="G92" s="26" t="n">
        <v>1</v>
      </c>
      <c r="H92" s="38" t="n">
        <v>46344</v>
      </c>
      <c r="I92" s="38" t="n">
        <v>46389</v>
      </c>
      <c r="J92" s="37" t="n">
        <v>1660</v>
      </c>
      <c r="K92" s="37" t="n">
        <v>332</v>
      </c>
      <c r="L92" s="37" t="n">
        <v>1992</v>
      </c>
    </row>
    <row r="93" customFormat="false" ht="15" hidden="false" customHeight="false" outlineLevel="0" collapsed="false">
      <c r="A93" s="11" t="s">
        <v>763</v>
      </c>
      <c r="B93" s="11" t="s">
        <v>288</v>
      </c>
      <c r="C93" s="11" t="s">
        <v>287</v>
      </c>
      <c r="D93" s="11" t="s">
        <v>283</v>
      </c>
      <c r="E93" s="11"/>
      <c r="F93" s="11" t="s">
        <v>538</v>
      </c>
      <c r="G93" s="26" t="n">
        <v>1</v>
      </c>
      <c r="H93" s="38" t="n">
        <v>46344</v>
      </c>
      <c r="I93" s="38" t="n">
        <v>46374</v>
      </c>
      <c r="J93" s="37" t="n">
        <v>4190</v>
      </c>
      <c r="K93" s="37" t="n">
        <v>838</v>
      </c>
      <c r="L93" s="37" t="n">
        <v>5028</v>
      </c>
    </row>
    <row r="94" customFormat="false" ht="15" hidden="false" customHeight="false" outlineLevel="0" collapsed="false">
      <c r="A94" s="11" t="s">
        <v>765</v>
      </c>
      <c r="B94" s="11" t="s">
        <v>288</v>
      </c>
      <c r="C94" s="11" t="s">
        <v>287</v>
      </c>
      <c r="D94" s="11" t="s">
        <v>283</v>
      </c>
      <c r="E94" s="11"/>
      <c r="F94" s="11" t="s">
        <v>538</v>
      </c>
      <c r="G94" s="26" t="n">
        <v>1</v>
      </c>
      <c r="H94" s="38" t="n">
        <v>46344</v>
      </c>
      <c r="I94" s="38" t="n">
        <v>46374</v>
      </c>
      <c r="J94" s="37" t="n">
        <v>1460</v>
      </c>
      <c r="K94" s="37" t="n">
        <v>292</v>
      </c>
      <c r="L94" s="37" t="n">
        <v>1752</v>
      </c>
    </row>
    <row r="95" customFormat="false" ht="15" hidden="false" customHeight="false" outlineLevel="0" collapsed="false">
      <c r="A95" s="11" t="s">
        <v>993</v>
      </c>
      <c r="B95" s="11" t="s">
        <v>350</v>
      </c>
      <c r="C95" s="11" t="s">
        <v>349</v>
      </c>
      <c r="D95" s="11" t="s">
        <v>283</v>
      </c>
      <c r="E95" s="11"/>
      <c r="F95" s="11" t="s">
        <v>538</v>
      </c>
      <c r="G95" s="26" t="n">
        <v>1</v>
      </c>
      <c r="H95" s="38" t="n">
        <v>46344</v>
      </c>
      <c r="I95" s="38" t="n">
        <v>46404</v>
      </c>
      <c r="J95" s="37" t="n">
        <v>15900</v>
      </c>
      <c r="K95" s="37" t="n">
        <v>3180</v>
      </c>
      <c r="L95" s="37" t="n">
        <v>19080</v>
      </c>
    </row>
    <row r="96" customFormat="false" ht="15" hidden="false" customHeight="false" outlineLevel="0" collapsed="false">
      <c r="A96" s="11" t="s">
        <v>1035</v>
      </c>
      <c r="B96" s="11" t="s">
        <v>328</v>
      </c>
      <c r="C96" s="11" t="s">
        <v>327</v>
      </c>
      <c r="D96" s="11" t="s">
        <v>283</v>
      </c>
      <c r="E96" s="11"/>
      <c r="F96" s="11" t="s">
        <v>538</v>
      </c>
      <c r="G96" s="26" t="n">
        <v>1</v>
      </c>
      <c r="H96" s="38" t="n">
        <v>46344</v>
      </c>
      <c r="I96" s="38" t="n">
        <v>46404</v>
      </c>
      <c r="J96" s="37" t="n">
        <v>14620</v>
      </c>
      <c r="K96" s="37" t="n">
        <v>2924</v>
      </c>
      <c r="L96" s="37" t="n">
        <v>17544</v>
      </c>
    </row>
    <row r="97" customFormat="false" ht="15" hidden="false" customHeight="false" outlineLevel="0" collapsed="false">
      <c r="A97" s="11" t="s">
        <v>1037</v>
      </c>
      <c r="B97" s="11" t="s">
        <v>328</v>
      </c>
      <c r="C97" s="11" t="s">
        <v>327</v>
      </c>
      <c r="D97" s="11" t="s">
        <v>283</v>
      </c>
      <c r="E97" s="11"/>
      <c r="F97" s="11" t="s">
        <v>538</v>
      </c>
      <c r="G97" s="26" t="n">
        <v>1</v>
      </c>
      <c r="H97" s="38" t="n">
        <v>46345</v>
      </c>
      <c r="I97" s="38" t="n">
        <v>46405</v>
      </c>
      <c r="J97" s="37" t="n">
        <v>6360</v>
      </c>
      <c r="K97" s="37" t="n">
        <v>1272</v>
      </c>
      <c r="L97" s="37" t="n">
        <v>7632</v>
      </c>
    </row>
    <row r="98" customFormat="false" ht="15" hidden="false" customHeight="false" outlineLevel="0" collapsed="false">
      <c r="A98" s="11" t="s">
        <v>1015</v>
      </c>
      <c r="B98" s="11" t="s">
        <v>393</v>
      </c>
      <c r="C98" s="11" t="s">
        <v>392</v>
      </c>
      <c r="D98" s="11" t="s">
        <v>283</v>
      </c>
      <c r="E98" s="11"/>
      <c r="F98" s="11" t="s">
        <v>538</v>
      </c>
      <c r="G98" s="26" t="n">
        <v>1</v>
      </c>
      <c r="H98" s="38" t="n">
        <v>46346</v>
      </c>
      <c r="I98" s="38" t="n">
        <v>46396</v>
      </c>
      <c r="J98" s="37" t="n">
        <v>7280</v>
      </c>
      <c r="K98" s="37" t="n">
        <v>1456</v>
      </c>
      <c r="L98" s="37" t="n">
        <v>8736</v>
      </c>
    </row>
    <row r="99" customFormat="false" ht="15" hidden="false" customHeight="false" outlineLevel="0" collapsed="false">
      <c r="A99" s="11" t="s">
        <v>911</v>
      </c>
      <c r="B99" s="11" t="s">
        <v>336</v>
      </c>
      <c r="C99" s="11" t="s">
        <v>335</v>
      </c>
      <c r="D99" s="11" t="s">
        <v>283</v>
      </c>
      <c r="E99" s="11"/>
      <c r="F99" s="11" t="s">
        <v>538</v>
      </c>
      <c r="G99" s="26" t="n">
        <v>1</v>
      </c>
      <c r="H99" s="38" t="n">
        <v>46346</v>
      </c>
      <c r="I99" s="38" t="n">
        <v>46391</v>
      </c>
      <c r="J99" s="37" t="n">
        <v>5990</v>
      </c>
      <c r="K99" s="37" t="n">
        <v>1198</v>
      </c>
      <c r="L99" s="37" t="n">
        <v>7188</v>
      </c>
    </row>
    <row r="100" customFormat="false" ht="15" hidden="false" customHeight="false" outlineLevel="0" collapsed="false">
      <c r="A100" s="11" t="s">
        <v>913</v>
      </c>
      <c r="B100" s="11" t="s">
        <v>336</v>
      </c>
      <c r="C100" s="11" t="s">
        <v>335</v>
      </c>
      <c r="D100" s="11" t="s">
        <v>283</v>
      </c>
      <c r="E100" s="11"/>
      <c r="F100" s="11" t="s">
        <v>538</v>
      </c>
      <c r="G100" s="26" t="n">
        <v>1</v>
      </c>
      <c r="H100" s="38" t="n">
        <v>46346</v>
      </c>
      <c r="I100" s="38" t="n">
        <v>46391</v>
      </c>
      <c r="J100" s="37" t="n">
        <v>6520</v>
      </c>
      <c r="K100" s="37" t="n">
        <v>1304</v>
      </c>
      <c r="L100" s="37" t="n">
        <v>7824</v>
      </c>
    </row>
    <row r="101" customFormat="false" ht="15" hidden="false" customHeight="false" outlineLevel="0" collapsed="false">
      <c r="A101" s="11" t="s">
        <v>915</v>
      </c>
      <c r="B101" s="11" t="s">
        <v>336</v>
      </c>
      <c r="C101" s="11" t="s">
        <v>335</v>
      </c>
      <c r="D101" s="11" t="s">
        <v>283</v>
      </c>
      <c r="E101" s="11"/>
      <c r="F101" s="11" t="s">
        <v>538</v>
      </c>
      <c r="G101" s="26" t="n">
        <v>1</v>
      </c>
      <c r="H101" s="38" t="n">
        <v>46346</v>
      </c>
      <c r="I101" s="38" t="n">
        <v>46391</v>
      </c>
      <c r="J101" s="37" t="n">
        <v>2510</v>
      </c>
      <c r="K101" s="37" t="n">
        <v>502</v>
      </c>
      <c r="L101" s="37" t="n">
        <v>3012</v>
      </c>
    </row>
    <row r="102" customFormat="false" ht="15" hidden="false" customHeight="false" outlineLevel="0" collapsed="false">
      <c r="A102" s="11" t="s">
        <v>859</v>
      </c>
      <c r="B102" s="11" t="s">
        <v>281</v>
      </c>
      <c r="C102" s="11" t="s">
        <v>280</v>
      </c>
      <c r="D102" s="11" t="s">
        <v>283</v>
      </c>
      <c r="E102" s="11"/>
      <c r="F102" s="11" t="s">
        <v>538</v>
      </c>
      <c r="G102" s="26" t="n">
        <v>1</v>
      </c>
      <c r="H102" s="38" t="n">
        <v>46346</v>
      </c>
      <c r="I102" s="38" t="n">
        <v>46391</v>
      </c>
      <c r="J102" s="37" t="n">
        <v>5260</v>
      </c>
      <c r="K102" s="37" t="n">
        <v>1052</v>
      </c>
      <c r="L102" s="37" t="n">
        <v>6312</v>
      </c>
    </row>
    <row r="103" customFormat="false" ht="15" hidden="false" customHeight="false" outlineLevel="0" collapsed="false">
      <c r="A103" s="11" t="s">
        <v>777</v>
      </c>
      <c r="B103" s="11" t="s">
        <v>288</v>
      </c>
      <c r="C103" s="11" t="s">
        <v>287</v>
      </c>
      <c r="D103" s="11" t="s">
        <v>283</v>
      </c>
      <c r="E103" s="11"/>
      <c r="F103" s="11" t="s">
        <v>538</v>
      </c>
      <c r="G103" s="26" t="n">
        <v>1</v>
      </c>
      <c r="H103" s="38" t="n">
        <v>46346</v>
      </c>
      <c r="I103" s="38" t="n">
        <v>46376</v>
      </c>
      <c r="J103" s="37" t="n">
        <v>3900</v>
      </c>
      <c r="K103" s="37" t="n">
        <v>780</v>
      </c>
      <c r="L103" s="37" t="n">
        <v>4680</v>
      </c>
    </row>
    <row r="104" customFormat="false" ht="15" hidden="false" customHeight="false" outlineLevel="0" collapsed="false">
      <c r="A104" s="11" t="s">
        <v>861</v>
      </c>
      <c r="B104" s="11" t="s">
        <v>281</v>
      </c>
      <c r="C104" s="11" t="s">
        <v>280</v>
      </c>
      <c r="D104" s="11" t="s">
        <v>283</v>
      </c>
      <c r="E104" s="11"/>
      <c r="F104" s="11" t="s">
        <v>538</v>
      </c>
      <c r="G104" s="26" t="n">
        <v>1</v>
      </c>
      <c r="H104" s="38" t="n">
        <v>46346</v>
      </c>
      <c r="I104" s="38" t="n">
        <v>46391</v>
      </c>
      <c r="J104" s="37" t="n">
        <v>8070</v>
      </c>
      <c r="K104" s="37" t="n">
        <v>1614</v>
      </c>
      <c r="L104" s="37" t="n">
        <v>9684</v>
      </c>
    </row>
    <row r="105" customFormat="false" ht="15" hidden="false" customHeight="false" outlineLevel="0" collapsed="false">
      <c r="A105" s="11" t="s">
        <v>995</v>
      </c>
      <c r="B105" s="11" t="s">
        <v>299</v>
      </c>
      <c r="C105" s="11" t="s">
        <v>298</v>
      </c>
      <c r="D105" s="11" t="s">
        <v>283</v>
      </c>
      <c r="E105" s="11"/>
      <c r="F105" s="11" t="s">
        <v>538</v>
      </c>
      <c r="G105" s="26" t="n">
        <v>1</v>
      </c>
      <c r="H105" s="38" t="n">
        <v>46349</v>
      </c>
      <c r="I105" s="38" t="n">
        <v>46409</v>
      </c>
      <c r="J105" s="37" t="n">
        <v>5890</v>
      </c>
      <c r="K105" s="37" t="n">
        <v>0</v>
      </c>
      <c r="L105" s="37" t="n">
        <v>5890</v>
      </c>
    </row>
    <row r="106" customFormat="false" ht="15" hidden="false" customHeight="false" outlineLevel="0" collapsed="false">
      <c r="A106" s="11" t="s">
        <v>1053</v>
      </c>
      <c r="B106" s="11" t="s">
        <v>328</v>
      </c>
      <c r="C106" s="11" t="s">
        <v>327</v>
      </c>
      <c r="D106" s="11" t="s">
        <v>283</v>
      </c>
      <c r="E106" s="11"/>
      <c r="F106" s="11" t="s">
        <v>538</v>
      </c>
      <c r="G106" s="26" t="n">
        <v>1</v>
      </c>
      <c r="H106" s="38" t="n">
        <v>46349</v>
      </c>
      <c r="I106" s="38" t="n">
        <v>46409</v>
      </c>
      <c r="J106" s="37" t="n">
        <v>22440</v>
      </c>
      <c r="K106" s="37" t="n">
        <v>4488</v>
      </c>
      <c r="L106" s="37" t="n">
        <v>26928</v>
      </c>
    </row>
    <row r="107" customFormat="false" ht="15" hidden="false" customHeight="false" outlineLevel="0" collapsed="false">
      <c r="A107" s="11" t="s">
        <v>1001</v>
      </c>
      <c r="B107" s="11" t="s">
        <v>350</v>
      </c>
      <c r="C107" s="11" t="s">
        <v>349</v>
      </c>
      <c r="D107" s="11" t="s">
        <v>283</v>
      </c>
      <c r="E107" s="11"/>
      <c r="F107" s="11" t="s">
        <v>538</v>
      </c>
      <c r="G107" s="26" t="n">
        <v>1</v>
      </c>
      <c r="H107" s="38" t="n">
        <v>46349</v>
      </c>
      <c r="I107" s="38" t="n">
        <v>46409</v>
      </c>
      <c r="J107" s="37" t="n">
        <v>6280</v>
      </c>
      <c r="K107" s="37" t="n">
        <v>1256</v>
      </c>
      <c r="L107" s="37" t="n">
        <v>7536</v>
      </c>
    </row>
    <row r="108" customFormat="false" ht="15" hidden="false" customHeight="false" outlineLevel="0" collapsed="false">
      <c r="A108" s="11" t="s">
        <v>892</v>
      </c>
      <c r="B108" s="11" t="s">
        <v>281</v>
      </c>
      <c r="C108" s="11" t="s">
        <v>280</v>
      </c>
      <c r="D108" s="11" t="s">
        <v>283</v>
      </c>
      <c r="E108" s="11"/>
      <c r="F108" s="11" t="s">
        <v>538</v>
      </c>
      <c r="G108" s="26" t="n">
        <v>1</v>
      </c>
      <c r="H108" s="38" t="n">
        <v>46349</v>
      </c>
      <c r="I108" s="38" t="n">
        <v>46394</v>
      </c>
      <c r="J108" s="37" t="n">
        <v>4160</v>
      </c>
      <c r="K108" s="37" t="n">
        <v>832</v>
      </c>
      <c r="L108" s="37" t="n">
        <v>4992</v>
      </c>
    </row>
    <row r="109" customFormat="false" ht="15" hidden="false" customHeight="false" outlineLevel="0" collapsed="false">
      <c r="A109" s="11" t="s">
        <v>1017</v>
      </c>
      <c r="B109" s="11" t="s">
        <v>350</v>
      </c>
      <c r="C109" s="11" t="s">
        <v>349</v>
      </c>
      <c r="D109" s="11" t="s">
        <v>283</v>
      </c>
      <c r="E109" s="11"/>
      <c r="F109" s="11" t="s">
        <v>864</v>
      </c>
      <c r="G109" s="26" t="n">
        <v>0.8</v>
      </c>
      <c r="H109" s="38" t="n">
        <v>46350</v>
      </c>
      <c r="I109" s="38" t="n">
        <v>46410</v>
      </c>
      <c r="J109" s="37" t="n">
        <v>16170</v>
      </c>
      <c r="K109" s="37" t="n">
        <v>3234</v>
      </c>
      <c r="L109" s="37" t="n">
        <v>19404</v>
      </c>
    </row>
    <row r="110" customFormat="false" ht="15" hidden="false" customHeight="false" outlineLevel="0" collapsed="false">
      <c r="A110" s="11" t="s">
        <v>863</v>
      </c>
      <c r="B110" s="11" t="s">
        <v>400</v>
      </c>
      <c r="C110" s="11" t="s">
        <v>399</v>
      </c>
      <c r="D110" s="11" t="s">
        <v>283</v>
      </c>
      <c r="E110" s="11"/>
      <c r="F110" s="11" t="s">
        <v>864</v>
      </c>
      <c r="G110" s="26" t="n">
        <v>0.8</v>
      </c>
      <c r="H110" s="38" t="n">
        <v>46352</v>
      </c>
      <c r="I110" s="38" t="n">
        <v>46382</v>
      </c>
      <c r="J110" s="37" t="n">
        <v>18200</v>
      </c>
      <c r="K110" s="37" t="n">
        <v>3640</v>
      </c>
      <c r="L110" s="37" t="n">
        <v>21840</v>
      </c>
    </row>
    <row r="111" customFormat="false" ht="15" hidden="false" customHeight="false" outlineLevel="0" collapsed="false">
      <c r="A111" s="11" t="s">
        <v>894</v>
      </c>
      <c r="B111" s="11" t="s">
        <v>324</v>
      </c>
      <c r="C111" s="11" t="s">
        <v>323</v>
      </c>
      <c r="D111" s="11" t="s">
        <v>283</v>
      </c>
      <c r="E111" s="11"/>
      <c r="F111" s="11" t="s">
        <v>864</v>
      </c>
      <c r="G111" s="26" t="n">
        <v>0.8</v>
      </c>
      <c r="H111" s="38" t="n">
        <v>46352</v>
      </c>
      <c r="I111" s="38" t="n">
        <v>46382</v>
      </c>
      <c r="J111" s="37" t="n">
        <v>3910</v>
      </c>
      <c r="K111" s="37" t="n">
        <v>782</v>
      </c>
      <c r="L111" s="37" t="n">
        <v>4692</v>
      </c>
    </row>
    <row r="112" customFormat="false" ht="15" hidden="false" customHeight="false" outlineLevel="0" collapsed="false">
      <c r="A112" s="11" t="s">
        <v>1019</v>
      </c>
      <c r="B112" s="11" t="s">
        <v>332</v>
      </c>
      <c r="C112" s="11" t="s">
        <v>331</v>
      </c>
      <c r="D112" s="11" t="s">
        <v>283</v>
      </c>
      <c r="E112" s="11"/>
      <c r="F112" s="11" t="s">
        <v>864</v>
      </c>
      <c r="G112" s="26" t="n">
        <v>0.8</v>
      </c>
      <c r="H112" s="38" t="n">
        <v>46352</v>
      </c>
      <c r="I112" s="38" t="n">
        <v>46397</v>
      </c>
      <c r="J112" s="37" t="n">
        <v>6510</v>
      </c>
      <c r="K112" s="37" t="n">
        <v>1302</v>
      </c>
      <c r="L112" s="37" t="n">
        <v>7812</v>
      </c>
    </row>
    <row r="113" customFormat="false" ht="15" hidden="false" customHeight="false" outlineLevel="0" collapsed="false">
      <c r="A113" s="11" t="s">
        <v>1061</v>
      </c>
      <c r="B113" s="11" t="s">
        <v>328</v>
      </c>
      <c r="C113" s="11" t="s">
        <v>327</v>
      </c>
      <c r="D113" s="11" t="s">
        <v>283</v>
      </c>
      <c r="E113" s="11"/>
      <c r="F113" s="11" t="s">
        <v>864</v>
      </c>
      <c r="G113" s="26" t="n">
        <v>0.8</v>
      </c>
      <c r="H113" s="38" t="n">
        <v>46353</v>
      </c>
      <c r="I113" s="38" t="n">
        <v>46413</v>
      </c>
      <c r="J113" s="37" t="n">
        <v>10910</v>
      </c>
      <c r="K113" s="37" t="n">
        <v>2182</v>
      </c>
      <c r="L113" s="37" t="n">
        <v>13092</v>
      </c>
    </row>
    <row r="114" customFormat="false" ht="15" hidden="false" customHeight="false" outlineLevel="0" collapsed="false">
      <c r="A114" s="11" t="s">
        <v>1063</v>
      </c>
      <c r="B114" s="11" t="s">
        <v>328</v>
      </c>
      <c r="C114" s="11" t="s">
        <v>327</v>
      </c>
      <c r="D114" s="11" t="s">
        <v>283</v>
      </c>
      <c r="E114" s="11"/>
      <c r="F114" s="11" t="s">
        <v>864</v>
      </c>
      <c r="G114" s="26" t="n">
        <v>0.8</v>
      </c>
      <c r="H114" s="38" t="n">
        <v>46353</v>
      </c>
      <c r="I114" s="38" t="n">
        <v>46413</v>
      </c>
      <c r="J114" s="37" t="n">
        <v>18340</v>
      </c>
      <c r="K114" s="37" t="n">
        <v>3668</v>
      </c>
      <c r="L114" s="37" t="n">
        <v>22008</v>
      </c>
    </row>
    <row r="115" customFormat="false" ht="15" hidden="false" customHeight="false" outlineLevel="0" collapsed="false">
      <c r="A115" s="11" t="s">
        <v>917</v>
      </c>
      <c r="B115" s="11" t="s">
        <v>281</v>
      </c>
      <c r="C115" s="11" t="s">
        <v>280</v>
      </c>
      <c r="D115" s="11" t="s">
        <v>283</v>
      </c>
      <c r="E115" s="11"/>
      <c r="F115" s="11" t="s">
        <v>864</v>
      </c>
      <c r="G115" s="26" t="n">
        <v>0.8</v>
      </c>
      <c r="H115" s="38" t="n">
        <v>46353</v>
      </c>
      <c r="I115" s="38" t="n">
        <v>46398</v>
      </c>
      <c r="J115" s="37" t="n">
        <v>8080</v>
      </c>
      <c r="K115" s="37" t="n">
        <v>1616</v>
      </c>
      <c r="L115" s="37" t="n">
        <v>9696</v>
      </c>
    </row>
    <row r="116" customFormat="false" ht="15" hidden="false" customHeight="false" outlineLevel="0" collapsed="false">
      <c r="A116" s="11" t="s">
        <v>919</v>
      </c>
      <c r="B116" s="11" t="s">
        <v>281</v>
      </c>
      <c r="C116" s="11" t="s">
        <v>280</v>
      </c>
      <c r="D116" s="11" t="s">
        <v>283</v>
      </c>
      <c r="E116" s="11"/>
      <c r="F116" s="11" t="s">
        <v>864</v>
      </c>
      <c r="G116" s="26" t="n">
        <v>0.8</v>
      </c>
      <c r="H116" s="38" t="n">
        <v>46353</v>
      </c>
      <c r="I116" s="38" t="n">
        <v>46398</v>
      </c>
      <c r="J116" s="37" t="n">
        <v>13000</v>
      </c>
      <c r="K116" s="37" t="n">
        <v>2600</v>
      </c>
      <c r="L116" s="37" t="n">
        <v>15600</v>
      </c>
    </row>
    <row r="117" customFormat="false" ht="15" hidden="false" customHeight="false" outlineLevel="0" collapsed="false">
      <c r="A117" s="11" t="s">
        <v>1003</v>
      </c>
      <c r="B117" s="11" t="s">
        <v>299</v>
      </c>
      <c r="C117" s="11" t="s">
        <v>298</v>
      </c>
      <c r="D117" s="11" t="s">
        <v>283</v>
      </c>
      <c r="E117" s="11"/>
      <c r="F117" s="11" t="s">
        <v>864</v>
      </c>
      <c r="G117" s="26" t="n">
        <v>0.8</v>
      </c>
      <c r="H117" s="38" t="n">
        <v>46353</v>
      </c>
      <c r="I117" s="38" t="n">
        <v>46413</v>
      </c>
      <c r="J117" s="37" t="n">
        <v>2920</v>
      </c>
      <c r="K117" s="37" t="n">
        <v>0</v>
      </c>
      <c r="L117" s="37" t="n">
        <v>2920</v>
      </c>
    </row>
    <row r="118" customFormat="false" ht="15" hidden="false" customHeight="false" outlineLevel="0" collapsed="false">
      <c r="A118" s="11" t="s">
        <v>949</v>
      </c>
      <c r="B118" s="11" t="s">
        <v>336</v>
      </c>
      <c r="C118" s="11" t="s">
        <v>335</v>
      </c>
      <c r="D118" s="11" t="s">
        <v>283</v>
      </c>
      <c r="E118" s="11"/>
      <c r="F118" s="11" t="s">
        <v>864</v>
      </c>
      <c r="G118" s="26" t="n">
        <v>0.8</v>
      </c>
      <c r="H118" s="38" t="n">
        <v>46353</v>
      </c>
      <c r="I118" s="38" t="n">
        <v>46398</v>
      </c>
      <c r="J118" s="37" t="n">
        <v>3260</v>
      </c>
      <c r="K118" s="37" t="n">
        <v>652</v>
      </c>
      <c r="L118" s="37" t="n">
        <v>3912</v>
      </c>
    </row>
    <row r="119" customFormat="false" ht="15" hidden="false" customHeight="false" outlineLevel="0" collapsed="false">
      <c r="A119" s="11" t="s">
        <v>1025</v>
      </c>
      <c r="B119" s="11" t="s">
        <v>332</v>
      </c>
      <c r="C119" s="11" t="s">
        <v>331</v>
      </c>
      <c r="D119" s="11" t="s">
        <v>283</v>
      </c>
      <c r="E119" s="11"/>
      <c r="F119" s="11" t="s">
        <v>864</v>
      </c>
      <c r="G119" s="26" t="n">
        <v>0.8</v>
      </c>
      <c r="H119" s="38" t="n">
        <v>46353</v>
      </c>
      <c r="I119" s="38" t="n">
        <v>46398</v>
      </c>
      <c r="J119" s="37" t="n">
        <v>11400</v>
      </c>
      <c r="K119" s="37" t="n">
        <v>2280</v>
      </c>
      <c r="L119" s="37" t="n">
        <v>13680</v>
      </c>
    </row>
    <row r="120" customFormat="false" ht="15" hidden="false" customHeight="false" outlineLevel="0" collapsed="false">
      <c r="A120" s="11" t="s">
        <v>1047</v>
      </c>
      <c r="B120" s="11" t="s">
        <v>393</v>
      </c>
      <c r="C120" s="11" t="s">
        <v>392</v>
      </c>
      <c r="D120" s="11" t="s">
        <v>283</v>
      </c>
      <c r="E120" s="11"/>
      <c r="F120" s="11" t="s">
        <v>864</v>
      </c>
      <c r="G120" s="26" t="n">
        <v>0.8</v>
      </c>
      <c r="H120" s="38" t="n">
        <v>46353</v>
      </c>
      <c r="I120" s="38" t="n">
        <v>46403</v>
      </c>
      <c r="J120" s="37" t="n">
        <v>15440</v>
      </c>
      <c r="K120" s="37" t="n">
        <v>3088</v>
      </c>
      <c r="L120" s="37" t="n">
        <v>18528</v>
      </c>
    </row>
    <row r="121" customFormat="false" ht="15" hidden="false" customHeight="false" outlineLevel="0" collapsed="false">
      <c r="A121" s="11" t="s">
        <v>921</v>
      </c>
      <c r="B121" s="11" t="s">
        <v>281</v>
      </c>
      <c r="C121" s="11" t="s">
        <v>280</v>
      </c>
      <c r="D121" s="11" t="s">
        <v>283</v>
      </c>
      <c r="E121" s="11"/>
      <c r="F121" s="11" t="s">
        <v>864</v>
      </c>
      <c r="G121" s="26" t="n">
        <v>0.8</v>
      </c>
      <c r="H121" s="38" t="n">
        <v>46353</v>
      </c>
      <c r="I121" s="38" t="n">
        <v>46398</v>
      </c>
      <c r="J121" s="37" t="n">
        <v>9500</v>
      </c>
      <c r="K121" s="37" t="n">
        <v>1900</v>
      </c>
      <c r="L121" s="37" t="n">
        <v>11400</v>
      </c>
    </row>
    <row r="122" customFormat="false" ht="15" hidden="false" customHeight="false" outlineLevel="0" collapsed="false">
      <c r="A122" s="11" t="s">
        <v>951</v>
      </c>
      <c r="B122" s="11" t="s">
        <v>336</v>
      </c>
      <c r="C122" s="11" t="s">
        <v>335</v>
      </c>
      <c r="D122" s="11" t="s">
        <v>283</v>
      </c>
      <c r="E122" s="11"/>
      <c r="F122" s="11" t="s">
        <v>864</v>
      </c>
      <c r="G122" s="26" t="n">
        <v>0.8</v>
      </c>
      <c r="H122" s="38" t="n">
        <v>46353</v>
      </c>
      <c r="I122" s="38" t="n">
        <v>46398</v>
      </c>
      <c r="J122" s="37" t="n">
        <v>6610</v>
      </c>
      <c r="K122" s="37" t="n">
        <v>1322</v>
      </c>
      <c r="L122" s="37" t="n">
        <v>7932</v>
      </c>
    </row>
    <row r="123" customFormat="false" ht="15" hidden="false" customHeight="false" outlineLevel="0" collapsed="false">
      <c r="A123" s="11" t="s">
        <v>953</v>
      </c>
      <c r="B123" s="11" t="s">
        <v>336</v>
      </c>
      <c r="C123" s="11" t="s">
        <v>335</v>
      </c>
      <c r="D123" s="11" t="s">
        <v>283</v>
      </c>
      <c r="E123" s="11"/>
      <c r="F123" s="11" t="s">
        <v>864</v>
      </c>
      <c r="G123" s="26" t="n">
        <v>0.8</v>
      </c>
      <c r="H123" s="38" t="n">
        <v>46353</v>
      </c>
      <c r="I123" s="38" t="n">
        <v>46398</v>
      </c>
      <c r="J123" s="37" t="n">
        <v>6540</v>
      </c>
      <c r="K123" s="37" t="n">
        <v>1308</v>
      </c>
      <c r="L123" s="37" t="n">
        <v>7848</v>
      </c>
    </row>
    <row r="124" customFormat="false" ht="15" hidden="false" customHeight="false" outlineLevel="0" collapsed="false">
      <c r="A124" s="11" t="s">
        <v>866</v>
      </c>
      <c r="B124" s="11" t="s">
        <v>288</v>
      </c>
      <c r="C124" s="11" t="s">
        <v>287</v>
      </c>
      <c r="D124" s="11" t="s">
        <v>283</v>
      </c>
      <c r="E124" s="11"/>
      <c r="F124" s="11" t="s">
        <v>864</v>
      </c>
      <c r="G124" s="26" t="n">
        <v>0.8</v>
      </c>
      <c r="H124" s="38" t="n">
        <v>46356</v>
      </c>
      <c r="I124" s="38" t="n">
        <v>46386</v>
      </c>
      <c r="J124" s="37" t="n">
        <v>6130</v>
      </c>
      <c r="K124" s="37" t="n">
        <v>1226</v>
      </c>
      <c r="L124" s="37" t="n">
        <v>7356</v>
      </c>
    </row>
    <row r="125" customFormat="false" ht="15" hidden="false" customHeight="false" outlineLevel="0" collapsed="false">
      <c r="A125" s="11" t="s">
        <v>929</v>
      </c>
      <c r="B125" s="11" t="s">
        <v>324</v>
      </c>
      <c r="C125" s="11" t="s">
        <v>323</v>
      </c>
      <c r="D125" s="11" t="s">
        <v>283</v>
      </c>
      <c r="E125" s="11"/>
      <c r="F125" s="11" t="s">
        <v>864</v>
      </c>
      <c r="G125" s="26" t="n">
        <v>0.8</v>
      </c>
      <c r="H125" s="38" t="n">
        <v>46357</v>
      </c>
      <c r="I125" s="38" t="n">
        <v>46387</v>
      </c>
      <c r="J125" s="37" t="n">
        <v>5920</v>
      </c>
      <c r="K125" s="37" t="n">
        <v>1184</v>
      </c>
      <c r="L125" s="37" t="n">
        <v>7104</v>
      </c>
    </row>
    <row r="126" customFormat="false" ht="15" hidden="false" customHeight="false" outlineLevel="0" collapsed="false">
      <c r="A126" s="11" t="s">
        <v>969</v>
      </c>
      <c r="B126" s="11" t="s">
        <v>336</v>
      </c>
      <c r="C126" s="11" t="s">
        <v>335</v>
      </c>
      <c r="D126" s="11" t="s">
        <v>283</v>
      </c>
      <c r="E126" s="11"/>
      <c r="F126" s="11" t="s">
        <v>864</v>
      </c>
      <c r="G126" s="26" t="n">
        <v>0.8</v>
      </c>
      <c r="H126" s="38" t="n">
        <v>46357</v>
      </c>
      <c r="I126" s="38" t="n">
        <v>46402</v>
      </c>
      <c r="J126" s="37" t="n">
        <v>2870</v>
      </c>
      <c r="K126" s="37" t="n">
        <v>574</v>
      </c>
      <c r="L126" s="37" t="n">
        <v>3444</v>
      </c>
    </row>
    <row r="127" customFormat="false" ht="15" hidden="false" customHeight="false" outlineLevel="0" collapsed="false">
      <c r="A127" s="11" t="s">
        <v>1073</v>
      </c>
      <c r="B127" s="11" t="s">
        <v>328</v>
      </c>
      <c r="C127" s="11" t="s">
        <v>327</v>
      </c>
      <c r="D127" s="11" t="s">
        <v>283</v>
      </c>
      <c r="E127" s="11"/>
      <c r="F127" s="11" t="s">
        <v>864</v>
      </c>
      <c r="G127" s="26" t="n">
        <v>0.8</v>
      </c>
      <c r="H127" s="38" t="n">
        <v>46358</v>
      </c>
      <c r="I127" s="38" t="n">
        <v>46418</v>
      </c>
      <c r="J127" s="37" t="n">
        <v>10260</v>
      </c>
      <c r="K127" s="37" t="n">
        <v>2052</v>
      </c>
      <c r="L127" s="37" t="n">
        <v>12312</v>
      </c>
    </row>
    <row r="128" customFormat="false" ht="15" hidden="false" customHeight="false" outlineLevel="0" collapsed="false">
      <c r="A128" s="11" t="s">
        <v>868</v>
      </c>
      <c r="B128" s="11" t="s">
        <v>288</v>
      </c>
      <c r="C128" s="11" t="s">
        <v>287</v>
      </c>
      <c r="D128" s="11" t="s">
        <v>283</v>
      </c>
      <c r="E128" s="11"/>
      <c r="F128" s="11" t="s">
        <v>864</v>
      </c>
      <c r="G128" s="26" t="n">
        <v>0.8</v>
      </c>
      <c r="H128" s="38" t="n">
        <v>46358</v>
      </c>
      <c r="I128" s="38" t="n">
        <v>46388</v>
      </c>
      <c r="J128" s="37" t="n">
        <v>1830</v>
      </c>
      <c r="K128" s="37" t="n">
        <v>366</v>
      </c>
      <c r="L128" s="37" t="n">
        <v>2196</v>
      </c>
    </row>
    <row r="129" customFormat="false" ht="15" hidden="false" customHeight="false" outlineLevel="0" collapsed="false">
      <c r="A129" s="11" t="s">
        <v>977</v>
      </c>
      <c r="B129" s="11" t="s">
        <v>336</v>
      </c>
      <c r="C129" s="11" t="s">
        <v>335</v>
      </c>
      <c r="D129" s="11" t="s">
        <v>283</v>
      </c>
      <c r="E129" s="11"/>
      <c r="F129" s="11" t="s">
        <v>864</v>
      </c>
      <c r="G129" s="26" t="n">
        <v>0.8</v>
      </c>
      <c r="H129" s="38" t="n">
        <v>46358</v>
      </c>
      <c r="I129" s="38" t="n">
        <v>46403</v>
      </c>
      <c r="J129" s="37" t="n">
        <v>4330</v>
      </c>
      <c r="K129" s="37" t="n">
        <v>866</v>
      </c>
      <c r="L129" s="37" t="n">
        <v>5196</v>
      </c>
    </row>
    <row r="130" customFormat="false" ht="15" hidden="false" customHeight="false" outlineLevel="0" collapsed="false">
      <c r="A130" s="11" t="s">
        <v>937</v>
      </c>
      <c r="B130" s="11" t="s">
        <v>324</v>
      </c>
      <c r="C130" s="11" t="s">
        <v>323</v>
      </c>
      <c r="D130" s="11" t="s">
        <v>283</v>
      </c>
      <c r="E130" s="11"/>
      <c r="F130" s="11" t="s">
        <v>864</v>
      </c>
      <c r="G130" s="26" t="n">
        <v>0.8</v>
      </c>
      <c r="H130" s="38" t="n">
        <v>46359</v>
      </c>
      <c r="I130" s="38" t="n">
        <v>46389</v>
      </c>
      <c r="J130" s="37" t="n">
        <v>4730</v>
      </c>
      <c r="K130" s="37" t="n">
        <v>946</v>
      </c>
      <c r="L130" s="37" t="n">
        <v>5676</v>
      </c>
    </row>
    <row r="131" customFormat="false" ht="15" hidden="false" customHeight="false" outlineLevel="0" collapsed="false">
      <c r="A131" s="11" t="s">
        <v>874</v>
      </c>
      <c r="B131" s="11" t="s">
        <v>288</v>
      </c>
      <c r="C131" s="11" t="s">
        <v>287</v>
      </c>
      <c r="D131" s="11" t="s">
        <v>283</v>
      </c>
      <c r="E131" s="11"/>
      <c r="F131" s="11" t="s">
        <v>864</v>
      </c>
      <c r="G131" s="26" t="n">
        <v>0.8</v>
      </c>
      <c r="H131" s="38" t="n">
        <v>46359</v>
      </c>
      <c r="I131" s="38" t="n">
        <v>46389</v>
      </c>
      <c r="J131" s="37" t="n">
        <v>6440</v>
      </c>
      <c r="K131" s="37" t="n">
        <v>1288</v>
      </c>
      <c r="L131" s="37" t="n">
        <v>7728</v>
      </c>
    </row>
    <row r="132" customFormat="false" ht="15" hidden="false" customHeight="false" outlineLevel="0" collapsed="false">
      <c r="A132" s="11" t="s">
        <v>1039</v>
      </c>
      <c r="B132" s="11" t="s">
        <v>299</v>
      </c>
      <c r="C132" s="11" t="s">
        <v>298</v>
      </c>
      <c r="D132" s="11" t="s">
        <v>283</v>
      </c>
      <c r="E132" s="11"/>
      <c r="F132" s="11" t="s">
        <v>864</v>
      </c>
      <c r="G132" s="26" t="n">
        <v>0.8</v>
      </c>
      <c r="H132" s="38" t="n">
        <v>46359</v>
      </c>
      <c r="I132" s="38" t="n">
        <v>46419</v>
      </c>
      <c r="J132" s="37" t="n">
        <v>6020</v>
      </c>
      <c r="K132" s="37" t="n">
        <v>0</v>
      </c>
      <c r="L132" s="37" t="n">
        <v>6020</v>
      </c>
    </row>
    <row r="133" customFormat="false" ht="15" hidden="false" customHeight="false" outlineLevel="0" collapsed="false">
      <c r="A133" s="11" t="s">
        <v>1065</v>
      </c>
      <c r="B133" s="11" t="s">
        <v>393</v>
      </c>
      <c r="C133" s="11" t="s">
        <v>392</v>
      </c>
      <c r="D133" s="11" t="s">
        <v>283</v>
      </c>
      <c r="E133" s="11"/>
      <c r="F133" s="11" t="s">
        <v>864</v>
      </c>
      <c r="G133" s="26" t="n">
        <v>0.8</v>
      </c>
      <c r="H133" s="38" t="n">
        <v>46360</v>
      </c>
      <c r="I133" s="38" t="n">
        <v>46410</v>
      </c>
      <c r="J133" s="37" t="n">
        <v>15020</v>
      </c>
      <c r="K133" s="37" t="n">
        <v>3004</v>
      </c>
      <c r="L133" s="37" t="n">
        <v>18024</v>
      </c>
    </row>
    <row r="134" customFormat="false" ht="15" hidden="false" customHeight="false" outlineLevel="0" collapsed="false">
      <c r="A134" s="11" t="s">
        <v>878</v>
      </c>
      <c r="B134" s="11" t="s">
        <v>288</v>
      </c>
      <c r="C134" s="11" t="s">
        <v>287</v>
      </c>
      <c r="D134" s="11" t="s">
        <v>283</v>
      </c>
      <c r="E134" s="11"/>
      <c r="F134" s="11" t="s">
        <v>864</v>
      </c>
      <c r="G134" s="26" t="n">
        <v>0.8</v>
      </c>
      <c r="H134" s="38" t="n">
        <v>46360</v>
      </c>
      <c r="I134" s="38" t="n">
        <v>46390</v>
      </c>
      <c r="J134" s="37" t="n">
        <v>4040</v>
      </c>
      <c r="K134" s="37" t="n">
        <v>808</v>
      </c>
      <c r="L134" s="37" t="n">
        <v>4848</v>
      </c>
    </row>
    <row r="135" customFormat="false" ht="15" hidden="false" customHeight="false" outlineLevel="0" collapsed="false">
      <c r="A135" s="11" t="s">
        <v>979</v>
      </c>
      <c r="B135" s="11" t="s">
        <v>336</v>
      </c>
      <c r="C135" s="11" t="s">
        <v>335</v>
      </c>
      <c r="D135" s="11" t="s">
        <v>283</v>
      </c>
      <c r="E135" s="11"/>
      <c r="F135" s="11" t="s">
        <v>864</v>
      </c>
      <c r="G135" s="26" t="n">
        <v>0.8</v>
      </c>
      <c r="H135" s="38" t="n">
        <v>46360</v>
      </c>
      <c r="I135" s="38" t="n">
        <v>46405</v>
      </c>
      <c r="J135" s="37" t="n">
        <v>6850</v>
      </c>
      <c r="K135" s="37" t="n">
        <v>1370</v>
      </c>
      <c r="L135" s="37" t="n">
        <v>8220</v>
      </c>
    </row>
    <row r="136" customFormat="false" ht="15" hidden="false" customHeight="false" outlineLevel="0" collapsed="false">
      <c r="A136" s="11" t="s">
        <v>955</v>
      </c>
      <c r="B136" s="11" t="s">
        <v>281</v>
      </c>
      <c r="C136" s="11" t="s">
        <v>280</v>
      </c>
      <c r="D136" s="11" t="s">
        <v>283</v>
      </c>
      <c r="E136" s="11"/>
      <c r="F136" s="11" t="s">
        <v>864</v>
      </c>
      <c r="G136" s="26" t="n">
        <v>0.8</v>
      </c>
      <c r="H136" s="38" t="n">
        <v>46360</v>
      </c>
      <c r="I136" s="38" t="n">
        <v>46405</v>
      </c>
      <c r="J136" s="37" t="n">
        <v>5610</v>
      </c>
      <c r="K136" s="37" t="n">
        <v>1122</v>
      </c>
      <c r="L136" s="37" t="n">
        <v>6732</v>
      </c>
    </row>
    <row r="137" customFormat="false" ht="15" hidden="false" customHeight="false" outlineLevel="0" collapsed="false">
      <c r="A137" s="11" t="s">
        <v>1055</v>
      </c>
      <c r="B137" s="11" t="s">
        <v>332</v>
      </c>
      <c r="C137" s="11" t="s">
        <v>331</v>
      </c>
      <c r="D137" s="11" t="s">
        <v>283</v>
      </c>
      <c r="E137" s="11"/>
      <c r="F137" s="11" t="s">
        <v>864</v>
      </c>
      <c r="G137" s="26" t="n">
        <v>0.8</v>
      </c>
      <c r="H137" s="38" t="n">
        <v>46360</v>
      </c>
      <c r="I137" s="38" t="n">
        <v>46405</v>
      </c>
      <c r="J137" s="37" t="n">
        <v>16810</v>
      </c>
      <c r="K137" s="37" t="n">
        <v>3362</v>
      </c>
      <c r="L137" s="37" t="n">
        <v>20172</v>
      </c>
    </row>
    <row r="138" customFormat="false" ht="15" hidden="false" customHeight="false" outlineLevel="0" collapsed="false">
      <c r="A138" s="11" t="s">
        <v>1057</v>
      </c>
      <c r="B138" s="11" t="s">
        <v>350</v>
      </c>
      <c r="C138" s="11" t="s">
        <v>349</v>
      </c>
      <c r="D138" s="11" t="s">
        <v>283</v>
      </c>
      <c r="E138" s="11"/>
      <c r="F138" s="11" t="s">
        <v>864</v>
      </c>
      <c r="G138" s="26" t="n">
        <v>0.8</v>
      </c>
      <c r="H138" s="38" t="n">
        <v>46363</v>
      </c>
      <c r="I138" s="38" t="n">
        <v>46423</v>
      </c>
      <c r="J138" s="37" t="n">
        <v>15980</v>
      </c>
      <c r="K138" s="37" t="n">
        <v>3196</v>
      </c>
      <c r="L138" s="37" t="n">
        <v>19176</v>
      </c>
    </row>
    <row r="139" customFormat="false" ht="15" hidden="false" customHeight="false" outlineLevel="0" collapsed="false">
      <c r="A139" s="11" t="s">
        <v>923</v>
      </c>
      <c r="B139" s="11" t="s">
        <v>288</v>
      </c>
      <c r="C139" s="11" t="s">
        <v>287</v>
      </c>
      <c r="D139" s="11" t="s">
        <v>283</v>
      </c>
      <c r="E139" s="11"/>
      <c r="F139" s="11" t="s">
        <v>864</v>
      </c>
      <c r="G139" s="26" t="n">
        <v>0.8</v>
      </c>
      <c r="H139" s="38" t="n">
        <v>46364</v>
      </c>
      <c r="I139" s="38" t="n">
        <v>46394</v>
      </c>
      <c r="J139" s="37" t="n">
        <v>2220</v>
      </c>
      <c r="K139" s="37" t="n">
        <v>444</v>
      </c>
      <c r="L139" s="37" t="n">
        <v>2664</v>
      </c>
    </row>
    <row r="140" customFormat="false" ht="15" hidden="false" customHeight="false" outlineLevel="0" collapsed="false">
      <c r="A140" s="11" t="s">
        <v>981</v>
      </c>
      <c r="B140" s="11" t="s">
        <v>281</v>
      </c>
      <c r="C140" s="11" t="s">
        <v>280</v>
      </c>
      <c r="D140" s="11" t="s">
        <v>283</v>
      </c>
      <c r="E140" s="11"/>
      <c r="F140" s="11" t="s">
        <v>864</v>
      </c>
      <c r="G140" s="26" t="n">
        <v>0.8</v>
      </c>
      <c r="H140" s="38" t="n">
        <v>46365</v>
      </c>
      <c r="I140" s="38" t="n">
        <v>46410</v>
      </c>
      <c r="J140" s="37" t="n">
        <v>4350</v>
      </c>
      <c r="K140" s="37" t="n">
        <v>870</v>
      </c>
      <c r="L140" s="37" t="n">
        <v>5220</v>
      </c>
    </row>
    <row r="141" customFormat="false" ht="15" hidden="false" customHeight="false" outlineLevel="0" collapsed="false">
      <c r="A141" s="11" t="s">
        <v>983</v>
      </c>
      <c r="B141" s="11" t="s">
        <v>281</v>
      </c>
      <c r="C141" s="11" t="s">
        <v>280</v>
      </c>
      <c r="D141" s="11" t="s">
        <v>283</v>
      </c>
      <c r="E141" s="11"/>
      <c r="F141" s="11" t="s">
        <v>864</v>
      </c>
      <c r="G141" s="26" t="n">
        <v>0.8</v>
      </c>
      <c r="H141" s="38" t="n">
        <v>46366</v>
      </c>
      <c r="I141" s="38" t="n">
        <v>46411</v>
      </c>
      <c r="J141" s="37" t="n">
        <v>2240</v>
      </c>
      <c r="K141" s="37" t="n">
        <v>448</v>
      </c>
      <c r="L141" s="37" t="n">
        <v>2688</v>
      </c>
    </row>
    <row r="142" customFormat="false" ht="15" hidden="false" customHeight="false" outlineLevel="0" collapsed="false">
      <c r="A142" s="11" t="s">
        <v>1005</v>
      </c>
      <c r="B142" s="11" t="s">
        <v>336</v>
      </c>
      <c r="C142" s="11" t="s">
        <v>335</v>
      </c>
      <c r="D142" s="11" t="s">
        <v>283</v>
      </c>
      <c r="E142" s="11"/>
      <c r="F142" s="11" t="s">
        <v>864</v>
      </c>
      <c r="G142" s="26" t="n">
        <v>0.8</v>
      </c>
      <c r="H142" s="38" t="n">
        <v>46366</v>
      </c>
      <c r="I142" s="38" t="n">
        <v>46411</v>
      </c>
      <c r="J142" s="37" t="n">
        <v>2240</v>
      </c>
      <c r="K142" s="37" t="n">
        <v>448</v>
      </c>
      <c r="L142" s="37" t="n">
        <v>2688</v>
      </c>
    </row>
    <row r="143" customFormat="false" ht="15" hidden="false" customHeight="false" outlineLevel="0" collapsed="false">
      <c r="A143" s="11" t="s">
        <v>1067</v>
      </c>
      <c r="B143" s="11" t="s">
        <v>332</v>
      </c>
      <c r="C143" s="11" t="s">
        <v>331</v>
      </c>
      <c r="D143" s="11" t="s">
        <v>283</v>
      </c>
      <c r="E143" s="11"/>
      <c r="F143" s="11" t="s">
        <v>864</v>
      </c>
      <c r="G143" s="26" t="n">
        <v>0.8</v>
      </c>
      <c r="H143" s="38" t="n">
        <v>46366</v>
      </c>
      <c r="I143" s="38" t="n">
        <v>46411</v>
      </c>
      <c r="J143" s="37" t="n">
        <v>8140</v>
      </c>
      <c r="K143" s="37" t="n">
        <v>1628</v>
      </c>
      <c r="L143" s="37" t="n">
        <v>9768</v>
      </c>
    </row>
    <row r="144" customFormat="false" ht="15" hidden="false" customHeight="false" outlineLevel="0" collapsed="false">
      <c r="A144" s="11" t="s">
        <v>1081</v>
      </c>
      <c r="B144" s="11" t="s">
        <v>393</v>
      </c>
      <c r="C144" s="11" t="s">
        <v>392</v>
      </c>
      <c r="D144" s="11" t="s">
        <v>283</v>
      </c>
      <c r="E144" s="11"/>
      <c r="F144" s="11" t="s">
        <v>864</v>
      </c>
      <c r="G144" s="26" t="n">
        <v>0.8</v>
      </c>
      <c r="H144" s="38" t="n">
        <v>46367</v>
      </c>
      <c r="I144" s="38" t="n">
        <v>46417</v>
      </c>
      <c r="J144" s="37" t="n">
        <v>10460</v>
      </c>
      <c r="K144" s="37" t="n">
        <v>2092</v>
      </c>
      <c r="L144" s="37" t="n">
        <v>12552</v>
      </c>
    </row>
    <row r="145" customFormat="false" ht="15" hidden="false" customHeight="false" outlineLevel="0" collapsed="false">
      <c r="A145" s="11" t="s">
        <v>957</v>
      </c>
      <c r="B145" s="11" t="s">
        <v>400</v>
      </c>
      <c r="C145" s="11" t="s">
        <v>399</v>
      </c>
      <c r="D145" s="11" t="s">
        <v>283</v>
      </c>
      <c r="E145" s="11"/>
      <c r="F145" s="11" t="s">
        <v>864</v>
      </c>
      <c r="G145" s="26" t="n">
        <v>0.8</v>
      </c>
      <c r="H145" s="38" t="n">
        <v>46367</v>
      </c>
      <c r="I145" s="38" t="n">
        <v>46397</v>
      </c>
      <c r="J145" s="37" t="n">
        <v>16740</v>
      </c>
      <c r="K145" s="37" t="n">
        <v>3348</v>
      </c>
      <c r="L145" s="37" t="n">
        <v>20088</v>
      </c>
    </row>
    <row r="146" customFormat="false" ht="15" hidden="false" customHeight="false" outlineLevel="0" collapsed="false">
      <c r="A146" s="11" t="s">
        <v>931</v>
      </c>
      <c r="B146" s="11" t="s">
        <v>288</v>
      </c>
      <c r="C146" s="11" t="s">
        <v>287</v>
      </c>
      <c r="D146" s="11" t="s">
        <v>283</v>
      </c>
      <c r="E146" s="11"/>
      <c r="F146" s="11" t="s">
        <v>864</v>
      </c>
      <c r="G146" s="26" t="n">
        <v>0.8</v>
      </c>
      <c r="H146" s="38" t="n">
        <v>46367</v>
      </c>
      <c r="I146" s="38" t="n">
        <v>46397</v>
      </c>
      <c r="J146" s="37" t="n">
        <v>3390</v>
      </c>
      <c r="K146" s="37" t="n">
        <v>678</v>
      </c>
      <c r="L146" s="37" t="n">
        <v>4068</v>
      </c>
    </row>
    <row r="147" customFormat="false" ht="15" hidden="false" customHeight="false" outlineLevel="0" collapsed="false">
      <c r="A147" s="11" t="s">
        <v>1103</v>
      </c>
      <c r="B147" s="11" t="s">
        <v>328</v>
      </c>
      <c r="C147" s="11" t="s">
        <v>327</v>
      </c>
      <c r="D147" s="11" t="s">
        <v>283</v>
      </c>
      <c r="E147" s="11"/>
      <c r="F147" s="11" t="s">
        <v>864</v>
      </c>
      <c r="G147" s="26" t="n">
        <v>0.8</v>
      </c>
      <c r="H147" s="38" t="n">
        <v>46367</v>
      </c>
      <c r="I147" s="38" t="n">
        <v>46427</v>
      </c>
      <c r="J147" s="37" t="n">
        <v>23880</v>
      </c>
      <c r="K147" s="37" t="n">
        <v>4776</v>
      </c>
      <c r="L147" s="37" t="n">
        <v>28656</v>
      </c>
    </row>
    <row r="148" customFormat="false" ht="15" hidden="false" customHeight="false" outlineLevel="0" collapsed="false">
      <c r="A148" s="11" t="s">
        <v>933</v>
      </c>
      <c r="B148" s="11" t="s">
        <v>288</v>
      </c>
      <c r="C148" s="11" t="s">
        <v>287</v>
      </c>
      <c r="D148" s="11" t="s">
        <v>283</v>
      </c>
      <c r="E148" s="11"/>
      <c r="F148" s="11" t="s">
        <v>864</v>
      </c>
      <c r="G148" s="26" t="n">
        <v>0.8</v>
      </c>
      <c r="H148" s="38" t="n">
        <v>46367</v>
      </c>
      <c r="I148" s="38" t="n">
        <v>46397</v>
      </c>
      <c r="J148" s="37" t="n">
        <v>2030</v>
      </c>
      <c r="K148" s="37" t="n">
        <v>406</v>
      </c>
      <c r="L148" s="37" t="n">
        <v>2436</v>
      </c>
    </row>
    <row r="149" customFormat="false" ht="15" hidden="false" customHeight="false" outlineLevel="0" collapsed="false">
      <c r="A149" s="11" t="s">
        <v>971</v>
      </c>
      <c r="B149" s="11" t="s">
        <v>324</v>
      </c>
      <c r="C149" s="11" t="s">
        <v>323</v>
      </c>
      <c r="D149" s="11" t="s">
        <v>283</v>
      </c>
      <c r="E149" s="11"/>
      <c r="F149" s="11" t="s">
        <v>864</v>
      </c>
      <c r="G149" s="26" t="n">
        <v>0.8</v>
      </c>
      <c r="H149" s="38" t="n">
        <v>46367</v>
      </c>
      <c r="I149" s="38" t="n">
        <v>46397</v>
      </c>
      <c r="J149" s="37" t="n">
        <v>5160</v>
      </c>
      <c r="K149" s="37" t="n">
        <v>1032</v>
      </c>
      <c r="L149" s="37" t="n">
        <v>6192</v>
      </c>
    </row>
    <row r="150" customFormat="false" ht="15" hidden="false" customHeight="false" outlineLevel="0" collapsed="false">
      <c r="A150" s="11" t="s">
        <v>985</v>
      </c>
      <c r="B150" s="11" t="s">
        <v>281</v>
      </c>
      <c r="C150" s="11" t="s">
        <v>280</v>
      </c>
      <c r="D150" s="11" t="s">
        <v>283</v>
      </c>
      <c r="E150" s="11"/>
      <c r="F150" s="11" t="s">
        <v>864</v>
      </c>
      <c r="G150" s="26" t="n">
        <v>0.8</v>
      </c>
      <c r="H150" s="38" t="n">
        <v>46367</v>
      </c>
      <c r="I150" s="38" t="n">
        <v>46412</v>
      </c>
      <c r="J150" s="37" t="n">
        <v>2700</v>
      </c>
      <c r="K150" s="37" t="n">
        <v>540</v>
      </c>
      <c r="L150" s="37" t="n">
        <v>3240</v>
      </c>
    </row>
    <row r="151" customFormat="false" ht="15" hidden="false" customHeight="false" outlineLevel="0" collapsed="false">
      <c r="A151" s="11" t="s">
        <v>1007</v>
      </c>
      <c r="B151" s="11" t="s">
        <v>336</v>
      </c>
      <c r="C151" s="11" t="s">
        <v>335</v>
      </c>
      <c r="D151" s="11" t="s">
        <v>283</v>
      </c>
      <c r="E151" s="11"/>
      <c r="F151" s="11" t="s">
        <v>864</v>
      </c>
      <c r="G151" s="26" t="n">
        <v>0.8</v>
      </c>
      <c r="H151" s="38" t="n">
        <v>46367</v>
      </c>
      <c r="I151" s="38" t="n">
        <v>46412</v>
      </c>
      <c r="J151" s="37" t="n">
        <v>5190</v>
      </c>
      <c r="K151" s="37" t="n">
        <v>1038</v>
      </c>
      <c r="L151" s="37" t="n">
        <v>6228</v>
      </c>
    </row>
    <row r="152" customFormat="false" ht="15" hidden="false" customHeight="false" outlineLevel="0" collapsed="false">
      <c r="A152" s="11" t="s">
        <v>987</v>
      </c>
      <c r="B152" s="11" t="s">
        <v>281</v>
      </c>
      <c r="C152" s="11" t="s">
        <v>280</v>
      </c>
      <c r="D152" s="11" t="s">
        <v>283</v>
      </c>
      <c r="E152" s="11"/>
      <c r="F152" s="11" t="s">
        <v>864</v>
      </c>
      <c r="G152" s="26" t="n">
        <v>0.8</v>
      </c>
      <c r="H152" s="38" t="n">
        <v>46367</v>
      </c>
      <c r="I152" s="38" t="n">
        <v>46412</v>
      </c>
      <c r="J152" s="37" t="n">
        <v>5850</v>
      </c>
      <c r="K152" s="37" t="n">
        <v>1170</v>
      </c>
      <c r="L152" s="37" t="n">
        <v>7020</v>
      </c>
    </row>
    <row r="153" customFormat="false" ht="15" hidden="false" customHeight="false" outlineLevel="0" collapsed="false">
      <c r="A153" s="11" t="s">
        <v>989</v>
      </c>
      <c r="B153" s="11" t="s">
        <v>281</v>
      </c>
      <c r="C153" s="11" t="s">
        <v>280</v>
      </c>
      <c r="D153" s="11" t="s">
        <v>283</v>
      </c>
      <c r="E153" s="11"/>
      <c r="F153" s="11" t="s">
        <v>864</v>
      </c>
      <c r="G153" s="26" t="n">
        <v>0.8</v>
      </c>
      <c r="H153" s="38" t="n">
        <v>46367</v>
      </c>
      <c r="I153" s="38" t="n">
        <v>46412</v>
      </c>
      <c r="J153" s="37" t="n">
        <v>5020</v>
      </c>
      <c r="K153" s="37" t="n">
        <v>1004</v>
      </c>
      <c r="L153" s="37" t="n">
        <v>6024</v>
      </c>
    </row>
    <row r="154" customFormat="false" ht="15" hidden="false" customHeight="false" outlineLevel="0" collapsed="false">
      <c r="A154" s="11" t="s">
        <v>1107</v>
      </c>
      <c r="B154" s="11" t="s">
        <v>328</v>
      </c>
      <c r="C154" s="11" t="s">
        <v>327</v>
      </c>
      <c r="D154" s="11" t="s">
        <v>283</v>
      </c>
      <c r="E154" s="11"/>
      <c r="F154" s="11" t="s">
        <v>864</v>
      </c>
      <c r="G154" s="26" t="n">
        <v>0.8</v>
      </c>
      <c r="H154" s="38" t="n">
        <v>46370</v>
      </c>
      <c r="I154" s="38" t="n">
        <v>46430</v>
      </c>
      <c r="J154" s="37" t="n">
        <v>11870</v>
      </c>
      <c r="K154" s="37" t="n">
        <v>2374</v>
      </c>
      <c r="L154" s="37" t="n">
        <v>14244</v>
      </c>
    </row>
    <row r="155" customFormat="false" ht="15" hidden="false" customHeight="false" outlineLevel="0" collapsed="false">
      <c r="A155" s="11" t="s">
        <v>965</v>
      </c>
      <c r="B155" s="11" t="s">
        <v>400</v>
      </c>
      <c r="C155" s="11" t="s">
        <v>399</v>
      </c>
      <c r="D155" s="11" t="s">
        <v>283</v>
      </c>
      <c r="E155" s="11"/>
      <c r="F155" s="11" t="s">
        <v>864</v>
      </c>
      <c r="G155" s="26" t="n">
        <v>0.8</v>
      </c>
      <c r="H155" s="38" t="n">
        <v>46370</v>
      </c>
      <c r="I155" s="38" t="n">
        <v>46400</v>
      </c>
      <c r="J155" s="37" t="n">
        <v>15120</v>
      </c>
      <c r="K155" s="37" t="n">
        <v>3024</v>
      </c>
      <c r="L155" s="37" t="n">
        <v>18144</v>
      </c>
    </row>
    <row r="156" customFormat="false" ht="15" hidden="false" customHeight="false" outlineLevel="0" collapsed="false">
      <c r="A156" s="11" t="s">
        <v>1027</v>
      </c>
      <c r="B156" s="11" t="s">
        <v>336</v>
      </c>
      <c r="C156" s="11" t="s">
        <v>335</v>
      </c>
      <c r="D156" s="11" t="s">
        <v>283</v>
      </c>
      <c r="E156" s="11"/>
      <c r="F156" s="11" t="s">
        <v>864</v>
      </c>
      <c r="G156" s="26" t="n">
        <v>0.8</v>
      </c>
      <c r="H156" s="38" t="n">
        <v>46371</v>
      </c>
      <c r="I156" s="38" t="n">
        <v>46416</v>
      </c>
      <c r="J156" s="37" t="n">
        <v>6000</v>
      </c>
      <c r="K156" s="37" t="n">
        <v>1200</v>
      </c>
      <c r="L156" s="37" t="n">
        <v>7200</v>
      </c>
    </row>
    <row r="157" customFormat="false" ht="15" hidden="false" customHeight="false" outlineLevel="0" collapsed="false">
      <c r="A157" s="11" t="s">
        <v>1029</v>
      </c>
      <c r="B157" s="11" t="s">
        <v>336</v>
      </c>
      <c r="C157" s="11" t="s">
        <v>335</v>
      </c>
      <c r="D157" s="11" t="s">
        <v>283</v>
      </c>
      <c r="E157" s="11"/>
      <c r="F157" s="11" t="s">
        <v>864</v>
      </c>
      <c r="G157" s="26" t="n">
        <v>0.8</v>
      </c>
      <c r="H157" s="38" t="n">
        <v>46371</v>
      </c>
      <c r="I157" s="38" t="n">
        <v>46416</v>
      </c>
      <c r="J157" s="37" t="n">
        <v>5080</v>
      </c>
      <c r="K157" s="37" t="n">
        <v>1016</v>
      </c>
      <c r="L157" s="37" t="n">
        <v>6096</v>
      </c>
    </row>
    <row r="158" customFormat="false" ht="15" hidden="false" customHeight="false" outlineLevel="0" collapsed="false">
      <c r="A158" s="11" t="s">
        <v>1031</v>
      </c>
      <c r="B158" s="11" t="s">
        <v>336</v>
      </c>
      <c r="C158" s="11" t="s">
        <v>335</v>
      </c>
      <c r="D158" s="11" t="s">
        <v>283</v>
      </c>
      <c r="E158" s="11"/>
      <c r="F158" s="11" t="s">
        <v>864</v>
      </c>
      <c r="G158" s="26" t="n">
        <v>0.8</v>
      </c>
      <c r="H158" s="38" t="n">
        <v>46371</v>
      </c>
      <c r="I158" s="38" t="n">
        <v>46416</v>
      </c>
      <c r="J158" s="37" t="n">
        <v>6690</v>
      </c>
      <c r="K158" s="37" t="n">
        <v>1338</v>
      </c>
      <c r="L158" s="37" t="n">
        <v>8028</v>
      </c>
    </row>
    <row r="159" customFormat="false" ht="15" hidden="false" customHeight="false" outlineLevel="0" collapsed="false">
      <c r="A159" s="11" t="s">
        <v>1083</v>
      </c>
      <c r="B159" s="11" t="s">
        <v>350</v>
      </c>
      <c r="C159" s="11" t="s">
        <v>349</v>
      </c>
      <c r="D159" s="11" t="s">
        <v>283</v>
      </c>
      <c r="E159" s="11"/>
      <c r="F159" s="11" t="s">
        <v>864</v>
      </c>
      <c r="G159" s="26" t="n">
        <v>0.8</v>
      </c>
      <c r="H159" s="38" t="n">
        <v>46372</v>
      </c>
      <c r="I159" s="38" t="n">
        <v>46432</v>
      </c>
      <c r="J159" s="37" t="n">
        <v>14080</v>
      </c>
      <c r="K159" s="37" t="n">
        <v>2816</v>
      </c>
      <c r="L159" s="37" t="n">
        <v>16896</v>
      </c>
    </row>
    <row r="160" customFormat="false" ht="15" hidden="false" customHeight="false" outlineLevel="0" collapsed="false">
      <c r="A160" s="11" t="s">
        <v>1075</v>
      </c>
      <c r="B160" s="11" t="s">
        <v>299</v>
      </c>
      <c r="C160" s="11" t="s">
        <v>298</v>
      </c>
      <c r="D160" s="11" t="s">
        <v>283</v>
      </c>
      <c r="E160" s="11"/>
      <c r="F160" s="11" t="s">
        <v>864</v>
      </c>
      <c r="G160" s="26" t="n">
        <v>0.8</v>
      </c>
      <c r="H160" s="38" t="n">
        <v>46372</v>
      </c>
      <c r="I160" s="38" t="n">
        <v>46432</v>
      </c>
      <c r="J160" s="37" t="n">
        <v>14430</v>
      </c>
      <c r="K160" s="37" t="n">
        <v>0</v>
      </c>
      <c r="L160" s="37" t="n">
        <v>14430</v>
      </c>
    </row>
    <row r="161" customFormat="false" ht="15" hidden="false" customHeight="false" outlineLevel="0" collapsed="false">
      <c r="A161" s="11" t="s">
        <v>1109</v>
      </c>
      <c r="B161" s="11" t="s">
        <v>328</v>
      </c>
      <c r="C161" s="11" t="s">
        <v>327</v>
      </c>
      <c r="D161" s="11" t="s">
        <v>283</v>
      </c>
      <c r="E161" s="11"/>
      <c r="F161" s="11" t="s">
        <v>864</v>
      </c>
      <c r="G161" s="26" t="n">
        <v>0.8</v>
      </c>
      <c r="H161" s="38" t="n">
        <v>46373</v>
      </c>
      <c r="I161" s="38" t="n">
        <v>46433</v>
      </c>
      <c r="J161" s="37" t="n">
        <v>23040</v>
      </c>
      <c r="K161" s="37" t="n">
        <v>4608</v>
      </c>
      <c r="L161" s="37" t="n">
        <v>27648</v>
      </c>
    </row>
    <row r="162" customFormat="false" ht="15" hidden="false" customHeight="false" outlineLevel="0" collapsed="false">
      <c r="A162" s="11" t="s">
        <v>1085</v>
      </c>
      <c r="B162" s="11" t="s">
        <v>350</v>
      </c>
      <c r="C162" s="11" t="s">
        <v>349</v>
      </c>
      <c r="D162" s="11" t="s">
        <v>283</v>
      </c>
      <c r="E162" s="11"/>
      <c r="F162" s="11" t="s">
        <v>864</v>
      </c>
      <c r="G162" s="26" t="n">
        <v>0.8</v>
      </c>
      <c r="H162" s="38" t="n">
        <v>46374</v>
      </c>
      <c r="I162" s="38" t="n">
        <v>46434</v>
      </c>
      <c r="J162" s="37" t="n">
        <v>16760</v>
      </c>
      <c r="K162" s="37" t="n">
        <v>3352</v>
      </c>
      <c r="L162" s="37" t="n">
        <v>20112</v>
      </c>
    </row>
    <row r="163" customFormat="false" ht="15" hidden="false" customHeight="false" outlineLevel="0" collapsed="false">
      <c r="A163" s="11" t="s">
        <v>1077</v>
      </c>
      <c r="B163" s="11" t="s">
        <v>299</v>
      </c>
      <c r="C163" s="11" t="s">
        <v>298</v>
      </c>
      <c r="D163" s="11" t="s">
        <v>283</v>
      </c>
      <c r="E163" s="11"/>
      <c r="F163" s="11" t="s">
        <v>864</v>
      </c>
      <c r="G163" s="26" t="n">
        <v>0.8</v>
      </c>
      <c r="H163" s="38" t="n">
        <v>46374</v>
      </c>
      <c r="I163" s="38" t="n">
        <v>46434</v>
      </c>
      <c r="J163" s="37" t="n">
        <v>8120</v>
      </c>
      <c r="K163" s="37" t="n">
        <v>0</v>
      </c>
      <c r="L163" s="37" t="n">
        <v>8120</v>
      </c>
    </row>
    <row r="164" customFormat="false" ht="15" hidden="false" customHeight="false" outlineLevel="0" collapsed="false">
      <c r="A164" s="11" t="s">
        <v>1087</v>
      </c>
      <c r="B164" s="11" t="s">
        <v>350</v>
      </c>
      <c r="C164" s="11" t="s">
        <v>349</v>
      </c>
      <c r="D164" s="11" t="s">
        <v>283</v>
      </c>
      <c r="E164" s="11"/>
      <c r="F164" s="11" t="s">
        <v>864</v>
      </c>
      <c r="G164" s="26" t="n">
        <v>0.8</v>
      </c>
      <c r="H164" s="38" t="n">
        <v>46374</v>
      </c>
      <c r="I164" s="38" t="n">
        <v>46434</v>
      </c>
      <c r="J164" s="37" t="n">
        <v>9410</v>
      </c>
      <c r="K164" s="37" t="n">
        <v>1882</v>
      </c>
      <c r="L164" s="37" t="n">
        <v>11292</v>
      </c>
    </row>
    <row r="165" customFormat="false" ht="15" hidden="false" customHeight="false" outlineLevel="0" collapsed="false">
      <c r="A165" s="11" t="s">
        <v>1089</v>
      </c>
      <c r="B165" s="11" t="s">
        <v>350</v>
      </c>
      <c r="C165" s="11" t="s">
        <v>349</v>
      </c>
      <c r="D165" s="11" t="s">
        <v>283</v>
      </c>
      <c r="E165" s="11"/>
      <c r="F165" s="11" t="s">
        <v>864</v>
      </c>
      <c r="G165" s="26" t="n">
        <v>0.8</v>
      </c>
      <c r="H165" s="38" t="n">
        <v>46374</v>
      </c>
      <c r="I165" s="38" t="n">
        <v>46434</v>
      </c>
      <c r="J165" s="37" t="n">
        <v>2800</v>
      </c>
      <c r="K165" s="37" t="n">
        <v>560</v>
      </c>
      <c r="L165" s="37" t="n">
        <v>3360</v>
      </c>
    </row>
    <row r="166" customFormat="false" ht="15" hidden="false" customHeight="false" outlineLevel="0" collapsed="false">
      <c r="A166" s="11" t="s">
        <v>1111</v>
      </c>
      <c r="B166" s="11" t="s">
        <v>328</v>
      </c>
      <c r="C166" s="11" t="s">
        <v>327</v>
      </c>
      <c r="D166" s="11" t="s">
        <v>283</v>
      </c>
      <c r="E166" s="11"/>
      <c r="F166" s="11" t="s">
        <v>864</v>
      </c>
      <c r="G166" s="26" t="n">
        <v>0.8</v>
      </c>
      <c r="H166" s="38" t="n">
        <v>46374</v>
      </c>
      <c r="I166" s="38" t="n">
        <v>46434</v>
      </c>
      <c r="J166" s="37" t="n">
        <v>39280</v>
      </c>
      <c r="K166" s="37" t="n">
        <v>7856</v>
      </c>
      <c r="L166" s="37" t="n">
        <v>47136</v>
      </c>
    </row>
    <row r="167" customFormat="false" ht="15" hidden="false" customHeight="false" outlineLevel="0" collapsed="false">
      <c r="A167" s="11" t="s">
        <v>1091</v>
      </c>
      <c r="B167" s="11" t="s">
        <v>350</v>
      </c>
      <c r="C167" s="11" t="s">
        <v>349</v>
      </c>
      <c r="D167" s="11" t="s">
        <v>283</v>
      </c>
      <c r="E167" s="11"/>
      <c r="F167" s="11" t="s">
        <v>864</v>
      </c>
      <c r="G167" s="26" t="n">
        <v>0.8</v>
      </c>
      <c r="H167" s="38" t="n">
        <v>46374</v>
      </c>
      <c r="I167" s="38" t="n">
        <v>46434</v>
      </c>
      <c r="J167" s="37" t="n">
        <v>11060</v>
      </c>
      <c r="K167" s="37" t="n">
        <v>2212</v>
      </c>
      <c r="L167" s="37" t="n">
        <v>13272</v>
      </c>
    </row>
    <row r="168" customFormat="false" ht="15" hidden="false" customHeight="false" outlineLevel="0" collapsed="false">
      <c r="A168" s="11" t="s">
        <v>1009</v>
      </c>
      <c r="B168" s="11" t="s">
        <v>281</v>
      </c>
      <c r="C168" s="11" t="s">
        <v>280</v>
      </c>
      <c r="D168" s="11" t="s">
        <v>283</v>
      </c>
      <c r="E168" s="11"/>
      <c r="F168" s="11" t="s">
        <v>864</v>
      </c>
      <c r="G168" s="26" t="n">
        <v>0.8</v>
      </c>
      <c r="H168" s="38" t="n">
        <v>46374</v>
      </c>
      <c r="I168" s="38" t="n">
        <v>46419</v>
      </c>
      <c r="J168" s="37" t="n">
        <v>7960</v>
      </c>
      <c r="K168" s="37" t="n">
        <v>1592</v>
      </c>
      <c r="L168" s="37" t="n">
        <v>9552</v>
      </c>
    </row>
    <row r="169" customFormat="false" ht="15" hidden="false" customHeight="false" outlineLevel="0" collapsed="false">
      <c r="A169" s="11" t="s">
        <v>1093</v>
      </c>
      <c r="B169" s="11" t="s">
        <v>332</v>
      </c>
      <c r="C169" s="11" t="s">
        <v>331</v>
      </c>
      <c r="D169" s="11" t="s">
        <v>283</v>
      </c>
      <c r="E169" s="11"/>
      <c r="F169" s="11" t="s">
        <v>864</v>
      </c>
      <c r="G169" s="26" t="n">
        <v>0.8</v>
      </c>
      <c r="H169" s="38" t="n">
        <v>46374</v>
      </c>
      <c r="I169" s="38" t="n">
        <v>46419</v>
      </c>
      <c r="J169" s="37" t="n">
        <v>10210</v>
      </c>
      <c r="K169" s="37" t="n">
        <v>2042</v>
      </c>
      <c r="L169" s="37" t="n">
        <v>12252</v>
      </c>
    </row>
    <row r="170" customFormat="false" ht="15" hidden="false" customHeight="false" outlineLevel="0" collapsed="false">
      <c r="A170" s="11" t="s">
        <v>1011</v>
      </c>
      <c r="B170" s="11" t="s">
        <v>281</v>
      </c>
      <c r="C170" s="11" t="s">
        <v>280</v>
      </c>
      <c r="D170" s="11" t="s">
        <v>283</v>
      </c>
      <c r="E170" s="11"/>
      <c r="F170" s="11" t="s">
        <v>864</v>
      </c>
      <c r="G170" s="26" t="n">
        <v>0.8</v>
      </c>
      <c r="H170" s="38" t="n">
        <v>46374</v>
      </c>
      <c r="I170" s="38" t="n">
        <v>46419</v>
      </c>
      <c r="J170" s="37" t="n">
        <v>10260</v>
      </c>
      <c r="K170" s="37" t="n">
        <v>2052</v>
      </c>
      <c r="L170" s="37" t="n">
        <v>12312</v>
      </c>
    </row>
    <row r="171" customFormat="false" ht="15" hidden="false" customHeight="false" outlineLevel="0" collapsed="false">
      <c r="A171" s="11" t="s">
        <v>959</v>
      </c>
      <c r="B171" s="11" t="s">
        <v>288</v>
      </c>
      <c r="C171" s="11" t="s">
        <v>287</v>
      </c>
      <c r="D171" s="11" t="s">
        <v>283</v>
      </c>
      <c r="E171" s="11"/>
      <c r="F171" s="11" t="s">
        <v>864</v>
      </c>
      <c r="G171" s="26" t="n">
        <v>0.8</v>
      </c>
      <c r="H171" s="38" t="n">
        <v>46374</v>
      </c>
      <c r="I171" s="38" t="n">
        <v>46404</v>
      </c>
      <c r="J171" s="37" t="n">
        <v>3110</v>
      </c>
      <c r="K171" s="37" t="n">
        <v>622</v>
      </c>
      <c r="L171" s="37" t="n">
        <v>3732</v>
      </c>
    </row>
    <row r="172" customFormat="false" ht="15" hidden="false" customHeight="false" outlineLevel="0" collapsed="false">
      <c r="A172" s="11" t="s">
        <v>1095</v>
      </c>
      <c r="B172" s="11" t="s">
        <v>332</v>
      </c>
      <c r="C172" s="11" t="s">
        <v>331</v>
      </c>
      <c r="D172" s="11" t="s">
        <v>283</v>
      </c>
      <c r="E172" s="11"/>
      <c r="F172" s="11" t="s">
        <v>864</v>
      </c>
      <c r="G172" s="26" t="n">
        <v>0.8</v>
      </c>
      <c r="H172" s="38" t="n">
        <v>46374</v>
      </c>
      <c r="I172" s="38" t="n">
        <v>46419</v>
      </c>
      <c r="J172" s="37" t="n">
        <v>11430</v>
      </c>
      <c r="K172" s="37" t="n">
        <v>2286</v>
      </c>
      <c r="L172" s="37" t="n">
        <v>13716</v>
      </c>
    </row>
    <row r="173" customFormat="false" ht="15" hidden="false" customHeight="false" outlineLevel="0" collapsed="false">
      <c r="A173" s="11" t="s">
        <v>961</v>
      </c>
      <c r="B173" s="11" t="s">
        <v>288</v>
      </c>
      <c r="C173" s="11" t="s">
        <v>287</v>
      </c>
      <c r="D173" s="11" t="s">
        <v>283</v>
      </c>
      <c r="E173" s="11"/>
      <c r="F173" s="11" t="s">
        <v>864</v>
      </c>
      <c r="G173" s="26" t="n">
        <v>0.8</v>
      </c>
      <c r="H173" s="38" t="n">
        <v>46374</v>
      </c>
      <c r="I173" s="38" t="n">
        <v>46404</v>
      </c>
      <c r="J173" s="37" t="n">
        <v>2440</v>
      </c>
      <c r="K173" s="37" t="n">
        <v>488</v>
      </c>
      <c r="L173" s="37" t="n">
        <v>2928</v>
      </c>
    </row>
    <row r="174" customFormat="false" ht="15" hidden="false" customHeight="false" outlineLevel="0" collapsed="false">
      <c r="A174" s="11" t="s">
        <v>1041</v>
      </c>
      <c r="B174" s="11" t="s">
        <v>336</v>
      </c>
      <c r="C174" s="11" t="s">
        <v>335</v>
      </c>
      <c r="D174" s="11" t="s">
        <v>283</v>
      </c>
      <c r="E174" s="11"/>
      <c r="F174" s="11" t="s">
        <v>864</v>
      </c>
      <c r="G174" s="26" t="n">
        <v>0.8</v>
      </c>
      <c r="H174" s="38" t="n">
        <v>46374</v>
      </c>
      <c r="I174" s="38" t="n">
        <v>46419</v>
      </c>
      <c r="J174" s="37" t="n">
        <v>3770</v>
      </c>
      <c r="K174" s="37" t="n">
        <v>754</v>
      </c>
      <c r="L174" s="37" t="n">
        <v>4524</v>
      </c>
    </row>
    <row r="175" customFormat="false" ht="15" hidden="false" customHeight="false" outlineLevel="0" collapsed="false">
      <c r="A175" s="11" t="s">
        <v>999</v>
      </c>
      <c r="B175" s="11" t="s">
        <v>324</v>
      </c>
      <c r="C175" s="11" t="s">
        <v>323</v>
      </c>
      <c r="D175" s="11" t="s">
        <v>283</v>
      </c>
      <c r="E175" s="11"/>
      <c r="F175" s="11" t="s">
        <v>864</v>
      </c>
      <c r="G175" s="26" t="n">
        <v>0.8</v>
      </c>
      <c r="H175" s="38" t="n">
        <v>46374</v>
      </c>
      <c r="I175" s="38" t="n">
        <v>46404</v>
      </c>
      <c r="J175" s="37" t="n">
        <v>9690</v>
      </c>
      <c r="K175" s="37" t="n">
        <v>1938</v>
      </c>
      <c r="L175" s="37" t="n">
        <v>11628</v>
      </c>
    </row>
    <row r="176" customFormat="false" ht="15" hidden="false" customHeight="false" outlineLevel="0" collapsed="false">
      <c r="A176" s="11" t="s">
        <v>1013</v>
      </c>
      <c r="B176" s="11" t="s">
        <v>281</v>
      </c>
      <c r="C176" s="11" t="s">
        <v>280</v>
      </c>
      <c r="D176" s="11" t="s">
        <v>283</v>
      </c>
      <c r="E176" s="11"/>
      <c r="F176" s="11" t="s">
        <v>864</v>
      </c>
      <c r="G176" s="26" t="n">
        <v>0.8</v>
      </c>
      <c r="H176" s="38" t="n">
        <v>46374</v>
      </c>
      <c r="I176" s="38" t="n">
        <v>46419</v>
      </c>
      <c r="J176" s="37" t="n">
        <v>4220</v>
      </c>
      <c r="K176" s="37" t="n">
        <v>844</v>
      </c>
      <c r="L176" s="37" t="n">
        <v>5064</v>
      </c>
    </row>
    <row r="177" customFormat="false" ht="15" hidden="false" customHeight="false" outlineLevel="0" collapsed="false">
      <c r="A177" s="11" t="s">
        <v>1049</v>
      </c>
      <c r="B177" s="11" t="s">
        <v>336</v>
      </c>
      <c r="C177" s="11" t="s">
        <v>335</v>
      </c>
      <c r="D177" s="11" t="s">
        <v>283</v>
      </c>
      <c r="E177" s="11"/>
      <c r="F177" s="11" t="s">
        <v>864</v>
      </c>
      <c r="G177" s="26" t="n">
        <v>0.8</v>
      </c>
      <c r="H177" s="38" t="n">
        <v>46377</v>
      </c>
      <c r="I177" s="38" t="n">
        <v>46422</v>
      </c>
      <c r="J177" s="37" t="n">
        <v>4870</v>
      </c>
      <c r="K177" s="37" t="n">
        <v>974</v>
      </c>
      <c r="L177" s="37" t="n">
        <v>5844</v>
      </c>
    </row>
    <row r="178" customFormat="false" ht="15" hidden="false" customHeight="false" outlineLevel="0" collapsed="false">
      <c r="A178" s="11" t="s">
        <v>1051</v>
      </c>
      <c r="B178" s="11" t="s">
        <v>336</v>
      </c>
      <c r="C178" s="11" t="s">
        <v>335</v>
      </c>
      <c r="D178" s="11" t="s">
        <v>283</v>
      </c>
      <c r="E178" s="11"/>
      <c r="F178" s="11" t="s">
        <v>864</v>
      </c>
      <c r="G178" s="26" t="n">
        <v>0.8</v>
      </c>
      <c r="H178" s="38" t="n">
        <v>46377</v>
      </c>
      <c r="I178" s="38" t="n">
        <v>46422</v>
      </c>
      <c r="J178" s="37" t="n">
        <v>9440</v>
      </c>
      <c r="K178" s="37" t="n">
        <v>1888</v>
      </c>
      <c r="L178" s="37" t="n">
        <v>11328</v>
      </c>
    </row>
    <row r="179" customFormat="false" ht="15" hidden="false" customHeight="false" outlineLevel="0" collapsed="false">
      <c r="A179" s="11" t="s">
        <v>1021</v>
      </c>
      <c r="B179" s="11" t="s">
        <v>281</v>
      </c>
      <c r="C179" s="11" t="s">
        <v>280</v>
      </c>
      <c r="D179" s="11" t="s">
        <v>283</v>
      </c>
      <c r="E179" s="11"/>
      <c r="F179" s="11" t="s">
        <v>864</v>
      </c>
      <c r="G179" s="26" t="n">
        <v>0.8</v>
      </c>
      <c r="H179" s="38" t="n">
        <v>46377</v>
      </c>
      <c r="I179" s="38" t="n">
        <v>46422</v>
      </c>
      <c r="J179" s="37" t="n">
        <v>8230</v>
      </c>
      <c r="K179" s="37" t="n">
        <v>1646</v>
      </c>
      <c r="L179" s="37" t="n">
        <v>9876</v>
      </c>
    </row>
    <row r="180" customFormat="false" ht="15" hidden="false" customHeight="false" outlineLevel="0" collapsed="false">
      <c r="A180" s="11" t="s">
        <v>1023</v>
      </c>
      <c r="B180" s="11" t="s">
        <v>281</v>
      </c>
      <c r="C180" s="11" t="s">
        <v>280</v>
      </c>
      <c r="D180" s="11" t="s">
        <v>283</v>
      </c>
      <c r="E180" s="11"/>
      <c r="F180" s="11" t="s">
        <v>864</v>
      </c>
      <c r="G180" s="26" t="n">
        <v>0.8</v>
      </c>
      <c r="H180" s="38" t="n">
        <v>46377</v>
      </c>
      <c r="I180" s="38" t="n">
        <v>46422</v>
      </c>
      <c r="J180" s="37" t="n">
        <v>8910</v>
      </c>
      <c r="K180" s="37" t="n">
        <v>1782</v>
      </c>
      <c r="L180" s="37" t="n">
        <v>10692</v>
      </c>
    </row>
    <row r="181" customFormat="false" ht="15" hidden="false" customHeight="false" outlineLevel="0" collapsed="false">
      <c r="A181" s="11" t="s">
        <v>1033</v>
      </c>
      <c r="B181" s="11" t="s">
        <v>281</v>
      </c>
      <c r="C181" s="11" t="s">
        <v>280</v>
      </c>
      <c r="D181" s="11" t="s">
        <v>283</v>
      </c>
      <c r="E181" s="11"/>
      <c r="F181" s="11" t="s">
        <v>864</v>
      </c>
      <c r="G181" s="26" t="n">
        <v>0.8</v>
      </c>
      <c r="H181" s="38" t="n">
        <v>46378</v>
      </c>
      <c r="I181" s="38" t="n">
        <v>46423</v>
      </c>
      <c r="J181" s="37" t="n">
        <v>11130</v>
      </c>
      <c r="K181" s="37" t="n">
        <v>2226</v>
      </c>
      <c r="L181" s="37" t="n">
        <v>13356</v>
      </c>
    </row>
    <row r="182" customFormat="false" ht="15" hidden="false" customHeight="false" outlineLevel="0" collapsed="false">
      <c r="A182" s="11" t="s">
        <v>1105</v>
      </c>
      <c r="B182" s="11" t="s">
        <v>332</v>
      </c>
      <c r="C182" s="11" t="s">
        <v>331</v>
      </c>
      <c r="D182" s="11" t="s">
        <v>283</v>
      </c>
      <c r="E182" s="11"/>
      <c r="F182" s="11" t="s">
        <v>864</v>
      </c>
      <c r="G182" s="26" t="n">
        <v>0.8</v>
      </c>
      <c r="H182" s="38" t="n">
        <v>46378</v>
      </c>
      <c r="I182" s="38" t="n">
        <v>46423</v>
      </c>
      <c r="J182" s="37" t="n">
        <v>4390</v>
      </c>
      <c r="K182" s="37" t="n">
        <v>878</v>
      </c>
      <c r="L182" s="37" t="n">
        <v>5268</v>
      </c>
    </row>
    <row r="183" customFormat="false" ht="15" hidden="false" customHeight="false" outlineLevel="0" collapsed="false">
      <c r="A183" s="11" t="s">
        <v>1097</v>
      </c>
      <c r="B183" s="11" t="s">
        <v>299</v>
      </c>
      <c r="C183" s="11" t="s">
        <v>298</v>
      </c>
      <c r="D183" s="11" t="s">
        <v>283</v>
      </c>
      <c r="E183" s="11"/>
      <c r="F183" s="11" t="s">
        <v>864</v>
      </c>
      <c r="G183" s="26" t="n">
        <v>0.8</v>
      </c>
      <c r="H183" s="38" t="n">
        <v>46378</v>
      </c>
      <c r="I183" s="38" t="n">
        <v>46438</v>
      </c>
      <c r="J183" s="37" t="n">
        <v>9660</v>
      </c>
      <c r="K183" s="37" t="n">
        <v>0</v>
      </c>
      <c r="L183" s="37" t="n">
        <v>9660</v>
      </c>
    </row>
    <row r="184" customFormat="false" ht="15" hidden="false" customHeight="false" outlineLevel="0" collapsed="false">
      <c r="A184" s="11" t="s">
        <v>1117</v>
      </c>
      <c r="B184" s="11" t="s">
        <v>393</v>
      </c>
      <c r="C184" s="11" t="s">
        <v>392</v>
      </c>
      <c r="D184" s="11" t="s">
        <v>283</v>
      </c>
      <c r="E184" s="11"/>
      <c r="F184" s="11" t="s">
        <v>864</v>
      </c>
      <c r="G184" s="26" t="n">
        <v>0.8</v>
      </c>
      <c r="H184" s="38" t="n">
        <v>46391</v>
      </c>
      <c r="I184" s="38" t="n">
        <v>46441</v>
      </c>
      <c r="J184" s="37" t="n">
        <v>14730</v>
      </c>
      <c r="K184" s="37" t="n">
        <v>2946</v>
      </c>
      <c r="L184" s="37" t="n">
        <v>17676</v>
      </c>
    </row>
    <row r="185" customFormat="false" ht="15" hidden="false" customHeight="false" outlineLevel="0" collapsed="false">
      <c r="A185" s="11" t="s">
        <v>1043</v>
      </c>
      <c r="B185" s="11" t="s">
        <v>288</v>
      </c>
      <c r="C185" s="11" t="s">
        <v>287</v>
      </c>
      <c r="D185" s="11" t="s">
        <v>283</v>
      </c>
      <c r="E185" s="11"/>
      <c r="F185" s="11" t="s">
        <v>864</v>
      </c>
      <c r="G185" s="26" t="n">
        <v>0.8</v>
      </c>
      <c r="H185" s="38" t="n">
        <v>46391</v>
      </c>
      <c r="I185" s="38" t="n">
        <v>46421</v>
      </c>
      <c r="J185" s="37" t="n">
        <v>2680</v>
      </c>
      <c r="K185" s="37" t="n">
        <v>536</v>
      </c>
      <c r="L185" s="37" t="n">
        <v>3216</v>
      </c>
    </row>
    <row r="186" customFormat="false" ht="15" hidden="false" customHeight="false" outlineLevel="0" collapsed="false">
      <c r="A186" s="11" t="s">
        <v>1069</v>
      </c>
      <c r="B186" s="11" t="s">
        <v>281</v>
      </c>
      <c r="C186" s="11" t="s">
        <v>280</v>
      </c>
      <c r="D186" s="11" t="s">
        <v>283</v>
      </c>
      <c r="E186" s="11"/>
      <c r="F186" s="11" t="s">
        <v>864</v>
      </c>
      <c r="G186" s="26" t="n">
        <v>0.8</v>
      </c>
      <c r="H186" s="38" t="n">
        <v>46391</v>
      </c>
      <c r="I186" s="38" t="n">
        <v>46436</v>
      </c>
      <c r="J186" s="37" t="n">
        <v>6230</v>
      </c>
      <c r="K186" s="37" t="n">
        <v>1246</v>
      </c>
      <c r="L186" s="37" t="n">
        <v>7476</v>
      </c>
    </row>
    <row r="187" customFormat="false" ht="15" hidden="false" customHeight="false" outlineLevel="0" collapsed="false">
      <c r="A187" s="11" t="s">
        <v>1045</v>
      </c>
      <c r="B187" s="11" t="s">
        <v>288</v>
      </c>
      <c r="C187" s="11" t="s">
        <v>287</v>
      </c>
      <c r="D187" s="11" t="s">
        <v>283</v>
      </c>
      <c r="E187" s="11"/>
      <c r="F187" s="11" t="s">
        <v>864</v>
      </c>
      <c r="G187" s="26" t="n">
        <v>0.8</v>
      </c>
      <c r="H187" s="38" t="n">
        <v>46393</v>
      </c>
      <c r="I187" s="38" t="n">
        <v>46423</v>
      </c>
      <c r="J187" s="37" t="n">
        <v>2440</v>
      </c>
      <c r="K187" s="37" t="n">
        <v>488</v>
      </c>
      <c r="L187" s="37" t="n">
        <v>2928</v>
      </c>
    </row>
    <row r="188" customFormat="false" ht="15" hidden="false" customHeight="false" outlineLevel="0" collapsed="false">
      <c r="A188" s="11" t="s">
        <v>1099</v>
      </c>
      <c r="B188" s="11" t="s">
        <v>336</v>
      </c>
      <c r="C188" s="11" t="s">
        <v>335</v>
      </c>
      <c r="D188" s="11" t="s">
        <v>283</v>
      </c>
      <c r="E188" s="11"/>
      <c r="F188" s="11" t="s">
        <v>864</v>
      </c>
      <c r="G188" s="26" t="n">
        <v>0.8</v>
      </c>
      <c r="H188" s="38" t="n">
        <v>46393</v>
      </c>
      <c r="I188" s="38" t="n">
        <v>46438</v>
      </c>
      <c r="J188" s="37" t="n">
        <v>2160</v>
      </c>
      <c r="K188" s="37" t="n">
        <v>432</v>
      </c>
      <c r="L188" s="37" t="n">
        <v>2592</v>
      </c>
    </row>
    <row r="189" customFormat="false" ht="15" hidden="false" customHeight="false" outlineLevel="0" collapsed="false">
      <c r="A189" s="11" t="s">
        <v>1115</v>
      </c>
      <c r="B189" s="11" t="s">
        <v>332</v>
      </c>
      <c r="C189" s="11" t="s">
        <v>331</v>
      </c>
      <c r="D189" s="11" t="s">
        <v>283</v>
      </c>
      <c r="E189" s="11"/>
      <c r="F189" s="11" t="s">
        <v>864</v>
      </c>
      <c r="G189" s="26" t="n">
        <v>0.8</v>
      </c>
      <c r="H189" s="38" t="n">
        <v>46393</v>
      </c>
      <c r="I189" s="38" t="n">
        <v>46438</v>
      </c>
      <c r="J189" s="37" t="n">
        <v>13040</v>
      </c>
      <c r="K189" s="37" t="n">
        <v>2608</v>
      </c>
      <c r="L189" s="37" t="n">
        <v>15648</v>
      </c>
    </row>
    <row r="190" customFormat="false" ht="15" hidden="false" customHeight="false" outlineLevel="0" collapsed="false">
      <c r="A190" s="11" t="s">
        <v>1079</v>
      </c>
      <c r="B190" s="11" t="s">
        <v>281</v>
      </c>
      <c r="C190" s="11" t="s">
        <v>280</v>
      </c>
      <c r="D190" s="11" t="s">
        <v>283</v>
      </c>
      <c r="E190" s="11"/>
      <c r="F190" s="11" t="s">
        <v>864</v>
      </c>
      <c r="G190" s="26" t="n">
        <v>0.8</v>
      </c>
      <c r="H190" s="38" t="n">
        <v>46394</v>
      </c>
      <c r="I190" s="38" t="n">
        <v>46439</v>
      </c>
      <c r="J190" s="37" t="n">
        <v>9930</v>
      </c>
      <c r="K190" s="37" t="n">
        <v>1986</v>
      </c>
      <c r="L190" s="37" t="n">
        <v>11916</v>
      </c>
    </row>
    <row r="191" customFormat="false" ht="15" hidden="false" customHeight="false" outlineLevel="0" collapsed="false">
      <c r="A191" s="11" t="s">
        <v>1113</v>
      </c>
      <c r="B191" s="11" t="s">
        <v>299</v>
      </c>
      <c r="C191" s="11" t="s">
        <v>298</v>
      </c>
      <c r="D191" s="11" t="s">
        <v>283</v>
      </c>
      <c r="E191" s="11"/>
      <c r="F191" s="11" t="s">
        <v>864</v>
      </c>
      <c r="G191" s="26" t="n">
        <v>0.8</v>
      </c>
      <c r="H191" s="38" t="n">
        <v>46394</v>
      </c>
      <c r="I191" s="38" t="n">
        <v>46454</v>
      </c>
      <c r="J191" s="37" t="n">
        <v>9920</v>
      </c>
      <c r="K191" s="37" t="n">
        <v>0</v>
      </c>
      <c r="L191" s="37" t="n">
        <v>9920</v>
      </c>
    </row>
    <row r="192" customFormat="false" ht="15" hidden="false" customHeight="false" outlineLevel="0" collapsed="false">
      <c r="A192" s="11" t="s">
        <v>1123</v>
      </c>
      <c r="B192" s="11" t="s">
        <v>328</v>
      </c>
      <c r="C192" s="11" t="s">
        <v>327</v>
      </c>
      <c r="D192" s="11" t="s">
        <v>283</v>
      </c>
      <c r="E192" s="11"/>
      <c r="F192" s="11" t="s">
        <v>864</v>
      </c>
      <c r="G192" s="26" t="n">
        <v>0.8</v>
      </c>
      <c r="H192" s="38" t="n">
        <v>46395</v>
      </c>
      <c r="I192" s="38" t="n">
        <v>46455</v>
      </c>
      <c r="J192" s="37" t="n">
        <v>19190</v>
      </c>
      <c r="K192" s="37" t="n">
        <v>3838</v>
      </c>
      <c r="L192" s="37" t="n">
        <v>23028</v>
      </c>
    </row>
    <row r="193" customFormat="false" ht="15" hidden="false" customHeight="false" outlineLevel="0" collapsed="false">
      <c r="A193" s="11" t="s">
        <v>1119</v>
      </c>
      <c r="B193" s="11" t="s">
        <v>350</v>
      </c>
      <c r="C193" s="11" t="s">
        <v>349</v>
      </c>
      <c r="D193" s="11" t="s">
        <v>283</v>
      </c>
      <c r="E193" s="11"/>
      <c r="F193" s="11" t="s">
        <v>864</v>
      </c>
      <c r="G193" s="26" t="n">
        <v>0.8</v>
      </c>
      <c r="H193" s="38" t="n">
        <v>46395</v>
      </c>
      <c r="I193" s="38" t="n">
        <v>46455</v>
      </c>
      <c r="J193" s="37" t="n">
        <v>12720</v>
      </c>
      <c r="K193" s="37" t="n">
        <v>2544</v>
      </c>
      <c r="L193" s="37" t="n">
        <v>15264</v>
      </c>
    </row>
    <row r="194" customFormat="false" ht="15" hidden="false" customHeight="false" outlineLevel="0" collapsed="false">
      <c r="A194" s="11" t="s">
        <v>1101</v>
      </c>
      <c r="B194" s="11" t="s">
        <v>336</v>
      </c>
      <c r="C194" s="11" t="s">
        <v>335</v>
      </c>
      <c r="D194" s="11" t="s">
        <v>283</v>
      </c>
      <c r="E194" s="11"/>
      <c r="F194" s="11" t="s">
        <v>864</v>
      </c>
      <c r="G194" s="26" t="n">
        <v>0.8</v>
      </c>
      <c r="H194" s="38" t="n">
        <v>46395</v>
      </c>
      <c r="I194" s="38" t="n">
        <v>46440</v>
      </c>
      <c r="J194" s="37" t="n">
        <v>5320</v>
      </c>
      <c r="K194" s="37" t="n">
        <v>1064</v>
      </c>
      <c r="L194" s="37" t="n">
        <v>6384</v>
      </c>
    </row>
    <row r="195" customFormat="false" ht="15" hidden="false" customHeight="false" outlineLevel="0" collapsed="false">
      <c r="A195" s="11" t="s">
        <v>1059</v>
      </c>
      <c r="B195" s="11" t="s">
        <v>400</v>
      </c>
      <c r="C195" s="11" t="s">
        <v>399</v>
      </c>
      <c r="D195" s="11" t="s">
        <v>283</v>
      </c>
      <c r="E195" s="11"/>
      <c r="F195" s="11" t="s">
        <v>864</v>
      </c>
      <c r="G195" s="26" t="n">
        <v>0.8</v>
      </c>
      <c r="H195" s="38" t="n">
        <v>46395</v>
      </c>
      <c r="I195" s="38" t="n">
        <v>46425</v>
      </c>
      <c r="J195" s="37" t="n">
        <v>13750</v>
      </c>
      <c r="K195" s="37" t="n">
        <v>2750</v>
      </c>
      <c r="L195" s="37" t="n">
        <v>16500</v>
      </c>
    </row>
    <row r="196" customFormat="false" ht="15" hidden="false" customHeight="false" outlineLevel="0" collapsed="false">
      <c r="A196" s="11" t="s">
        <v>1071</v>
      </c>
      <c r="B196" s="11" t="s">
        <v>324</v>
      </c>
      <c r="C196" s="11" t="s">
        <v>323</v>
      </c>
      <c r="D196" s="11" t="s">
        <v>283</v>
      </c>
      <c r="E196" s="11"/>
      <c r="F196" s="11" t="s">
        <v>864</v>
      </c>
      <c r="G196" s="26" t="n">
        <v>0.8</v>
      </c>
      <c r="H196" s="38" t="n">
        <v>46395</v>
      </c>
      <c r="I196" s="38" t="n">
        <v>46425</v>
      </c>
      <c r="J196" s="37" t="n">
        <v>7600</v>
      </c>
      <c r="K196" s="37" t="n">
        <v>1520</v>
      </c>
      <c r="L196" s="37" t="n">
        <v>9120</v>
      </c>
    </row>
    <row r="197" customFormat="false" ht="15" hidden="false" customHeight="false" outlineLevel="0" collapsed="false">
      <c r="A197" s="11" t="s">
        <v>1121</v>
      </c>
      <c r="B197" s="11" t="s">
        <v>332</v>
      </c>
      <c r="C197" s="11" t="s">
        <v>331</v>
      </c>
      <c r="D197" s="11" t="s">
        <v>283</v>
      </c>
      <c r="E197" s="11"/>
      <c r="F197" s="11" t="s">
        <v>864</v>
      </c>
      <c r="G197" s="26" t="n">
        <v>0.8</v>
      </c>
      <c r="H197" s="38" t="n">
        <v>46395</v>
      </c>
      <c r="I197" s="38" t="n">
        <v>46440</v>
      </c>
      <c r="J197" s="37" t="n">
        <v>8240</v>
      </c>
      <c r="K197" s="37" t="n">
        <v>1648</v>
      </c>
      <c r="L197" s="37" t="n">
        <v>9888</v>
      </c>
    </row>
  </sheetData>
  <autoFilter ref="A3:L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3" min="3" style="0" width="32"/>
    <col collapsed="false" customWidth="true" hidden="false" outlineLevel="0" max="4" min="4" style="0" width="12"/>
    <col collapsed="false" customWidth="true" hidden="false" outlineLevel="0" max="5" min="5" style="0" width="20"/>
    <col collapsed="false" customWidth="true" hidden="false" outlineLevel="0" max="6" min="6" style="0" width="19"/>
    <col collapsed="false" customWidth="true" hidden="false" outlineLevel="0" max="7" min="7" style="0" width="38"/>
    <col collapsed="false" customWidth="true" hidden="false" outlineLevel="0" max="9" min="8" style="0" width="16"/>
  </cols>
  <sheetData>
    <row r="1" customFormat="false" ht="30" hidden="false" customHeight="true" outlineLevel="0" collapsed="false">
      <c r="A1" s="33" t="s">
        <v>4229</v>
      </c>
      <c r="B1" s="33" t="s">
        <v>4230</v>
      </c>
      <c r="C1" s="33" t="s">
        <v>252</v>
      </c>
      <c r="D1" s="33" t="s">
        <v>4124</v>
      </c>
      <c r="E1" s="33" t="s">
        <v>1358</v>
      </c>
      <c r="F1" s="33" t="s">
        <v>4231</v>
      </c>
      <c r="G1" s="33" t="s">
        <v>4232</v>
      </c>
      <c r="H1" s="33" t="s">
        <v>4233</v>
      </c>
      <c r="I1" s="33" t="s">
        <v>4234</v>
      </c>
    </row>
    <row r="2" customFormat="false" ht="15" hidden="false" customHeight="false" outlineLevel="0" collapsed="false">
      <c r="A2" s="11" t="s">
        <v>1247</v>
      </c>
      <c r="B2" s="11" t="s">
        <v>420</v>
      </c>
      <c r="C2" s="11" t="s">
        <v>4235</v>
      </c>
      <c r="D2" s="11" t="s">
        <v>4236</v>
      </c>
      <c r="E2" s="53" t="n">
        <v>30</v>
      </c>
      <c r="F2" s="11" t="s">
        <v>4237</v>
      </c>
      <c r="G2" s="11" t="s">
        <v>4238</v>
      </c>
      <c r="H2" s="56" t="n">
        <f aca="false">SUMIFS(AP_Bills!$H:$H,AP_Bills!$B:$B,$A2,AP_Bills!$J:$J,"&lt;&gt;Paid")</f>
        <v>147760.97</v>
      </c>
      <c r="I2" s="56" t="n">
        <f aca="false">SUMIFS(Committed_Purchases!$K:$K,Committed_Purchases!$B:$B,$A2)</f>
        <v>374692.89</v>
      </c>
    </row>
    <row r="3" customFormat="false" ht="15" hidden="false" customHeight="false" outlineLevel="0" collapsed="false">
      <c r="A3" s="11" t="s">
        <v>1253</v>
      </c>
      <c r="B3" s="11" t="s">
        <v>308</v>
      </c>
      <c r="C3" s="11" t="s">
        <v>4239</v>
      </c>
      <c r="D3" s="11" t="s">
        <v>4131</v>
      </c>
      <c r="E3" s="53" t="n">
        <v>45</v>
      </c>
      <c r="F3" s="11" t="s">
        <v>4240</v>
      </c>
      <c r="G3" s="11" t="s">
        <v>4241</v>
      </c>
      <c r="H3" s="56" t="n">
        <f aca="false">SUMIFS(AP_Bills!$H:$H,AP_Bills!$B:$B,$A3,AP_Bills!$J:$J,"&lt;&gt;Paid")</f>
        <v>123125.63</v>
      </c>
      <c r="I3" s="56" t="n">
        <f aca="false">SUMIFS(Committed_Purchases!$K:$K,Committed_Purchases!$B:$B,$A3)</f>
        <v>145918.03</v>
      </c>
    </row>
    <row r="4" customFormat="false" ht="15" hidden="false" customHeight="false" outlineLevel="0" collapsed="false">
      <c r="A4" s="11" t="s">
        <v>4242</v>
      </c>
      <c r="B4" s="11" t="s">
        <v>458</v>
      </c>
      <c r="C4" s="11" t="s">
        <v>459</v>
      </c>
      <c r="D4" s="11" t="s">
        <v>4131</v>
      </c>
      <c r="E4" s="53" t="n">
        <v>60</v>
      </c>
      <c r="F4" s="11" t="s">
        <v>4237</v>
      </c>
      <c r="G4" s="11" t="s">
        <v>4241</v>
      </c>
      <c r="H4" s="56" t="n">
        <f aca="false">SUMIFS(AP_Bills!$H:$H,AP_Bills!$B:$B,$A4,AP_Bills!$J:$J,"&lt;&gt;Paid")</f>
        <v>39090.92</v>
      </c>
      <c r="I4" s="56" t="n">
        <f aca="false">SUMIFS(Committed_Purchases!$K:$K,Committed_Purchases!$B:$B,$A4)</f>
        <v>75605.74</v>
      </c>
    </row>
    <row r="5" customFormat="false" ht="15" hidden="false" customHeight="false" outlineLevel="0" collapsed="false">
      <c r="A5" s="11" t="s">
        <v>4243</v>
      </c>
      <c r="B5" s="11" t="s">
        <v>313</v>
      </c>
      <c r="C5" s="11" t="s">
        <v>314</v>
      </c>
      <c r="D5" s="11" t="s">
        <v>4131</v>
      </c>
      <c r="E5" s="53" t="n">
        <v>30</v>
      </c>
      <c r="F5" s="11" t="s">
        <v>4244</v>
      </c>
      <c r="G5" s="11" t="s">
        <v>4241</v>
      </c>
      <c r="H5" s="56" t="n">
        <f aca="false">SUMIFS(AP_Bills!$H:$H,AP_Bills!$B:$B,$A5,AP_Bills!$J:$J,"&lt;&gt;Paid")</f>
        <v>24599.85</v>
      </c>
      <c r="I5" s="56" t="n">
        <f aca="false">SUMIFS(Committed_Purchases!$K:$K,Committed_Purchases!$B:$B,$A5)</f>
        <v>41912.42</v>
      </c>
    </row>
    <row r="6" customFormat="false" ht="15" hidden="false" customHeight="false" outlineLevel="0" collapsed="false">
      <c r="A6" s="11" t="s">
        <v>4245</v>
      </c>
      <c r="B6" s="11" t="s">
        <v>464</v>
      </c>
      <c r="C6" s="11" t="s">
        <v>4246</v>
      </c>
      <c r="D6" s="11" t="s">
        <v>4131</v>
      </c>
      <c r="E6" s="53" t="n">
        <v>30</v>
      </c>
      <c r="F6" s="11" t="s">
        <v>4237</v>
      </c>
      <c r="G6" s="11" t="s">
        <v>4241</v>
      </c>
      <c r="H6" s="56" t="n">
        <f aca="false">SUMIFS(AP_Bills!$H:$H,AP_Bills!$B:$B,$A6,AP_Bills!$J:$J,"&lt;&gt;Paid")</f>
        <v>0</v>
      </c>
      <c r="I6" s="56" t="n">
        <f aca="false">SUMIFS(Committed_Purchases!$K:$K,Committed_Purchases!$B:$B,$A6)</f>
        <v>40502.42</v>
      </c>
    </row>
    <row r="7" customFormat="false" ht="15" hidden="false" customHeight="false" outlineLevel="0" collapsed="false">
      <c r="A7" s="11" t="s">
        <v>4247</v>
      </c>
      <c r="B7" s="11" t="s">
        <v>414</v>
      </c>
      <c r="C7" s="11" t="s">
        <v>4248</v>
      </c>
      <c r="D7" s="11" t="s">
        <v>4131</v>
      </c>
      <c r="E7" s="53" t="n">
        <v>30</v>
      </c>
      <c r="F7" s="11" t="s">
        <v>4237</v>
      </c>
      <c r="G7" s="11" t="s">
        <v>4241</v>
      </c>
      <c r="H7" s="56" t="n">
        <f aca="false">SUMIFS(AP_Bills!$H:$H,AP_Bills!$B:$B,$A7,AP_Bills!$J:$J,"&lt;&gt;Paid")</f>
        <v>22333.04</v>
      </c>
      <c r="I7" s="56" t="n">
        <f aca="false">SUMIFS(Committed_Purchases!$K:$K,Committed_Purchases!$B:$B,$A7)</f>
        <v>44266.11</v>
      </c>
    </row>
  </sheetData>
  <autoFilter ref="A1:I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L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26"/>
    <col collapsed="false" customWidth="true" hidden="false" outlineLevel="0" max="5" min="4" style="0" width="12"/>
    <col collapsed="false" customWidth="true" hidden="false" outlineLevel="0" max="6" min="6" style="0" width="15"/>
    <col collapsed="false" customWidth="true" hidden="false" outlineLevel="0" max="7" min="7" style="0" width="12"/>
    <col collapsed="false" customWidth="true" hidden="false" outlineLevel="0" max="8" min="8" style="0" width="17"/>
    <col collapsed="false" customWidth="true" hidden="false" outlineLevel="0" max="9" min="9" style="0" width="44"/>
    <col collapsed="false" customWidth="true" hidden="false" outlineLevel="0" max="11" min="10" style="0" width="12"/>
    <col collapsed="false" customWidth="true" hidden="false" outlineLevel="0" max="12" min="12" style="0" width="25"/>
  </cols>
  <sheetData>
    <row r="1" customFormat="false" ht="30" hidden="false" customHeight="true" outlineLevel="0" collapsed="false">
      <c r="A1" s="33" t="s">
        <v>4249</v>
      </c>
      <c r="B1" s="33" t="s">
        <v>4229</v>
      </c>
      <c r="C1" s="33" t="s">
        <v>4230</v>
      </c>
      <c r="D1" s="33" t="s">
        <v>4250</v>
      </c>
      <c r="E1" s="33" t="s">
        <v>258</v>
      </c>
      <c r="F1" s="33" t="s">
        <v>4146</v>
      </c>
      <c r="G1" s="33" t="s">
        <v>4147</v>
      </c>
      <c r="H1" s="33" t="s">
        <v>1362</v>
      </c>
      <c r="I1" s="33" t="s">
        <v>268</v>
      </c>
      <c r="J1" s="33" t="s">
        <v>196</v>
      </c>
      <c r="K1" s="33" t="s">
        <v>4148</v>
      </c>
      <c r="L1" s="33" t="s">
        <v>1372</v>
      </c>
    </row>
    <row r="2" customFormat="false" ht="15" hidden="false" customHeight="false" outlineLevel="0" collapsed="false">
      <c r="A2" s="11" t="s">
        <v>4251</v>
      </c>
      <c r="B2" s="11" t="s">
        <v>4243</v>
      </c>
      <c r="C2" s="11" t="s">
        <v>313</v>
      </c>
      <c r="D2" s="38" t="n">
        <v>45659</v>
      </c>
      <c r="E2" s="38" t="n">
        <v>45689</v>
      </c>
      <c r="F2" s="37" t="n">
        <v>3447.59</v>
      </c>
      <c r="G2" s="37" t="n">
        <v>689.52</v>
      </c>
      <c r="H2" s="37" t="n">
        <v>4137.11</v>
      </c>
      <c r="I2" s="11" t="s">
        <v>314</v>
      </c>
      <c r="J2" s="11" t="s">
        <v>4152</v>
      </c>
      <c r="K2" s="38" t="n">
        <v>45687</v>
      </c>
      <c r="L2" s="38"/>
    </row>
    <row r="3" customFormat="false" ht="15" hidden="false" customHeight="false" outlineLevel="0" collapsed="false">
      <c r="A3" s="11" t="s">
        <v>4252</v>
      </c>
      <c r="B3" s="11" t="s">
        <v>1253</v>
      </c>
      <c r="C3" s="11" t="s">
        <v>308</v>
      </c>
      <c r="D3" s="38" t="n">
        <v>45660</v>
      </c>
      <c r="E3" s="38" t="n">
        <v>45705</v>
      </c>
      <c r="F3" s="37" t="n">
        <v>23179.09</v>
      </c>
      <c r="G3" s="37" t="n">
        <v>4635.82</v>
      </c>
      <c r="H3" s="37" t="n">
        <v>27814.91</v>
      </c>
      <c r="I3" s="11" t="s">
        <v>310</v>
      </c>
      <c r="J3" s="11" t="s">
        <v>4152</v>
      </c>
      <c r="K3" s="38" t="n">
        <v>45701</v>
      </c>
      <c r="L3" s="38"/>
    </row>
    <row r="4" customFormat="false" ht="15" hidden="false" customHeight="false" outlineLevel="0" collapsed="false">
      <c r="A4" s="11" t="s">
        <v>4253</v>
      </c>
      <c r="B4" s="11" t="s">
        <v>1247</v>
      </c>
      <c r="C4" s="11" t="s">
        <v>420</v>
      </c>
      <c r="D4" s="38" t="n">
        <v>45663</v>
      </c>
      <c r="E4" s="38" t="n">
        <v>45693</v>
      </c>
      <c r="F4" s="37" t="n">
        <v>93820.49</v>
      </c>
      <c r="G4" s="37" t="n">
        <v>0</v>
      </c>
      <c r="H4" s="37" t="n">
        <v>93820.49</v>
      </c>
      <c r="I4" s="11" t="s">
        <v>4254</v>
      </c>
      <c r="J4" s="11" t="s">
        <v>4152</v>
      </c>
      <c r="K4" s="38" t="n">
        <v>45687</v>
      </c>
      <c r="L4" s="38"/>
    </row>
    <row r="5" customFormat="false" ht="15" hidden="false" customHeight="false" outlineLevel="0" collapsed="false">
      <c r="A5" s="11" t="s">
        <v>4255</v>
      </c>
      <c r="B5" s="11" t="s">
        <v>4243</v>
      </c>
      <c r="C5" s="11" t="s">
        <v>313</v>
      </c>
      <c r="D5" s="38" t="n">
        <v>45666</v>
      </c>
      <c r="E5" s="38" t="n">
        <v>45696</v>
      </c>
      <c r="F5" s="37" t="n">
        <v>3813.71</v>
      </c>
      <c r="G5" s="37" t="n">
        <v>762.74</v>
      </c>
      <c r="H5" s="37" t="n">
        <v>4576.45</v>
      </c>
      <c r="I5" s="11" t="s">
        <v>314</v>
      </c>
      <c r="J5" s="11" t="s">
        <v>4152</v>
      </c>
      <c r="K5" s="38" t="n">
        <v>45694</v>
      </c>
      <c r="L5" s="38"/>
    </row>
    <row r="6" customFormat="false" ht="15" hidden="false" customHeight="false" outlineLevel="0" collapsed="false">
      <c r="A6" s="11" t="s">
        <v>4256</v>
      </c>
      <c r="B6" s="11" t="s">
        <v>4242</v>
      </c>
      <c r="C6" s="11" t="s">
        <v>458</v>
      </c>
      <c r="D6" s="38" t="n">
        <v>45667</v>
      </c>
      <c r="E6" s="38" t="n">
        <v>45727</v>
      </c>
      <c r="F6" s="37" t="n">
        <v>23568.89</v>
      </c>
      <c r="G6" s="37" t="n">
        <v>4713.78</v>
      </c>
      <c r="H6" s="37" t="n">
        <v>28282.67</v>
      </c>
      <c r="I6" s="11" t="s">
        <v>459</v>
      </c>
      <c r="J6" s="11" t="s">
        <v>4152</v>
      </c>
      <c r="K6" s="38" t="n">
        <v>45722</v>
      </c>
      <c r="L6" s="38"/>
    </row>
    <row r="7" customFormat="false" ht="15" hidden="false" customHeight="false" outlineLevel="0" collapsed="false">
      <c r="A7" s="11" t="s">
        <v>4257</v>
      </c>
      <c r="B7" s="11" t="s">
        <v>4245</v>
      </c>
      <c r="C7" s="11" t="s">
        <v>464</v>
      </c>
      <c r="D7" s="38" t="n">
        <v>45670</v>
      </c>
      <c r="E7" s="38" t="n">
        <v>45700</v>
      </c>
      <c r="F7" s="37" t="n">
        <v>7798.64</v>
      </c>
      <c r="G7" s="37" t="n">
        <v>1559.73</v>
      </c>
      <c r="H7" s="37" t="n">
        <v>9358.37</v>
      </c>
      <c r="I7" s="11" t="s">
        <v>466</v>
      </c>
      <c r="J7" s="11" t="s">
        <v>4152</v>
      </c>
      <c r="K7" s="38" t="n">
        <v>45694</v>
      </c>
      <c r="L7" s="38"/>
    </row>
    <row r="8" customFormat="false" ht="15" hidden="false" customHeight="false" outlineLevel="0" collapsed="false">
      <c r="A8" s="11" t="s">
        <v>4258</v>
      </c>
      <c r="B8" s="11" t="s">
        <v>4243</v>
      </c>
      <c r="C8" s="11" t="s">
        <v>313</v>
      </c>
      <c r="D8" s="38" t="n">
        <v>45673</v>
      </c>
      <c r="E8" s="38" t="n">
        <v>45703</v>
      </c>
      <c r="F8" s="37" t="n">
        <v>3903.53</v>
      </c>
      <c r="G8" s="37" t="n">
        <v>780.71</v>
      </c>
      <c r="H8" s="37" t="n">
        <v>4684.24</v>
      </c>
      <c r="I8" s="11" t="s">
        <v>314</v>
      </c>
      <c r="J8" s="11" t="s">
        <v>4152</v>
      </c>
      <c r="K8" s="38" t="n">
        <v>45701</v>
      </c>
      <c r="L8" s="38"/>
    </row>
    <row r="9" customFormat="false" ht="15" hidden="false" customHeight="false" outlineLevel="0" collapsed="false">
      <c r="A9" s="11" t="s">
        <v>4259</v>
      </c>
      <c r="B9" s="11" t="s">
        <v>1253</v>
      </c>
      <c r="C9" s="11" t="s">
        <v>308</v>
      </c>
      <c r="D9" s="38" t="n">
        <v>45674</v>
      </c>
      <c r="E9" s="38" t="n">
        <v>45719</v>
      </c>
      <c r="F9" s="37" t="n">
        <v>21106.88</v>
      </c>
      <c r="G9" s="37" t="n">
        <v>4221.38</v>
      </c>
      <c r="H9" s="37" t="n">
        <v>25328.26</v>
      </c>
      <c r="I9" s="11" t="s">
        <v>411</v>
      </c>
      <c r="J9" s="11" t="s">
        <v>4152</v>
      </c>
      <c r="K9" s="38" t="n">
        <v>45715</v>
      </c>
      <c r="L9" s="38"/>
    </row>
    <row r="10" customFormat="false" ht="15" hidden="false" customHeight="false" outlineLevel="0" collapsed="false">
      <c r="A10" s="11" t="s">
        <v>4260</v>
      </c>
      <c r="B10" s="11" t="s">
        <v>4243</v>
      </c>
      <c r="C10" s="11" t="s">
        <v>313</v>
      </c>
      <c r="D10" s="38" t="n">
        <v>45680</v>
      </c>
      <c r="E10" s="38" t="n">
        <v>45710</v>
      </c>
      <c r="F10" s="37" t="n">
        <v>3891.52</v>
      </c>
      <c r="G10" s="37" t="n">
        <v>778.3</v>
      </c>
      <c r="H10" s="37" t="n">
        <v>4669.82</v>
      </c>
      <c r="I10" s="11" t="s">
        <v>314</v>
      </c>
      <c r="J10" s="11" t="s">
        <v>4152</v>
      </c>
      <c r="K10" s="38" t="n">
        <v>45708</v>
      </c>
      <c r="L10" s="38"/>
    </row>
    <row r="11" customFormat="false" ht="15" hidden="false" customHeight="false" outlineLevel="0" collapsed="false">
      <c r="A11" s="11" t="s">
        <v>4261</v>
      </c>
      <c r="B11" s="11" t="s">
        <v>4247</v>
      </c>
      <c r="C11" s="11" t="s">
        <v>414</v>
      </c>
      <c r="D11" s="38" t="n">
        <v>45688</v>
      </c>
      <c r="E11" s="38" t="n">
        <v>45718</v>
      </c>
      <c r="F11" s="37" t="n">
        <v>12328.88</v>
      </c>
      <c r="G11" s="37" t="n">
        <v>2465.78</v>
      </c>
      <c r="H11" s="37" t="n">
        <v>14794.66</v>
      </c>
      <c r="I11" s="11" t="s">
        <v>4262</v>
      </c>
      <c r="J11" s="11" t="s">
        <v>4152</v>
      </c>
      <c r="K11" s="38" t="n">
        <v>45715</v>
      </c>
      <c r="L11" s="38"/>
    </row>
    <row r="12" customFormat="false" ht="15" hidden="false" customHeight="false" outlineLevel="0" collapsed="false">
      <c r="A12" s="11" t="s">
        <v>4263</v>
      </c>
      <c r="B12" s="11" t="s">
        <v>1253</v>
      </c>
      <c r="C12" s="11" t="s">
        <v>308</v>
      </c>
      <c r="D12" s="38" t="n">
        <v>45691</v>
      </c>
      <c r="E12" s="38" t="n">
        <v>45736</v>
      </c>
      <c r="F12" s="37" t="n">
        <v>24727.53</v>
      </c>
      <c r="G12" s="37" t="n">
        <v>4945.51</v>
      </c>
      <c r="H12" s="37" t="n">
        <v>29673.04</v>
      </c>
      <c r="I12" s="11" t="s">
        <v>310</v>
      </c>
      <c r="J12" s="11" t="s">
        <v>4152</v>
      </c>
      <c r="K12" s="38" t="n">
        <v>45736</v>
      </c>
      <c r="L12" s="38"/>
    </row>
    <row r="13" customFormat="false" ht="15" hidden="false" customHeight="false" outlineLevel="0" collapsed="false">
      <c r="A13" s="11" t="s">
        <v>4264</v>
      </c>
      <c r="B13" s="11" t="s">
        <v>4243</v>
      </c>
      <c r="C13" s="11" t="s">
        <v>313</v>
      </c>
      <c r="D13" s="38" t="n">
        <v>45691</v>
      </c>
      <c r="E13" s="38" t="n">
        <v>45721</v>
      </c>
      <c r="F13" s="37" t="n">
        <v>3823.7</v>
      </c>
      <c r="G13" s="37" t="n">
        <v>764.74</v>
      </c>
      <c r="H13" s="37" t="n">
        <v>4588.44</v>
      </c>
      <c r="I13" s="11" t="s">
        <v>314</v>
      </c>
      <c r="J13" s="11" t="s">
        <v>4152</v>
      </c>
      <c r="K13" s="38" t="n">
        <v>45715</v>
      </c>
      <c r="L13" s="38"/>
    </row>
    <row r="14" customFormat="false" ht="15" hidden="false" customHeight="false" outlineLevel="0" collapsed="false">
      <c r="A14" s="11" t="s">
        <v>4265</v>
      </c>
      <c r="B14" s="11" t="s">
        <v>1247</v>
      </c>
      <c r="C14" s="11" t="s">
        <v>420</v>
      </c>
      <c r="D14" s="38" t="n">
        <v>45693</v>
      </c>
      <c r="E14" s="38" t="n">
        <v>45723</v>
      </c>
      <c r="F14" s="37" t="n">
        <v>107216.95</v>
      </c>
      <c r="G14" s="37" t="n">
        <v>0</v>
      </c>
      <c r="H14" s="37" t="n">
        <v>107216.95</v>
      </c>
      <c r="I14" s="11" t="s">
        <v>4266</v>
      </c>
      <c r="J14" s="11" t="s">
        <v>4152</v>
      </c>
      <c r="K14" s="38" t="n">
        <v>45722</v>
      </c>
      <c r="L14" s="38"/>
    </row>
    <row r="15" customFormat="false" ht="15" hidden="false" customHeight="false" outlineLevel="0" collapsed="false">
      <c r="A15" s="11" t="s">
        <v>1542</v>
      </c>
      <c r="B15" s="11" t="s">
        <v>4242</v>
      </c>
      <c r="C15" s="11" t="s">
        <v>458</v>
      </c>
      <c r="D15" s="38" t="n">
        <v>45698</v>
      </c>
      <c r="E15" s="38" t="n">
        <v>45758</v>
      </c>
      <c r="F15" s="37" t="n">
        <v>26458.18</v>
      </c>
      <c r="G15" s="37" t="n">
        <v>5291.64</v>
      </c>
      <c r="H15" s="37" t="n">
        <v>31749.82</v>
      </c>
      <c r="I15" s="11" t="s">
        <v>459</v>
      </c>
      <c r="J15" s="11" t="s">
        <v>4152</v>
      </c>
      <c r="K15" s="38" t="n">
        <v>45757</v>
      </c>
      <c r="L15" s="38"/>
    </row>
    <row r="16" customFormat="false" ht="15" hidden="false" customHeight="false" outlineLevel="0" collapsed="false">
      <c r="A16" s="11" t="s">
        <v>4267</v>
      </c>
      <c r="B16" s="11" t="s">
        <v>4243</v>
      </c>
      <c r="C16" s="11" t="s">
        <v>313</v>
      </c>
      <c r="D16" s="38" t="n">
        <v>45698</v>
      </c>
      <c r="E16" s="38" t="n">
        <v>45728</v>
      </c>
      <c r="F16" s="37" t="n">
        <v>3949.49</v>
      </c>
      <c r="G16" s="37" t="n">
        <v>789.9</v>
      </c>
      <c r="H16" s="37" t="n">
        <v>4739.39</v>
      </c>
      <c r="I16" s="11" t="s">
        <v>314</v>
      </c>
      <c r="J16" s="11" t="s">
        <v>4152</v>
      </c>
      <c r="K16" s="38" t="n">
        <v>45722</v>
      </c>
      <c r="L16" s="38"/>
    </row>
    <row r="17" customFormat="false" ht="15" hidden="false" customHeight="false" outlineLevel="0" collapsed="false">
      <c r="A17" s="11" t="s">
        <v>4268</v>
      </c>
      <c r="B17" s="11" t="s">
        <v>4245</v>
      </c>
      <c r="C17" s="11" t="s">
        <v>464</v>
      </c>
      <c r="D17" s="38" t="n">
        <v>45700</v>
      </c>
      <c r="E17" s="38" t="n">
        <v>45730</v>
      </c>
      <c r="F17" s="37" t="n">
        <v>10381.18</v>
      </c>
      <c r="G17" s="37" t="n">
        <v>2076.24</v>
      </c>
      <c r="H17" s="37" t="n">
        <v>12457.42</v>
      </c>
      <c r="I17" s="11" t="s">
        <v>466</v>
      </c>
      <c r="J17" s="11" t="s">
        <v>4152</v>
      </c>
      <c r="K17" s="38" t="n">
        <v>45729</v>
      </c>
      <c r="L17" s="38"/>
    </row>
    <row r="18" customFormat="false" ht="15" hidden="false" customHeight="false" outlineLevel="0" collapsed="false">
      <c r="A18" s="11" t="s">
        <v>1513</v>
      </c>
      <c r="B18" s="11" t="s">
        <v>1253</v>
      </c>
      <c r="C18" s="11" t="s">
        <v>308</v>
      </c>
      <c r="D18" s="38" t="n">
        <v>45705</v>
      </c>
      <c r="E18" s="38" t="n">
        <v>45750</v>
      </c>
      <c r="F18" s="37" t="n">
        <v>26053.72</v>
      </c>
      <c r="G18" s="37" t="n">
        <v>5210.74</v>
      </c>
      <c r="H18" s="37" t="n">
        <v>31264.46</v>
      </c>
      <c r="I18" s="11" t="s">
        <v>411</v>
      </c>
      <c r="J18" s="11" t="s">
        <v>4152</v>
      </c>
      <c r="K18" s="38" t="n">
        <v>45750</v>
      </c>
      <c r="L18" s="38"/>
    </row>
    <row r="19" customFormat="false" ht="15" hidden="false" customHeight="false" outlineLevel="0" collapsed="false">
      <c r="A19" s="11" t="s">
        <v>4269</v>
      </c>
      <c r="B19" s="11" t="s">
        <v>4243</v>
      </c>
      <c r="C19" s="11" t="s">
        <v>313</v>
      </c>
      <c r="D19" s="38" t="n">
        <v>45705</v>
      </c>
      <c r="E19" s="38" t="n">
        <v>45735</v>
      </c>
      <c r="F19" s="37" t="n">
        <v>4287.62</v>
      </c>
      <c r="G19" s="37" t="n">
        <v>857.52</v>
      </c>
      <c r="H19" s="37" t="n">
        <v>5145.14</v>
      </c>
      <c r="I19" s="11" t="s">
        <v>314</v>
      </c>
      <c r="J19" s="11" t="s">
        <v>4152</v>
      </c>
      <c r="K19" s="38" t="n">
        <v>45729</v>
      </c>
      <c r="L19" s="38"/>
    </row>
    <row r="20" customFormat="false" ht="15" hidden="false" customHeight="false" outlineLevel="0" collapsed="false">
      <c r="A20" s="11" t="s">
        <v>4270</v>
      </c>
      <c r="B20" s="11" t="s">
        <v>4243</v>
      </c>
      <c r="C20" s="11" t="s">
        <v>313</v>
      </c>
      <c r="D20" s="38" t="n">
        <v>45712</v>
      </c>
      <c r="E20" s="38" t="n">
        <v>45742</v>
      </c>
      <c r="F20" s="37" t="n">
        <v>3769.18</v>
      </c>
      <c r="G20" s="37" t="n">
        <v>753.84</v>
      </c>
      <c r="H20" s="37" t="n">
        <v>4523.02</v>
      </c>
      <c r="I20" s="11" t="s">
        <v>314</v>
      </c>
      <c r="J20" s="11" t="s">
        <v>4152</v>
      </c>
      <c r="K20" s="38" t="n">
        <v>45736</v>
      </c>
      <c r="L20" s="38"/>
    </row>
    <row r="21" customFormat="false" ht="15" hidden="false" customHeight="false" outlineLevel="0" collapsed="false">
      <c r="A21" s="11" t="s">
        <v>4271</v>
      </c>
      <c r="B21" s="11" t="s">
        <v>4247</v>
      </c>
      <c r="C21" s="11" t="s">
        <v>414</v>
      </c>
      <c r="D21" s="38" t="n">
        <v>45716</v>
      </c>
      <c r="E21" s="38" t="n">
        <v>45746</v>
      </c>
      <c r="F21" s="37" t="n">
        <v>13106.11</v>
      </c>
      <c r="G21" s="37" t="n">
        <v>2621.22</v>
      </c>
      <c r="H21" s="37" t="n">
        <v>15727.33</v>
      </c>
      <c r="I21" s="11" t="s">
        <v>4272</v>
      </c>
      <c r="J21" s="11" t="s">
        <v>4152</v>
      </c>
      <c r="K21" s="38" t="n">
        <v>45743</v>
      </c>
      <c r="L21" s="38"/>
    </row>
    <row r="22" customFormat="false" ht="15" hidden="false" customHeight="false" outlineLevel="0" collapsed="false">
      <c r="A22" s="11" t="s">
        <v>1573</v>
      </c>
      <c r="B22" s="11" t="s">
        <v>1253</v>
      </c>
      <c r="C22" s="11" t="s">
        <v>308</v>
      </c>
      <c r="D22" s="38" t="n">
        <v>45719</v>
      </c>
      <c r="E22" s="38" t="n">
        <v>45764</v>
      </c>
      <c r="F22" s="37" t="n">
        <v>26222.86</v>
      </c>
      <c r="G22" s="37" t="n">
        <v>5244.57</v>
      </c>
      <c r="H22" s="37" t="n">
        <v>31467.43</v>
      </c>
      <c r="I22" s="11" t="s">
        <v>310</v>
      </c>
      <c r="J22" s="11" t="s">
        <v>4152</v>
      </c>
      <c r="K22" s="38" t="n">
        <v>45764</v>
      </c>
      <c r="L22" s="38"/>
    </row>
    <row r="23" customFormat="false" ht="15" hidden="false" customHeight="false" outlineLevel="0" collapsed="false">
      <c r="A23" s="11" t="s">
        <v>4273</v>
      </c>
      <c r="B23" s="11" t="s">
        <v>4243</v>
      </c>
      <c r="C23" s="11" t="s">
        <v>313</v>
      </c>
      <c r="D23" s="38" t="n">
        <v>45719</v>
      </c>
      <c r="E23" s="38" t="n">
        <v>45749</v>
      </c>
      <c r="F23" s="37" t="n">
        <v>3851.25</v>
      </c>
      <c r="G23" s="37" t="n">
        <v>770.25</v>
      </c>
      <c r="H23" s="37" t="n">
        <v>4621.5</v>
      </c>
      <c r="I23" s="11" t="s">
        <v>314</v>
      </c>
      <c r="J23" s="11" t="s">
        <v>4152</v>
      </c>
      <c r="K23" s="38" t="n">
        <v>45743</v>
      </c>
      <c r="L23" s="38"/>
    </row>
    <row r="24" customFormat="false" ht="15" hidden="false" customHeight="false" outlineLevel="0" collapsed="false">
      <c r="A24" s="11" t="s">
        <v>1517</v>
      </c>
      <c r="B24" s="11" t="s">
        <v>1247</v>
      </c>
      <c r="C24" s="11" t="s">
        <v>420</v>
      </c>
      <c r="D24" s="38" t="n">
        <v>45721</v>
      </c>
      <c r="E24" s="38" t="n">
        <v>45751</v>
      </c>
      <c r="F24" s="37" t="n">
        <v>114177.68</v>
      </c>
      <c r="G24" s="37" t="n">
        <v>0</v>
      </c>
      <c r="H24" s="37" t="n">
        <v>114177.68</v>
      </c>
      <c r="I24" s="11" t="s">
        <v>4274</v>
      </c>
      <c r="J24" s="11" t="s">
        <v>4152</v>
      </c>
      <c r="K24" s="38" t="n">
        <v>45750</v>
      </c>
      <c r="L24" s="38"/>
    </row>
    <row r="25" customFormat="false" ht="15" hidden="false" customHeight="false" outlineLevel="0" collapsed="false">
      <c r="A25" s="11" t="s">
        <v>1668</v>
      </c>
      <c r="B25" s="11" t="s">
        <v>4242</v>
      </c>
      <c r="C25" s="11" t="s">
        <v>458</v>
      </c>
      <c r="D25" s="38" t="n">
        <v>45726</v>
      </c>
      <c r="E25" s="38" t="n">
        <v>45786</v>
      </c>
      <c r="F25" s="37" t="n">
        <v>27688.85</v>
      </c>
      <c r="G25" s="37" t="n">
        <v>5537.77</v>
      </c>
      <c r="H25" s="37" t="n">
        <v>33226.62</v>
      </c>
      <c r="I25" s="11" t="s">
        <v>459</v>
      </c>
      <c r="J25" s="11" t="s">
        <v>4152</v>
      </c>
      <c r="K25" s="38" t="n">
        <v>45784</v>
      </c>
      <c r="L25" s="38"/>
    </row>
    <row r="26" customFormat="false" ht="15" hidden="false" customHeight="false" outlineLevel="0" collapsed="false">
      <c r="A26" s="11" t="s">
        <v>1511</v>
      </c>
      <c r="B26" s="11" t="s">
        <v>4243</v>
      </c>
      <c r="C26" s="11" t="s">
        <v>313</v>
      </c>
      <c r="D26" s="38" t="n">
        <v>45726</v>
      </c>
      <c r="E26" s="38" t="n">
        <v>45756</v>
      </c>
      <c r="F26" s="37" t="n">
        <v>4341.83</v>
      </c>
      <c r="G26" s="37" t="n">
        <v>868.37</v>
      </c>
      <c r="H26" s="37" t="n">
        <v>5210.2</v>
      </c>
      <c r="I26" s="11" t="s">
        <v>314</v>
      </c>
      <c r="J26" s="11" t="s">
        <v>4152</v>
      </c>
      <c r="K26" s="38" t="n">
        <v>45750</v>
      </c>
      <c r="L26" s="38"/>
    </row>
    <row r="27" customFormat="false" ht="15" hidden="false" customHeight="false" outlineLevel="0" collapsed="false">
      <c r="A27" s="11" t="s">
        <v>1547</v>
      </c>
      <c r="B27" s="11" t="s">
        <v>4245</v>
      </c>
      <c r="C27" s="11" t="s">
        <v>464</v>
      </c>
      <c r="D27" s="38" t="n">
        <v>45728</v>
      </c>
      <c r="E27" s="38" t="n">
        <v>45758</v>
      </c>
      <c r="F27" s="37" t="n">
        <v>9443.17</v>
      </c>
      <c r="G27" s="37" t="n">
        <v>1888.63</v>
      </c>
      <c r="H27" s="37" t="n">
        <v>11331.8</v>
      </c>
      <c r="I27" s="11" t="s">
        <v>466</v>
      </c>
      <c r="J27" s="11" t="s">
        <v>4152</v>
      </c>
      <c r="K27" s="38" t="n">
        <v>45757</v>
      </c>
      <c r="L27" s="38"/>
    </row>
    <row r="28" customFormat="false" ht="15" hidden="false" customHeight="false" outlineLevel="0" collapsed="false">
      <c r="A28" s="11" t="s">
        <v>1639</v>
      </c>
      <c r="B28" s="11" t="s">
        <v>1253</v>
      </c>
      <c r="C28" s="11" t="s">
        <v>308</v>
      </c>
      <c r="D28" s="38" t="n">
        <v>45733</v>
      </c>
      <c r="E28" s="38" t="n">
        <v>45778</v>
      </c>
      <c r="F28" s="37" t="n">
        <v>27360.13</v>
      </c>
      <c r="G28" s="37" t="n">
        <v>5472.03</v>
      </c>
      <c r="H28" s="37" t="n">
        <v>32832.16</v>
      </c>
      <c r="I28" s="11" t="s">
        <v>411</v>
      </c>
      <c r="J28" s="11" t="s">
        <v>4152</v>
      </c>
      <c r="K28" s="38" t="n">
        <v>45777</v>
      </c>
      <c r="L28" s="38"/>
    </row>
    <row r="29" customFormat="false" ht="15" hidden="false" customHeight="false" outlineLevel="0" collapsed="false">
      <c r="A29" s="11" t="s">
        <v>1545</v>
      </c>
      <c r="B29" s="11" t="s">
        <v>4243</v>
      </c>
      <c r="C29" s="11" t="s">
        <v>313</v>
      </c>
      <c r="D29" s="38" t="n">
        <v>45733</v>
      </c>
      <c r="E29" s="38" t="n">
        <v>45763</v>
      </c>
      <c r="F29" s="37" t="n">
        <v>3702.21</v>
      </c>
      <c r="G29" s="37" t="n">
        <v>740.44</v>
      </c>
      <c r="H29" s="37" t="n">
        <v>4442.65</v>
      </c>
      <c r="I29" s="11" t="s">
        <v>314</v>
      </c>
      <c r="J29" s="11" t="s">
        <v>4152</v>
      </c>
      <c r="K29" s="38" t="n">
        <v>45757</v>
      </c>
      <c r="L29" s="38"/>
    </row>
    <row r="30" customFormat="false" ht="15" hidden="false" customHeight="false" outlineLevel="0" collapsed="false">
      <c r="A30" s="11" t="s">
        <v>1579</v>
      </c>
      <c r="B30" s="11" t="s">
        <v>4243</v>
      </c>
      <c r="C30" s="11" t="s">
        <v>313</v>
      </c>
      <c r="D30" s="38" t="n">
        <v>45740</v>
      </c>
      <c r="E30" s="38" t="n">
        <v>45770</v>
      </c>
      <c r="F30" s="37" t="n">
        <v>4222.6</v>
      </c>
      <c r="G30" s="37" t="n">
        <v>844.52</v>
      </c>
      <c r="H30" s="37" t="n">
        <v>5067.12</v>
      </c>
      <c r="I30" s="11" t="s">
        <v>314</v>
      </c>
      <c r="J30" s="11" t="s">
        <v>4152</v>
      </c>
      <c r="K30" s="38" t="n">
        <v>45764</v>
      </c>
      <c r="L30" s="38"/>
    </row>
    <row r="31" customFormat="false" ht="15" hidden="false" customHeight="false" outlineLevel="0" collapsed="false">
      <c r="A31" s="11" t="s">
        <v>1606</v>
      </c>
      <c r="B31" s="11" t="s">
        <v>4247</v>
      </c>
      <c r="C31" s="11" t="s">
        <v>414</v>
      </c>
      <c r="D31" s="38" t="n">
        <v>45747</v>
      </c>
      <c r="E31" s="38" t="n">
        <v>45777</v>
      </c>
      <c r="F31" s="37" t="n">
        <v>15416.71</v>
      </c>
      <c r="G31" s="37" t="n">
        <v>3083.34</v>
      </c>
      <c r="H31" s="37" t="n">
        <v>18500.05</v>
      </c>
      <c r="I31" s="11" t="s">
        <v>4275</v>
      </c>
      <c r="J31" s="11" t="s">
        <v>4152</v>
      </c>
      <c r="K31" s="38" t="n">
        <v>45771</v>
      </c>
      <c r="L31" s="38"/>
    </row>
    <row r="32" customFormat="false" ht="15" hidden="false" customHeight="false" outlineLevel="0" collapsed="false">
      <c r="A32" s="11" t="s">
        <v>1637</v>
      </c>
      <c r="B32" s="11" t="s">
        <v>4243</v>
      </c>
      <c r="C32" s="11" t="s">
        <v>313</v>
      </c>
      <c r="D32" s="38" t="n">
        <v>45749</v>
      </c>
      <c r="E32" s="38" t="n">
        <v>45779</v>
      </c>
      <c r="F32" s="37" t="n">
        <v>4177.3</v>
      </c>
      <c r="G32" s="37" t="n">
        <v>835.46</v>
      </c>
      <c r="H32" s="37" t="n">
        <v>5012.76</v>
      </c>
      <c r="I32" s="11" t="s">
        <v>314</v>
      </c>
      <c r="J32" s="11" t="s">
        <v>4152</v>
      </c>
      <c r="K32" s="38" t="n">
        <v>45777</v>
      </c>
      <c r="L32" s="38"/>
    </row>
    <row r="33" customFormat="false" ht="15" hidden="false" customHeight="false" outlineLevel="0" collapsed="false">
      <c r="A33" s="11" t="s">
        <v>1695</v>
      </c>
      <c r="B33" s="11" t="s">
        <v>1253</v>
      </c>
      <c r="C33" s="11" t="s">
        <v>308</v>
      </c>
      <c r="D33" s="38" t="n">
        <v>45750</v>
      </c>
      <c r="E33" s="38" t="n">
        <v>45795</v>
      </c>
      <c r="F33" s="37" t="n">
        <v>27202.84</v>
      </c>
      <c r="G33" s="37" t="n">
        <v>5440.57</v>
      </c>
      <c r="H33" s="37" t="n">
        <v>32643.41</v>
      </c>
      <c r="I33" s="11" t="s">
        <v>310</v>
      </c>
      <c r="J33" s="11" t="s">
        <v>4152</v>
      </c>
      <c r="K33" s="38" t="n">
        <v>45792</v>
      </c>
      <c r="L33" s="38"/>
    </row>
    <row r="34" customFormat="false" ht="15" hidden="false" customHeight="false" outlineLevel="0" collapsed="false">
      <c r="A34" s="11" t="s">
        <v>1641</v>
      </c>
      <c r="B34" s="11" t="s">
        <v>1247</v>
      </c>
      <c r="C34" s="11" t="s">
        <v>420</v>
      </c>
      <c r="D34" s="38" t="n">
        <v>45754</v>
      </c>
      <c r="E34" s="38" t="n">
        <v>45784</v>
      </c>
      <c r="F34" s="37" t="n">
        <v>104352.71</v>
      </c>
      <c r="G34" s="37" t="n">
        <v>0</v>
      </c>
      <c r="H34" s="37" t="n">
        <v>104352.71</v>
      </c>
      <c r="I34" s="11" t="s">
        <v>4276</v>
      </c>
      <c r="J34" s="11" t="s">
        <v>4152</v>
      </c>
      <c r="K34" s="38" t="n">
        <v>45777</v>
      </c>
      <c r="L34" s="38"/>
    </row>
    <row r="35" customFormat="false" ht="15" hidden="false" customHeight="false" outlineLevel="0" collapsed="false">
      <c r="A35" s="11" t="s">
        <v>1672</v>
      </c>
      <c r="B35" s="11" t="s">
        <v>4243</v>
      </c>
      <c r="C35" s="11" t="s">
        <v>313</v>
      </c>
      <c r="D35" s="38" t="n">
        <v>45756</v>
      </c>
      <c r="E35" s="38" t="n">
        <v>45786</v>
      </c>
      <c r="F35" s="37" t="n">
        <v>3795.53</v>
      </c>
      <c r="G35" s="37" t="n">
        <v>759.11</v>
      </c>
      <c r="H35" s="37" t="n">
        <v>4554.64</v>
      </c>
      <c r="I35" s="11" t="s">
        <v>314</v>
      </c>
      <c r="J35" s="11" t="s">
        <v>4152</v>
      </c>
      <c r="K35" s="38" t="n">
        <v>45784</v>
      </c>
      <c r="L35" s="38"/>
    </row>
    <row r="36" customFormat="false" ht="15" hidden="false" customHeight="false" outlineLevel="0" collapsed="false">
      <c r="A36" s="11" t="s">
        <v>1811</v>
      </c>
      <c r="B36" s="11" t="s">
        <v>4242</v>
      </c>
      <c r="C36" s="11" t="s">
        <v>458</v>
      </c>
      <c r="D36" s="38" t="n">
        <v>45757</v>
      </c>
      <c r="E36" s="38" t="n">
        <v>45817</v>
      </c>
      <c r="F36" s="37" t="n">
        <v>25150.18</v>
      </c>
      <c r="G36" s="37" t="n">
        <v>5030.04</v>
      </c>
      <c r="H36" s="37" t="n">
        <v>30180.22</v>
      </c>
      <c r="I36" s="11" t="s">
        <v>459</v>
      </c>
      <c r="J36" s="11" t="s">
        <v>4152</v>
      </c>
      <c r="K36" s="38" t="n">
        <v>45813</v>
      </c>
      <c r="L36" s="38"/>
    </row>
    <row r="37" customFormat="false" ht="15" hidden="false" customHeight="false" outlineLevel="0" collapsed="false">
      <c r="A37" s="11" t="s">
        <v>1670</v>
      </c>
      <c r="B37" s="11" t="s">
        <v>4245</v>
      </c>
      <c r="C37" s="11" t="s">
        <v>464</v>
      </c>
      <c r="D37" s="38" t="n">
        <v>45761</v>
      </c>
      <c r="E37" s="38" t="n">
        <v>45791</v>
      </c>
      <c r="F37" s="37" t="n">
        <v>9953.15</v>
      </c>
      <c r="G37" s="37" t="n">
        <v>1990.63</v>
      </c>
      <c r="H37" s="37" t="n">
        <v>11943.78</v>
      </c>
      <c r="I37" s="11" t="s">
        <v>466</v>
      </c>
      <c r="J37" s="11" t="s">
        <v>4152</v>
      </c>
      <c r="K37" s="38" t="n">
        <v>45784</v>
      </c>
      <c r="L37" s="38"/>
    </row>
    <row r="38" customFormat="false" ht="15" hidden="false" customHeight="false" outlineLevel="0" collapsed="false">
      <c r="A38" s="11" t="s">
        <v>1702</v>
      </c>
      <c r="B38" s="11" t="s">
        <v>4243</v>
      </c>
      <c r="C38" s="11" t="s">
        <v>313</v>
      </c>
      <c r="D38" s="38" t="n">
        <v>45763</v>
      </c>
      <c r="E38" s="38" t="n">
        <v>45793</v>
      </c>
      <c r="F38" s="37" t="n">
        <v>3845.83</v>
      </c>
      <c r="G38" s="37" t="n">
        <v>769.17</v>
      </c>
      <c r="H38" s="37" t="n">
        <v>4615</v>
      </c>
      <c r="I38" s="11" t="s">
        <v>314</v>
      </c>
      <c r="J38" s="11" t="s">
        <v>4152</v>
      </c>
      <c r="K38" s="38" t="n">
        <v>45792</v>
      </c>
      <c r="L38" s="38"/>
    </row>
    <row r="39" customFormat="false" ht="15" hidden="false" customHeight="false" outlineLevel="0" collapsed="false">
      <c r="A39" s="11" t="s">
        <v>1759</v>
      </c>
      <c r="B39" s="11" t="s">
        <v>1253</v>
      </c>
      <c r="C39" s="11" t="s">
        <v>308</v>
      </c>
      <c r="D39" s="38" t="n">
        <v>45764</v>
      </c>
      <c r="E39" s="38" t="n">
        <v>45809</v>
      </c>
      <c r="F39" s="37" t="n">
        <v>25258.98</v>
      </c>
      <c r="G39" s="37" t="n">
        <v>5051.8</v>
      </c>
      <c r="H39" s="37" t="n">
        <v>30310.78</v>
      </c>
      <c r="I39" s="11" t="s">
        <v>411</v>
      </c>
      <c r="J39" s="11" t="s">
        <v>4152</v>
      </c>
      <c r="K39" s="38" t="n">
        <v>45805</v>
      </c>
      <c r="L39" s="38"/>
    </row>
    <row r="40" customFormat="false" ht="15" hidden="false" customHeight="false" outlineLevel="0" collapsed="false">
      <c r="A40" s="11" t="s">
        <v>1735</v>
      </c>
      <c r="B40" s="11" t="s">
        <v>4243</v>
      </c>
      <c r="C40" s="11" t="s">
        <v>313</v>
      </c>
      <c r="D40" s="38" t="n">
        <v>45770</v>
      </c>
      <c r="E40" s="38" t="n">
        <v>45800</v>
      </c>
      <c r="F40" s="37" t="n">
        <v>4044.37</v>
      </c>
      <c r="G40" s="37" t="n">
        <v>808.87</v>
      </c>
      <c r="H40" s="37" t="n">
        <v>4853.24</v>
      </c>
      <c r="I40" s="11" t="s">
        <v>314</v>
      </c>
      <c r="J40" s="11" t="s">
        <v>4152</v>
      </c>
      <c r="K40" s="38" t="n">
        <v>45799</v>
      </c>
      <c r="L40" s="38"/>
    </row>
    <row r="41" customFormat="false" ht="15" hidden="false" customHeight="false" outlineLevel="0" collapsed="false">
      <c r="A41" s="11" t="s">
        <v>1765</v>
      </c>
      <c r="B41" s="11" t="s">
        <v>4247</v>
      </c>
      <c r="C41" s="11" t="s">
        <v>414</v>
      </c>
      <c r="D41" s="38" t="n">
        <v>45777</v>
      </c>
      <c r="E41" s="38" t="n">
        <v>45807</v>
      </c>
      <c r="F41" s="37" t="n">
        <v>14549.06</v>
      </c>
      <c r="G41" s="37" t="n">
        <v>2909.81</v>
      </c>
      <c r="H41" s="37" t="n">
        <v>17458.87</v>
      </c>
      <c r="I41" s="11" t="s">
        <v>4277</v>
      </c>
      <c r="J41" s="11" t="s">
        <v>4152</v>
      </c>
      <c r="K41" s="38" t="n">
        <v>45805</v>
      </c>
      <c r="L41" s="38"/>
    </row>
    <row r="42" customFormat="false" ht="15" hidden="false" customHeight="false" outlineLevel="0" collapsed="false">
      <c r="A42" s="11" t="s">
        <v>1763</v>
      </c>
      <c r="B42" s="11" t="s">
        <v>4243</v>
      </c>
      <c r="C42" s="11" t="s">
        <v>313</v>
      </c>
      <c r="D42" s="38" t="n">
        <v>45779</v>
      </c>
      <c r="E42" s="38" t="n">
        <v>45809</v>
      </c>
      <c r="F42" s="37" t="n">
        <v>4415.95</v>
      </c>
      <c r="G42" s="37" t="n">
        <v>883.19</v>
      </c>
      <c r="H42" s="37" t="n">
        <v>5299.14</v>
      </c>
      <c r="I42" s="11" t="s">
        <v>314</v>
      </c>
      <c r="J42" s="11" t="s">
        <v>4152</v>
      </c>
      <c r="K42" s="38" t="n">
        <v>45805</v>
      </c>
      <c r="L42" s="38"/>
    </row>
    <row r="43" customFormat="false" ht="15" hidden="false" customHeight="false" outlineLevel="0" collapsed="false">
      <c r="A43" s="11" t="s">
        <v>1761</v>
      </c>
      <c r="B43" s="11" t="s">
        <v>1247</v>
      </c>
      <c r="C43" s="11" t="s">
        <v>420</v>
      </c>
      <c r="D43" s="38" t="n">
        <v>45782</v>
      </c>
      <c r="E43" s="38" t="n">
        <v>45812</v>
      </c>
      <c r="F43" s="37" t="n">
        <v>102403.48</v>
      </c>
      <c r="G43" s="37" t="n">
        <v>0</v>
      </c>
      <c r="H43" s="37" t="n">
        <v>102403.48</v>
      </c>
      <c r="I43" s="11" t="s">
        <v>4278</v>
      </c>
      <c r="J43" s="11" t="s">
        <v>4152</v>
      </c>
      <c r="K43" s="38" t="n">
        <v>45805</v>
      </c>
      <c r="L43" s="38"/>
    </row>
    <row r="44" customFormat="false" ht="15" hidden="false" customHeight="false" outlineLevel="0" collapsed="false">
      <c r="A44" s="11" t="s">
        <v>1874</v>
      </c>
      <c r="B44" s="11" t="s">
        <v>1253</v>
      </c>
      <c r="C44" s="11" t="s">
        <v>308</v>
      </c>
      <c r="D44" s="38" t="n">
        <v>45782</v>
      </c>
      <c r="E44" s="38" t="n">
        <v>45827</v>
      </c>
      <c r="F44" s="37" t="n">
        <v>29492.88</v>
      </c>
      <c r="G44" s="37" t="n">
        <v>5898.58</v>
      </c>
      <c r="H44" s="37" t="n">
        <v>35391.46</v>
      </c>
      <c r="I44" s="11" t="s">
        <v>310</v>
      </c>
      <c r="J44" s="11" t="s">
        <v>4152</v>
      </c>
      <c r="K44" s="38" t="n">
        <v>45827</v>
      </c>
      <c r="L44" s="38"/>
    </row>
    <row r="45" customFormat="false" ht="15" hidden="false" customHeight="false" outlineLevel="0" collapsed="false">
      <c r="A45" s="11" t="s">
        <v>1814</v>
      </c>
      <c r="B45" s="11" t="s">
        <v>4243</v>
      </c>
      <c r="C45" s="11" t="s">
        <v>313</v>
      </c>
      <c r="D45" s="38" t="n">
        <v>45786</v>
      </c>
      <c r="E45" s="38" t="n">
        <v>45816</v>
      </c>
      <c r="F45" s="37" t="n">
        <v>4434.26</v>
      </c>
      <c r="G45" s="37" t="n">
        <v>886.85</v>
      </c>
      <c r="H45" s="37" t="n">
        <v>5321.11</v>
      </c>
      <c r="I45" s="11" t="s">
        <v>314</v>
      </c>
      <c r="J45" s="11" t="s">
        <v>4152</v>
      </c>
      <c r="K45" s="38" t="n">
        <v>45813</v>
      </c>
      <c r="L45" s="38"/>
    </row>
    <row r="46" customFormat="false" ht="15" hidden="false" customHeight="false" outlineLevel="0" collapsed="false">
      <c r="A46" s="11" t="s">
        <v>1971</v>
      </c>
      <c r="B46" s="11" t="s">
        <v>4242</v>
      </c>
      <c r="C46" s="11" t="s">
        <v>458</v>
      </c>
      <c r="D46" s="38" t="n">
        <v>45789</v>
      </c>
      <c r="E46" s="38" t="n">
        <v>45849</v>
      </c>
      <c r="F46" s="37" t="n">
        <v>25304.17</v>
      </c>
      <c r="G46" s="37" t="n">
        <v>5060.83</v>
      </c>
      <c r="H46" s="37" t="n">
        <v>30365</v>
      </c>
      <c r="I46" s="11" t="s">
        <v>459</v>
      </c>
      <c r="J46" s="11" t="s">
        <v>4152</v>
      </c>
      <c r="K46" s="38" t="n">
        <v>45848</v>
      </c>
      <c r="L46" s="38"/>
    </row>
    <row r="47" customFormat="false" ht="15" hidden="false" customHeight="false" outlineLevel="0" collapsed="false">
      <c r="A47" s="11" t="s">
        <v>1816</v>
      </c>
      <c r="B47" s="11" t="s">
        <v>4245</v>
      </c>
      <c r="C47" s="11" t="s">
        <v>464</v>
      </c>
      <c r="D47" s="38" t="n">
        <v>45789</v>
      </c>
      <c r="E47" s="38" t="n">
        <v>45819</v>
      </c>
      <c r="F47" s="37" t="n">
        <v>9806.4</v>
      </c>
      <c r="G47" s="37" t="n">
        <v>1961.28</v>
      </c>
      <c r="H47" s="37" t="n">
        <v>11767.68</v>
      </c>
      <c r="I47" s="11" t="s">
        <v>466</v>
      </c>
      <c r="J47" s="11" t="s">
        <v>4152</v>
      </c>
      <c r="K47" s="38" t="n">
        <v>45813</v>
      </c>
      <c r="L47" s="38"/>
    </row>
    <row r="48" customFormat="false" ht="15" hidden="false" customHeight="false" outlineLevel="0" collapsed="false">
      <c r="A48" s="11" t="s">
        <v>1837</v>
      </c>
      <c r="B48" s="11" t="s">
        <v>4243</v>
      </c>
      <c r="C48" s="11" t="s">
        <v>313</v>
      </c>
      <c r="D48" s="38" t="n">
        <v>45793</v>
      </c>
      <c r="E48" s="38" t="n">
        <v>45823</v>
      </c>
      <c r="F48" s="37" t="n">
        <v>3829.13</v>
      </c>
      <c r="G48" s="37" t="n">
        <v>765.83</v>
      </c>
      <c r="H48" s="37" t="n">
        <v>4594.96</v>
      </c>
      <c r="I48" s="11" t="s">
        <v>314</v>
      </c>
      <c r="J48" s="11" t="s">
        <v>4152</v>
      </c>
      <c r="K48" s="38" t="n">
        <v>45820</v>
      </c>
      <c r="L48" s="38"/>
    </row>
    <row r="49" customFormat="false" ht="15" hidden="false" customHeight="false" outlineLevel="0" collapsed="false">
      <c r="A49" s="11" t="s">
        <v>1927</v>
      </c>
      <c r="B49" s="11" t="s">
        <v>1253</v>
      </c>
      <c r="C49" s="11" t="s">
        <v>308</v>
      </c>
      <c r="D49" s="38" t="n">
        <v>45796</v>
      </c>
      <c r="E49" s="38" t="n">
        <v>45841</v>
      </c>
      <c r="F49" s="37" t="n">
        <v>26940.55</v>
      </c>
      <c r="G49" s="37" t="n">
        <v>5388.11</v>
      </c>
      <c r="H49" s="37" t="n">
        <v>32328.66</v>
      </c>
      <c r="I49" s="11" t="s">
        <v>411</v>
      </c>
      <c r="J49" s="11" t="s">
        <v>4152</v>
      </c>
      <c r="K49" s="38" t="n">
        <v>45841</v>
      </c>
      <c r="L49" s="38"/>
    </row>
    <row r="50" customFormat="false" ht="15" hidden="false" customHeight="false" outlineLevel="0" collapsed="false">
      <c r="A50" s="11" t="s">
        <v>1870</v>
      </c>
      <c r="B50" s="11" t="s">
        <v>4243</v>
      </c>
      <c r="C50" s="11" t="s">
        <v>313</v>
      </c>
      <c r="D50" s="38" t="n">
        <v>45800</v>
      </c>
      <c r="E50" s="38" t="n">
        <v>45830</v>
      </c>
      <c r="F50" s="37" t="n">
        <v>4462.24</v>
      </c>
      <c r="G50" s="37" t="n">
        <v>892.45</v>
      </c>
      <c r="H50" s="37" t="n">
        <v>5354.69</v>
      </c>
      <c r="I50" s="11" t="s">
        <v>314</v>
      </c>
      <c r="J50" s="11" t="s">
        <v>4152</v>
      </c>
      <c r="K50" s="38" t="n">
        <v>45827</v>
      </c>
      <c r="L50" s="38"/>
    </row>
    <row r="51" customFormat="false" ht="15" hidden="false" customHeight="false" outlineLevel="0" collapsed="false">
      <c r="A51" s="11" t="s">
        <v>1899</v>
      </c>
      <c r="B51" s="11" t="s">
        <v>4247</v>
      </c>
      <c r="C51" s="11" t="s">
        <v>414</v>
      </c>
      <c r="D51" s="38" t="n">
        <v>45807</v>
      </c>
      <c r="E51" s="38" t="n">
        <v>45837</v>
      </c>
      <c r="F51" s="37" t="n">
        <v>13634.94</v>
      </c>
      <c r="G51" s="37" t="n">
        <v>2726.99</v>
      </c>
      <c r="H51" s="37" t="n">
        <v>16361.93</v>
      </c>
      <c r="I51" s="11" t="s">
        <v>4279</v>
      </c>
      <c r="J51" s="11" t="s">
        <v>4152</v>
      </c>
      <c r="K51" s="38" t="n">
        <v>45834</v>
      </c>
      <c r="L51" s="38"/>
    </row>
    <row r="52" customFormat="false" ht="15" hidden="false" customHeight="false" outlineLevel="0" collapsed="false">
      <c r="A52" s="11" t="s">
        <v>1905</v>
      </c>
      <c r="B52" s="11" t="s">
        <v>4243</v>
      </c>
      <c r="C52" s="11" t="s">
        <v>313</v>
      </c>
      <c r="D52" s="38" t="n">
        <v>45810</v>
      </c>
      <c r="E52" s="38" t="n">
        <v>45840</v>
      </c>
      <c r="F52" s="37" t="n">
        <v>3380.1</v>
      </c>
      <c r="G52" s="37" t="n">
        <v>676.02</v>
      </c>
      <c r="H52" s="37" t="n">
        <v>4056.12</v>
      </c>
      <c r="I52" s="11" t="s">
        <v>314</v>
      </c>
      <c r="J52" s="11" t="s">
        <v>4152</v>
      </c>
      <c r="K52" s="38" t="n">
        <v>45834</v>
      </c>
      <c r="L52" s="38"/>
    </row>
    <row r="53" customFormat="false" ht="15" hidden="false" customHeight="false" outlineLevel="0" collapsed="false">
      <c r="A53" s="11" t="s">
        <v>2005</v>
      </c>
      <c r="B53" s="11" t="s">
        <v>1253</v>
      </c>
      <c r="C53" s="11" t="s">
        <v>308</v>
      </c>
      <c r="D53" s="38" t="n">
        <v>45811</v>
      </c>
      <c r="E53" s="38" t="n">
        <v>45856</v>
      </c>
      <c r="F53" s="37" t="n">
        <v>23372.6</v>
      </c>
      <c r="G53" s="37" t="n">
        <v>4674.52</v>
      </c>
      <c r="H53" s="37" t="n">
        <v>28047.12</v>
      </c>
      <c r="I53" s="11" t="s">
        <v>310</v>
      </c>
      <c r="J53" s="11" t="s">
        <v>4152</v>
      </c>
      <c r="K53" s="38" t="n">
        <v>45855</v>
      </c>
      <c r="L53" s="38"/>
    </row>
    <row r="54" customFormat="false" ht="15" hidden="false" customHeight="false" outlineLevel="0" collapsed="false">
      <c r="A54" s="11" t="s">
        <v>1931</v>
      </c>
      <c r="B54" s="11" t="s">
        <v>1247</v>
      </c>
      <c r="C54" s="11" t="s">
        <v>420</v>
      </c>
      <c r="D54" s="38" t="n">
        <v>45813</v>
      </c>
      <c r="E54" s="38" t="n">
        <v>45843</v>
      </c>
      <c r="F54" s="37" t="n">
        <v>96286.4</v>
      </c>
      <c r="G54" s="37" t="n">
        <v>0</v>
      </c>
      <c r="H54" s="37" t="n">
        <v>96286.4</v>
      </c>
      <c r="I54" s="11" t="s">
        <v>4280</v>
      </c>
      <c r="J54" s="11" t="s">
        <v>4152</v>
      </c>
      <c r="K54" s="38" t="n">
        <v>45841</v>
      </c>
      <c r="L54" s="38"/>
    </row>
    <row r="55" customFormat="false" ht="15" hidden="false" customHeight="false" outlineLevel="0" collapsed="false">
      <c r="A55" s="11" t="s">
        <v>2101</v>
      </c>
      <c r="B55" s="11" t="s">
        <v>4242</v>
      </c>
      <c r="C55" s="11" t="s">
        <v>458</v>
      </c>
      <c r="D55" s="38" t="n">
        <v>45818</v>
      </c>
      <c r="E55" s="38" t="n">
        <v>45878</v>
      </c>
      <c r="F55" s="37" t="n">
        <v>25549.93</v>
      </c>
      <c r="G55" s="37" t="n">
        <v>5109.99</v>
      </c>
      <c r="H55" s="37" t="n">
        <v>30659.92</v>
      </c>
      <c r="I55" s="11" t="s">
        <v>459</v>
      </c>
      <c r="J55" s="11" t="s">
        <v>4152</v>
      </c>
      <c r="K55" s="38" t="n">
        <v>45876</v>
      </c>
      <c r="L55" s="38"/>
    </row>
    <row r="56" customFormat="false" ht="15" hidden="false" customHeight="false" outlineLevel="0" collapsed="false">
      <c r="A56" s="11" t="s">
        <v>1973</v>
      </c>
      <c r="B56" s="11" t="s">
        <v>4243</v>
      </c>
      <c r="C56" s="11" t="s">
        <v>313</v>
      </c>
      <c r="D56" s="38" t="n">
        <v>45818</v>
      </c>
      <c r="E56" s="38" t="n">
        <v>45848</v>
      </c>
      <c r="F56" s="37" t="n">
        <v>3441.44</v>
      </c>
      <c r="G56" s="37" t="n">
        <v>688.29</v>
      </c>
      <c r="H56" s="37" t="n">
        <v>4129.73</v>
      </c>
      <c r="I56" s="11" t="s">
        <v>314</v>
      </c>
      <c r="J56" s="11" t="s">
        <v>4152</v>
      </c>
      <c r="K56" s="38" t="n">
        <v>45848</v>
      </c>
      <c r="L56" s="38"/>
    </row>
    <row r="57" customFormat="false" ht="15" hidden="false" customHeight="false" outlineLevel="0" collapsed="false">
      <c r="A57" s="11" t="s">
        <v>1969</v>
      </c>
      <c r="B57" s="11" t="s">
        <v>4245</v>
      </c>
      <c r="C57" s="11" t="s">
        <v>464</v>
      </c>
      <c r="D57" s="38" t="n">
        <v>45820</v>
      </c>
      <c r="E57" s="38" t="n">
        <v>45850</v>
      </c>
      <c r="F57" s="37" t="n">
        <v>7860.82</v>
      </c>
      <c r="G57" s="37" t="n">
        <v>1572.16</v>
      </c>
      <c r="H57" s="37" t="n">
        <v>9432.98</v>
      </c>
      <c r="I57" s="11" t="s">
        <v>466</v>
      </c>
      <c r="J57" s="11" t="s">
        <v>4152</v>
      </c>
      <c r="K57" s="38" t="n">
        <v>45848</v>
      </c>
      <c r="L57" s="38"/>
    </row>
    <row r="58" customFormat="false" ht="15" hidden="false" customHeight="false" outlineLevel="0" collapsed="false">
      <c r="A58" s="11" t="s">
        <v>1975</v>
      </c>
      <c r="B58" s="11" t="s">
        <v>4243</v>
      </c>
      <c r="C58" s="11" t="s">
        <v>313</v>
      </c>
      <c r="D58" s="38" t="n">
        <v>45824</v>
      </c>
      <c r="E58" s="38" t="n">
        <v>45854</v>
      </c>
      <c r="F58" s="37" t="n">
        <v>3788</v>
      </c>
      <c r="G58" s="37" t="n">
        <v>757.6</v>
      </c>
      <c r="H58" s="37" t="n">
        <v>4545.6</v>
      </c>
      <c r="I58" s="11" t="s">
        <v>314</v>
      </c>
      <c r="J58" s="11" t="s">
        <v>4152</v>
      </c>
      <c r="K58" s="38" t="n">
        <v>45848</v>
      </c>
      <c r="L58" s="38"/>
    </row>
    <row r="59" customFormat="false" ht="15" hidden="false" customHeight="false" outlineLevel="0" collapsed="false">
      <c r="A59" s="11" t="s">
        <v>1967</v>
      </c>
      <c r="B59" s="11" t="s">
        <v>1247</v>
      </c>
      <c r="C59" s="11" t="s">
        <v>420</v>
      </c>
      <c r="D59" s="38" t="n">
        <v>45824</v>
      </c>
      <c r="E59" s="38" t="n">
        <v>45854</v>
      </c>
      <c r="F59" s="37" t="n">
        <v>58000</v>
      </c>
      <c r="G59" s="37" t="n">
        <v>0</v>
      </c>
      <c r="H59" s="37" t="n">
        <v>58000</v>
      </c>
      <c r="I59" s="11" t="s">
        <v>4281</v>
      </c>
      <c r="J59" s="11" t="s">
        <v>4152</v>
      </c>
      <c r="K59" s="38" t="n">
        <v>45848</v>
      </c>
      <c r="L59" s="38"/>
    </row>
    <row r="60" customFormat="false" ht="15" hidden="false" customHeight="false" outlineLevel="0" collapsed="false">
      <c r="A60" s="11" t="s">
        <v>2062</v>
      </c>
      <c r="B60" s="11" t="s">
        <v>1253</v>
      </c>
      <c r="C60" s="11" t="s">
        <v>308</v>
      </c>
      <c r="D60" s="38" t="n">
        <v>45825</v>
      </c>
      <c r="E60" s="38" t="n">
        <v>45870</v>
      </c>
      <c r="F60" s="37" t="n">
        <v>24300.87</v>
      </c>
      <c r="G60" s="37" t="n">
        <v>4860.17</v>
      </c>
      <c r="H60" s="37" t="n">
        <v>29161.04</v>
      </c>
      <c r="I60" s="11" t="s">
        <v>411</v>
      </c>
      <c r="J60" s="11" t="s">
        <v>4152</v>
      </c>
      <c r="K60" s="38" t="n">
        <v>45869</v>
      </c>
      <c r="L60" s="38"/>
    </row>
    <row r="61" customFormat="false" ht="15" hidden="false" customHeight="false" outlineLevel="0" collapsed="false">
      <c r="A61" s="11" t="s">
        <v>2003</v>
      </c>
      <c r="B61" s="11" t="s">
        <v>4243</v>
      </c>
      <c r="C61" s="11" t="s">
        <v>313</v>
      </c>
      <c r="D61" s="38" t="n">
        <v>45831</v>
      </c>
      <c r="E61" s="38" t="n">
        <v>45861</v>
      </c>
      <c r="F61" s="37" t="n">
        <v>3775.82</v>
      </c>
      <c r="G61" s="37" t="n">
        <v>755.16</v>
      </c>
      <c r="H61" s="37" t="n">
        <v>4530.98</v>
      </c>
      <c r="I61" s="11" t="s">
        <v>314</v>
      </c>
      <c r="J61" s="11" t="s">
        <v>4152</v>
      </c>
      <c r="K61" s="38" t="n">
        <v>45855</v>
      </c>
      <c r="L61" s="38"/>
    </row>
    <row r="62" customFormat="false" ht="15" hidden="false" customHeight="false" outlineLevel="0" collapsed="false">
      <c r="A62" s="11" t="s">
        <v>2036</v>
      </c>
      <c r="B62" s="11" t="s">
        <v>4247</v>
      </c>
      <c r="C62" s="11" t="s">
        <v>414</v>
      </c>
      <c r="D62" s="38" t="n">
        <v>45838</v>
      </c>
      <c r="E62" s="38" t="n">
        <v>45868</v>
      </c>
      <c r="F62" s="37" t="n">
        <v>14309.61</v>
      </c>
      <c r="G62" s="37" t="n">
        <v>2861.92</v>
      </c>
      <c r="H62" s="37" t="n">
        <v>17171.53</v>
      </c>
      <c r="I62" s="11" t="s">
        <v>4282</v>
      </c>
      <c r="J62" s="11" t="s">
        <v>4152</v>
      </c>
      <c r="K62" s="38" t="n">
        <v>45862</v>
      </c>
      <c r="L62" s="38"/>
    </row>
    <row r="63" customFormat="false" ht="15" hidden="false" customHeight="false" outlineLevel="0" collapsed="false">
      <c r="A63" s="11" t="s">
        <v>2136</v>
      </c>
      <c r="B63" s="11" t="s">
        <v>1253</v>
      </c>
      <c r="C63" s="11" t="s">
        <v>308</v>
      </c>
      <c r="D63" s="38" t="n">
        <v>45839</v>
      </c>
      <c r="E63" s="38" t="n">
        <v>45884</v>
      </c>
      <c r="F63" s="37" t="n">
        <v>24000</v>
      </c>
      <c r="G63" s="37" t="n">
        <v>4800</v>
      </c>
      <c r="H63" s="37" t="n">
        <v>28800</v>
      </c>
      <c r="I63" s="11" t="s">
        <v>4283</v>
      </c>
      <c r="J63" s="11" t="s">
        <v>4152</v>
      </c>
      <c r="K63" s="38" t="n">
        <v>45883</v>
      </c>
      <c r="L63" s="38"/>
    </row>
    <row r="64" customFormat="false" ht="15" hidden="false" customHeight="false" outlineLevel="0" collapsed="false">
      <c r="A64" s="11" t="s">
        <v>2064</v>
      </c>
      <c r="B64" s="11" t="s">
        <v>4243</v>
      </c>
      <c r="C64" s="11" t="s">
        <v>313</v>
      </c>
      <c r="D64" s="38" t="n">
        <v>45840</v>
      </c>
      <c r="E64" s="38" t="n">
        <v>45870</v>
      </c>
      <c r="F64" s="37" t="n">
        <v>2187.96</v>
      </c>
      <c r="G64" s="37" t="n">
        <v>437.59</v>
      </c>
      <c r="H64" s="37" t="n">
        <v>2625.55</v>
      </c>
      <c r="I64" s="11" t="s">
        <v>314</v>
      </c>
      <c r="J64" s="11" t="s">
        <v>4152</v>
      </c>
      <c r="K64" s="38" t="n">
        <v>45869</v>
      </c>
      <c r="L64" s="38"/>
    </row>
    <row r="65" customFormat="false" ht="15" hidden="false" customHeight="false" outlineLevel="0" collapsed="false">
      <c r="A65" s="11" t="s">
        <v>2134</v>
      </c>
      <c r="B65" s="11" t="s">
        <v>1253</v>
      </c>
      <c r="C65" s="11" t="s">
        <v>308</v>
      </c>
      <c r="D65" s="38" t="n">
        <v>45841</v>
      </c>
      <c r="E65" s="38" t="n">
        <v>45886</v>
      </c>
      <c r="F65" s="37" t="n">
        <v>15448.29</v>
      </c>
      <c r="G65" s="37" t="n">
        <v>3089.66</v>
      </c>
      <c r="H65" s="37" t="n">
        <v>18537.95</v>
      </c>
      <c r="I65" s="11" t="s">
        <v>310</v>
      </c>
      <c r="J65" s="11" t="s">
        <v>4152</v>
      </c>
      <c r="K65" s="38" t="n">
        <v>45883</v>
      </c>
      <c r="L65" s="38"/>
    </row>
    <row r="66" customFormat="false" ht="15" hidden="false" customHeight="false" outlineLevel="0" collapsed="false">
      <c r="A66" s="11" t="s">
        <v>2060</v>
      </c>
      <c r="B66" s="11" t="s">
        <v>1247</v>
      </c>
      <c r="C66" s="11" t="s">
        <v>420</v>
      </c>
      <c r="D66" s="38" t="n">
        <v>45845</v>
      </c>
      <c r="E66" s="38" t="n">
        <v>45875</v>
      </c>
      <c r="F66" s="37" t="n">
        <v>58064.63</v>
      </c>
      <c r="G66" s="37" t="n">
        <v>0</v>
      </c>
      <c r="H66" s="37" t="n">
        <v>58064.63</v>
      </c>
      <c r="I66" s="11" t="s">
        <v>4284</v>
      </c>
      <c r="J66" s="11" t="s">
        <v>4152</v>
      </c>
      <c r="K66" s="38" t="n">
        <v>45869</v>
      </c>
      <c r="L66" s="38"/>
    </row>
    <row r="67" customFormat="false" ht="15" hidden="false" customHeight="false" outlineLevel="0" collapsed="false">
      <c r="A67" s="11" t="s">
        <v>2099</v>
      </c>
      <c r="B67" s="11" t="s">
        <v>4243</v>
      </c>
      <c r="C67" s="11" t="s">
        <v>313</v>
      </c>
      <c r="D67" s="38" t="n">
        <v>45847</v>
      </c>
      <c r="E67" s="38" t="n">
        <v>45877</v>
      </c>
      <c r="F67" s="37" t="n">
        <v>2339.13</v>
      </c>
      <c r="G67" s="37" t="n">
        <v>467.83</v>
      </c>
      <c r="H67" s="37" t="n">
        <v>2806.96</v>
      </c>
      <c r="I67" s="11" t="s">
        <v>314</v>
      </c>
      <c r="J67" s="11" t="s">
        <v>4152</v>
      </c>
      <c r="K67" s="38" t="n">
        <v>45876</v>
      </c>
      <c r="L67" s="38"/>
    </row>
    <row r="68" customFormat="false" ht="15" hidden="false" customHeight="false" outlineLevel="0" collapsed="false">
      <c r="A68" s="11" t="s">
        <v>2246</v>
      </c>
      <c r="B68" s="11" t="s">
        <v>4242</v>
      </c>
      <c r="C68" s="11" t="s">
        <v>458</v>
      </c>
      <c r="D68" s="38" t="n">
        <v>45848</v>
      </c>
      <c r="E68" s="38" t="n">
        <v>45908</v>
      </c>
      <c r="F68" s="37" t="n">
        <v>15620.23</v>
      </c>
      <c r="G68" s="37" t="n">
        <v>3124.05</v>
      </c>
      <c r="H68" s="37" t="n">
        <v>18744.28</v>
      </c>
      <c r="I68" s="11" t="s">
        <v>459</v>
      </c>
      <c r="J68" s="11" t="s">
        <v>4152</v>
      </c>
      <c r="K68" s="38" t="n">
        <v>45904</v>
      </c>
      <c r="L68" s="38"/>
    </row>
    <row r="69" customFormat="false" ht="15" hidden="false" customHeight="false" outlineLevel="0" collapsed="false">
      <c r="A69" s="11" t="s">
        <v>2130</v>
      </c>
      <c r="B69" s="11" t="s">
        <v>4245</v>
      </c>
      <c r="C69" s="11" t="s">
        <v>464</v>
      </c>
      <c r="D69" s="38" t="n">
        <v>45853</v>
      </c>
      <c r="E69" s="38" t="n">
        <v>45883</v>
      </c>
      <c r="F69" s="37" t="n">
        <v>5635.16</v>
      </c>
      <c r="G69" s="37" t="n">
        <v>1127.03</v>
      </c>
      <c r="H69" s="37" t="n">
        <v>6762.19</v>
      </c>
      <c r="I69" s="11" t="s">
        <v>466</v>
      </c>
      <c r="J69" s="11" t="s">
        <v>4152</v>
      </c>
      <c r="K69" s="38" t="n">
        <v>45883</v>
      </c>
      <c r="L69" s="38"/>
    </row>
    <row r="70" customFormat="false" ht="15" hidden="false" customHeight="false" outlineLevel="0" collapsed="false">
      <c r="A70" s="11" t="s">
        <v>2132</v>
      </c>
      <c r="B70" s="11" t="s">
        <v>4243</v>
      </c>
      <c r="C70" s="11" t="s">
        <v>313</v>
      </c>
      <c r="D70" s="38" t="n">
        <v>45854</v>
      </c>
      <c r="E70" s="38" t="n">
        <v>45884</v>
      </c>
      <c r="F70" s="37" t="n">
        <v>2384.95</v>
      </c>
      <c r="G70" s="37" t="n">
        <v>476.99</v>
      </c>
      <c r="H70" s="37" t="n">
        <v>2861.94</v>
      </c>
      <c r="I70" s="11" t="s">
        <v>314</v>
      </c>
      <c r="J70" s="11" t="s">
        <v>4152</v>
      </c>
      <c r="K70" s="38" t="n">
        <v>45883</v>
      </c>
      <c r="L70" s="38"/>
    </row>
    <row r="71" customFormat="false" ht="15" hidden="false" customHeight="false" outlineLevel="0" collapsed="false">
      <c r="A71" s="11" t="s">
        <v>2205</v>
      </c>
      <c r="B71" s="11" t="s">
        <v>1253</v>
      </c>
      <c r="C71" s="11" t="s">
        <v>308</v>
      </c>
      <c r="D71" s="38" t="n">
        <v>45855</v>
      </c>
      <c r="E71" s="38" t="n">
        <v>45900</v>
      </c>
      <c r="F71" s="37" t="n">
        <v>15099.83</v>
      </c>
      <c r="G71" s="37" t="n">
        <v>3019.97</v>
      </c>
      <c r="H71" s="37" t="n">
        <v>18119.8</v>
      </c>
      <c r="I71" s="11" t="s">
        <v>411</v>
      </c>
      <c r="J71" s="11" t="s">
        <v>4152</v>
      </c>
      <c r="K71" s="38" t="n">
        <v>45897</v>
      </c>
      <c r="L71" s="38"/>
    </row>
    <row r="72" customFormat="false" ht="15" hidden="false" customHeight="false" outlineLevel="0" collapsed="false">
      <c r="A72" s="11" t="s">
        <v>2168</v>
      </c>
      <c r="B72" s="11" t="s">
        <v>4243</v>
      </c>
      <c r="C72" s="11" t="s">
        <v>313</v>
      </c>
      <c r="D72" s="38" t="n">
        <v>45861</v>
      </c>
      <c r="E72" s="38" t="n">
        <v>45891</v>
      </c>
      <c r="F72" s="37" t="n">
        <v>2177.75</v>
      </c>
      <c r="G72" s="37" t="n">
        <v>435.55</v>
      </c>
      <c r="H72" s="37" t="n">
        <v>2613.3</v>
      </c>
      <c r="I72" s="11" t="s">
        <v>314</v>
      </c>
      <c r="J72" s="11" t="s">
        <v>4152</v>
      </c>
      <c r="K72" s="38" t="n">
        <v>45890</v>
      </c>
      <c r="L72" s="38"/>
    </row>
    <row r="73" customFormat="false" ht="15" hidden="false" customHeight="false" outlineLevel="0" collapsed="false">
      <c r="A73" s="11" t="s">
        <v>2209</v>
      </c>
      <c r="B73" s="11" t="s">
        <v>4247</v>
      </c>
      <c r="C73" s="11" t="s">
        <v>414</v>
      </c>
      <c r="D73" s="38" t="n">
        <v>45869</v>
      </c>
      <c r="E73" s="38" t="n">
        <v>45899</v>
      </c>
      <c r="F73" s="37" t="n">
        <v>12435.89</v>
      </c>
      <c r="G73" s="37" t="n">
        <v>2487.18</v>
      </c>
      <c r="H73" s="37" t="n">
        <v>14923.07</v>
      </c>
      <c r="I73" s="11" t="s">
        <v>4285</v>
      </c>
      <c r="J73" s="11" t="s">
        <v>4152</v>
      </c>
      <c r="K73" s="38" t="n">
        <v>45897</v>
      </c>
      <c r="L73" s="38"/>
    </row>
    <row r="74" customFormat="false" ht="15" hidden="false" customHeight="false" outlineLevel="0" collapsed="false">
      <c r="A74" s="11" t="s">
        <v>2211</v>
      </c>
      <c r="B74" s="11" t="s">
        <v>4243</v>
      </c>
      <c r="C74" s="11" t="s">
        <v>313</v>
      </c>
      <c r="D74" s="38" t="n">
        <v>45873</v>
      </c>
      <c r="E74" s="38" t="n">
        <v>45903</v>
      </c>
      <c r="F74" s="37" t="n">
        <v>4906.02</v>
      </c>
      <c r="G74" s="37" t="n">
        <v>981.2</v>
      </c>
      <c r="H74" s="37" t="n">
        <v>5887.22</v>
      </c>
      <c r="I74" s="11" t="s">
        <v>314</v>
      </c>
      <c r="J74" s="11" t="s">
        <v>4152</v>
      </c>
      <c r="K74" s="38" t="n">
        <v>45897</v>
      </c>
      <c r="L74" s="38"/>
    </row>
    <row r="75" customFormat="false" ht="15" hidden="false" customHeight="false" outlineLevel="0" collapsed="false">
      <c r="A75" s="11" t="s">
        <v>2301</v>
      </c>
      <c r="B75" s="11" t="s">
        <v>1253</v>
      </c>
      <c r="C75" s="11" t="s">
        <v>308</v>
      </c>
      <c r="D75" s="38" t="n">
        <v>45873</v>
      </c>
      <c r="E75" s="38" t="n">
        <v>45918</v>
      </c>
      <c r="F75" s="37" t="n">
        <v>28450.65</v>
      </c>
      <c r="G75" s="37" t="n">
        <v>5690.13</v>
      </c>
      <c r="H75" s="37" t="n">
        <v>34140.78</v>
      </c>
      <c r="I75" s="11" t="s">
        <v>310</v>
      </c>
      <c r="J75" s="11" t="s">
        <v>4152</v>
      </c>
      <c r="K75" s="38" t="n">
        <v>45918</v>
      </c>
      <c r="L75" s="38"/>
    </row>
    <row r="76" customFormat="false" ht="15" hidden="false" customHeight="false" outlineLevel="0" collapsed="false">
      <c r="A76" s="11" t="s">
        <v>2242</v>
      </c>
      <c r="B76" s="11" t="s">
        <v>1247</v>
      </c>
      <c r="C76" s="11" t="s">
        <v>420</v>
      </c>
      <c r="D76" s="38" t="n">
        <v>45874</v>
      </c>
      <c r="E76" s="38" t="n">
        <v>45904</v>
      </c>
      <c r="F76" s="37" t="n">
        <v>118164.37</v>
      </c>
      <c r="G76" s="37" t="n">
        <v>0</v>
      </c>
      <c r="H76" s="37" t="n">
        <v>118164.37</v>
      </c>
      <c r="I76" s="11" t="s">
        <v>4286</v>
      </c>
      <c r="J76" s="11" t="s">
        <v>4152</v>
      </c>
      <c r="K76" s="38" t="n">
        <v>45904</v>
      </c>
      <c r="L76" s="38"/>
    </row>
    <row r="77" customFormat="false" ht="15" hidden="false" customHeight="false" outlineLevel="0" collapsed="false">
      <c r="A77" s="11" t="s">
        <v>2374</v>
      </c>
      <c r="B77" s="11" t="s">
        <v>4242</v>
      </c>
      <c r="C77" s="11" t="s">
        <v>458</v>
      </c>
      <c r="D77" s="38" t="n">
        <v>45880</v>
      </c>
      <c r="E77" s="38" t="n">
        <v>45940</v>
      </c>
      <c r="F77" s="37" t="n">
        <v>30293.91</v>
      </c>
      <c r="G77" s="37" t="n">
        <v>6058.78</v>
      </c>
      <c r="H77" s="37" t="n">
        <v>36352.69</v>
      </c>
      <c r="I77" s="11" t="s">
        <v>459</v>
      </c>
      <c r="J77" s="11" t="s">
        <v>4152</v>
      </c>
      <c r="K77" s="38" t="n">
        <v>45939</v>
      </c>
      <c r="L77" s="38"/>
    </row>
    <row r="78" customFormat="false" ht="15" hidden="false" customHeight="false" outlineLevel="0" collapsed="false">
      <c r="A78" s="11" t="s">
        <v>2244</v>
      </c>
      <c r="B78" s="11" t="s">
        <v>4243</v>
      </c>
      <c r="C78" s="11" t="s">
        <v>313</v>
      </c>
      <c r="D78" s="38" t="n">
        <v>45880</v>
      </c>
      <c r="E78" s="38" t="n">
        <v>45910</v>
      </c>
      <c r="F78" s="37" t="n">
        <v>4934.41</v>
      </c>
      <c r="G78" s="37" t="n">
        <v>986.88</v>
      </c>
      <c r="H78" s="37" t="n">
        <v>5921.29</v>
      </c>
      <c r="I78" s="11" t="s">
        <v>314</v>
      </c>
      <c r="J78" s="11" t="s">
        <v>4152</v>
      </c>
      <c r="K78" s="38" t="n">
        <v>45904</v>
      </c>
      <c r="L78" s="38"/>
    </row>
    <row r="79" customFormat="false" ht="15" hidden="false" customHeight="false" outlineLevel="0" collapsed="false">
      <c r="A79" s="11" t="s">
        <v>2276</v>
      </c>
      <c r="B79" s="11" t="s">
        <v>4245</v>
      </c>
      <c r="C79" s="11" t="s">
        <v>464</v>
      </c>
      <c r="D79" s="38" t="n">
        <v>45881</v>
      </c>
      <c r="E79" s="38" t="n">
        <v>45911</v>
      </c>
      <c r="F79" s="37" t="n">
        <v>11576.3</v>
      </c>
      <c r="G79" s="37" t="n">
        <v>2315.26</v>
      </c>
      <c r="H79" s="37" t="n">
        <v>13891.56</v>
      </c>
      <c r="I79" s="11" t="s">
        <v>466</v>
      </c>
      <c r="J79" s="11" t="s">
        <v>4152</v>
      </c>
      <c r="K79" s="38" t="n">
        <v>45911</v>
      </c>
      <c r="L79" s="38"/>
    </row>
    <row r="80" customFormat="false" ht="15" hidden="false" customHeight="false" outlineLevel="0" collapsed="false">
      <c r="A80" s="11" t="s">
        <v>2272</v>
      </c>
      <c r="B80" s="11" t="s">
        <v>4243</v>
      </c>
      <c r="C80" s="11" t="s">
        <v>313</v>
      </c>
      <c r="D80" s="38" t="n">
        <v>45887</v>
      </c>
      <c r="E80" s="38" t="n">
        <v>45917</v>
      </c>
      <c r="F80" s="37" t="n">
        <v>4964.64</v>
      </c>
      <c r="G80" s="37" t="n">
        <v>992.93</v>
      </c>
      <c r="H80" s="37" t="n">
        <v>5957.57</v>
      </c>
      <c r="I80" s="11" t="s">
        <v>314</v>
      </c>
      <c r="J80" s="11" t="s">
        <v>4152</v>
      </c>
      <c r="K80" s="38" t="n">
        <v>45911</v>
      </c>
      <c r="L80" s="38"/>
    </row>
    <row r="81" customFormat="false" ht="15" hidden="false" customHeight="false" outlineLevel="0" collapsed="false">
      <c r="A81" s="11" t="s">
        <v>2354</v>
      </c>
      <c r="B81" s="11" t="s">
        <v>1253</v>
      </c>
      <c r="C81" s="11" t="s">
        <v>308</v>
      </c>
      <c r="D81" s="38" t="n">
        <v>45887</v>
      </c>
      <c r="E81" s="38" t="n">
        <v>45932</v>
      </c>
      <c r="F81" s="37" t="n">
        <v>27341.94</v>
      </c>
      <c r="G81" s="37" t="n">
        <v>5468.39</v>
      </c>
      <c r="H81" s="37" t="n">
        <v>32810.33</v>
      </c>
      <c r="I81" s="11" t="s">
        <v>411</v>
      </c>
      <c r="J81" s="11" t="s">
        <v>4152</v>
      </c>
      <c r="K81" s="38" t="n">
        <v>45932</v>
      </c>
      <c r="L81" s="38"/>
    </row>
    <row r="82" customFormat="false" ht="15" hidden="false" customHeight="false" outlineLevel="0" collapsed="false">
      <c r="A82" s="11" t="s">
        <v>2303</v>
      </c>
      <c r="B82" s="11" t="s">
        <v>4243</v>
      </c>
      <c r="C82" s="11" t="s">
        <v>313</v>
      </c>
      <c r="D82" s="38" t="n">
        <v>45894</v>
      </c>
      <c r="E82" s="38" t="n">
        <v>45924</v>
      </c>
      <c r="F82" s="37" t="n">
        <v>4233.77</v>
      </c>
      <c r="G82" s="37" t="n">
        <v>846.75</v>
      </c>
      <c r="H82" s="37" t="n">
        <v>5080.52</v>
      </c>
      <c r="I82" s="11" t="s">
        <v>314</v>
      </c>
      <c r="J82" s="11" t="s">
        <v>4152</v>
      </c>
      <c r="K82" s="38" t="n">
        <v>45918</v>
      </c>
      <c r="L82" s="38"/>
    </row>
    <row r="83" customFormat="false" ht="15" hidden="false" customHeight="false" outlineLevel="0" collapsed="false">
      <c r="A83" s="11" t="s">
        <v>2326</v>
      </c>
      <c r="B83" s="11" t="s">
        <v>4247</v>
      </c>
      <c r="C83" s="11" t="s">
        <v>414</v>
      </c>
      <c r="D83" s="38" t="n">
        <v>45898</v>
      </c>
      <c r="E83" s="38" t="n">
        <v>45928</v>
      </c>
      <c r="F83" s="37" t="n">
        <v>8152.02</v>
      </c>
      <c r="G83" s="37" t="n">
        <v>1630.4</v>
      </c>
      <c r="H83" s="37" t="n">
        <v>9782.42</v>
      </c>
      <c r="I83" s="11" t="s">
        <v>4287</v>
      </c>
      <c r="J83" s="11" t="s">
        <v>4152</v>
      </c>
      <c r="K83" s="38" t="n">
        <v>45925</v>
      </c>
      <c r="L83" s="38"/>
    </row>
    <row r="84" customFormat="false" ht="15" hidden="false" customHeight="false" outlineLevel="0" collapsed="false">
      <c r="A84" s="11" t="s">
        <v>2356</v>
      </c>
      <c r="B84" s="11" t="s">
        <v>4243</v>
      </c>
      <c r="C84" s="11" t="s">
        <v>313</v>
      </c>
      <c r="D84" s="38" t="n">
        <v>45902</v>
      </c>
      <c r="E84" s="38" t="n">
        <v>45932</v>
      </c>
      <c r="F84" s="37" t="n">
        <v>4435.63</v>
      </c>
      <c r="G84" s="37" t="n">
        <v>887.13</v>
      </c>
      <c r="H84" s="37" t="n">
        <v>5322.76</v>
      </c>
      <c r="I84" s="11" t="s">
        <v>314</v>
      </c>
      <c r="J84" s="11" t="s">
        <v>4152</v>
      </c>
      <c r="K84" s="38" t="n">
        <v>45932</v>
      </c>
      <c r="L84" s="38"/>
    </row>
    <row r="85" customFormat="false" ht="15" hidden="false" customHeight="false" outlineLevel="0" collapsed="false">
      <c r="A85" s="11" t="s">
        <v>2403</v>
      </c>
      <c r="B85" s="11" t="s">
        <v>1253</v>
      </c>
      <c r="C85" s="11" t="s">
        <v>308</v>
      </c>
      <c r="D85" s="38" t="n">
        <v>45903</v>
      </c>
      <c r="E85" s="38" t="n">
        <v>45948</v>
      </c>
      <c r="F85" s="37" t="n">
        <v>28739.02</v>
      </c>
      <c r="G85" s="37" t="n">
        <v>5747.8</v>
      </c>
      <c r="H85" s="37" t="n">
        <v>34486.82</v>
      </c>
      <c r="I85" s="11" t="s">
        <v>310</v>
      </c>
      <c r="J85" s="11" t="s">
        <v>4152</v>
      </c>
      <c r="K85" s="38" t="n">
        <v>45946</v>
      </c>
      <c r="L85" s="38"/>
    </row>
    <row r="86" customFormat="false" ht="15" hidden="false" customHeight="false" outlineLevel="0" collapsed="false">
      <c r="A86" s="11" t="s">
        <v>2360</v>
      </c>
      <c r="B86" s="11" t="s">
        <v>1247</v>
      </c>
      <c r="C86" s="11" t="s">
        <v>420</v>
      </c>
      <c r="D86" s="38" t="n">
        <v>45905</v>
      </c>
      <c r="E86" s="38" t="n">
        <v>45935</v>
      </c>
      <c r="F86" s="37" t="n">
        <v>134456.15</v>
      </c>
      <c r="G86" s="37" t="n">
        <v>0</v>
      </c>
      <c r="H86" s="37" t="n">
        <v>134456.15</v>
      </c>
      <c r="I86" s="11" t="s">
        <v>4288</v>
      </c>
      <c r="J86" s="11" t="s">
        <v>4152</v>
      </c>
      <c r="K86" s="38" t="n">
        <v>45932</v>
      </c>
      <c r="L86" s="38"/>
    </row>
    <row r="87" customFormat="false" ht="15" hidden="false" customHeight="false" outlineLevel="0" collapsed="false">
      <c r="A87" s="11" t="s">
        <v>2376</v>
      </c>
      <c r="B87" s="11" t="s">
        <v>4243</v>
      </c>
      <c r="C87" s="11" t="s">
        <v>313</v>
      </c>
      <c r="D87" s="38" t="n">
        <v>45909</v>
      </c>
      <c r="E87" s="38" t="n">
        <v>45939</v>
      </c>
      <c r="F87" s="37" t="n">
        <v>4952.99</v>
      </c>
      <c r="G87" s="37" t="n">
        <v>990.6</v>
      </c>
      <c r="H87" s="37" t="n">
        <v>5943.59</v>
      </c>
      <c r="I87" s="11" t="s">
        <v>314</v>
      </c>
      <c r="J87" s="11" t="s">
        <v>4152</v>
      </c>
      <c r="K87" s="38" t="n">
        <v>45939</v>
      </c>
      <c r="L87" s="38"/>
    </row>
    <row r="88" customFormat="false" ht="15" hidden="false" customHeight="false" outlineLevel="0" collapsed="false">
      <c r="A88" s="11" t="s">
        <v>2489</v>
      </c>
      <c r="B88" s="11" t="s">
        <v>4242</v>
      </c>
      <c r="C88" s="11" t="s">
        <v>458</v>
      </c>
      <c r="D88" s="38" t="n">
        <v>45910</v>
      </c>
      <c r="E88" s="38" t="n">
        <v>45970</v>
      </c>
      <c r="F88" s="37" t="n">
        <v>29572.8</v>
      </c>
      <c r="G88" s="37" t="n">
        <v>5914.56</v>
      </c>
      <c r="H88" s="37" t="n">
        <v>35487.36</v>
      </c>
      <c r="I88" s="11" t="s">
        <v>459</v>
      </c>
      <c r="J88" s="11" t="s">
        <v>4152</v>
      </c>
      <c r="K88" s="38" t="n">
        <v>45967</v>
      </c>
      <c r="L88" s="38"/>
    </row>
    <row r="89" customFormat="false" ht="15" hidden="false" customHeight="false" outlineLevel="0" collapsed="false">
      <c r="A89" s="11" t="s">
        <v>2380</v>
      </c>
      <c r="B89" s="11" t="s">
        <v>4245</v>
      </c>
      <c r="C89" s="11" t="s">
        <v>464</v>
      </c>
      <c r="D89" s="38" t="n">
        <v>45912</v>
      </c>
      <c r="E89" s="38" t="n">
        <v>45942</v>
      </c>
      <c r="F89" s="37" t="n">
        <v>12412.85</v>
      </c>
      <c r="G89" s="37" t="n">
        <v>2482.57</v>
      </c>
      <c r="H89" s="37" t="n">
        <v>14895.42</v>
      </c>
      <c r="I89" s="11" t="s">
        <v>466</v>
      </c>
      <c r="J89" s="11" t="s">
        <v>4152</v>
      </c>
      <c r="K89" s="38" t="n">
        <v>45939</v>
      </c>
      <c r="L89" s="38"/>
    </row>
    <row r="90" customFormat="false" ht="15" hidden="false" customHeight="false" outlineLevel="0" collapsed="false">
      <c r="A90" s="11" t="s">
        <v>2399</v>
      </c>
      <c r="B90" s="11" t="s">
        <v>4243</v>
      </c>
      <c r="C90" s="11" t="s">
        <v>313</v>
      </c>
      <c r="D90" s="38" t="n">
        <v>45916</v>
      </c>
      <c r="E90" s="38" t="n">
        <v>45946</v>
      </c>
      <c r="F90" s="37" t="n">
        <v>4962.65</v>
      </c>
      <c r="G90" s="37" t="n">
        <v>992.53</v>
      </c>
      <c r="H90" s="37" t="n">
        <v>5955.18</v>
      </c>
      <c r="I90" s="11" t="s">
        <v>314</v>
      </c>
      <c r="J90" s="11" t="s">
        <v>4152</v>
      </c>
      <c r="K90" s="38" t="n">
        <v>45946</v>
      </c>
      <c r="L90" s="38"/>
    </row>
    <row r="91" customFormat="false" ht="15" hidden="false" customHeight="false" outlineLevel="0" collapsed="false">
      <c r="A91" s="11" t="s">
        <v>2453</v>
      </c>
      <c r="B91" s="11" t="s">
        <v>1253</v>
      </c>
      <c r="C91" s="11" t="s">
        <v>308</v>
      </c>
      <c r="D91" s="38" t="n">
        <v>45917</v>
      </c>
      <c r="E91" s="38" t="n">
        <v>45962</v>
      </c>
      <c r="F91" s="37" t="n">
        <v>30652.36</v>
      </c>
      <c r="G91" s="37" t="n">
        <v>6130.47</v>
      </c>
      <c r="H91" s="37" t="n">
        <v>36782.83</v>
      </c>
      <c r="I91" s="11" t="s">
        <v>411</v>
      </c>
      <c r="J91" s="11" t="s">
        <v>4152</v>
      </c>
      <c r="K91" s="38" t="n">
        <v>45960</v>
      </c>
      <c r="L91" s="38"/>
    </row>
    <row r="92" customFormat="false" ht="15" hidden="false" customHeight="false" outlineLevel="0" collapsed="false">
      <c r="A92" s="11" t="s">
        <v>2418</v>
      </c>
      <c r="B92" s="11" t="s">
        <v>4243</v>
      </c>
      <c r="C92" s="11" t="s">
        <v>313</v>
      </c>
      <c r="D92" s="38" t="n">
        <v>45923</v>
      </c>
      <c r="E92" s="38" t="n">
        <v>45953</v>
      </c>
      <c r="F92" s="37" t="n">
        <v>5137.08</v>
      </c>
      <c r="G92" s="37" t="n">
        <v>1027.42</v>
      </c>
      <c r="H92" s="37" t="n">
        <v>6164.5</v>
      </c>
      <c r="I92" s="11" t="s">
        <v>314</v>
      </c>
      <c r="J92" s="11" t="s">
        <v>4152</v>
      </c>
      <c r="K92" s="38" t="n">
        <v>45953</v>
      </c>
      <c r="L92" s="38"/>
    </row>
    <row r="93" customFormat="false" ht="15" hidden="false" customHeight="false" outlineLevel="0" collapsed="false">
      <c r="A93" s="11" t="s">
        <v>2449</v>
      </c>
      <c r="B93" s="11" t="s">
        <v>4247</v>
      </c>
      <c r="C93" s="11" t="s">
        <v>414</v>
      </c>
      <c r="D93" s="38" t="n">
        <v>45930</v>
      </c>
      <c r="E93" s="38" t="n">
        <v>45960</v>
      </c>
      <c r="F93" s="37" t="n">
        <v>15646.57</v>
      </c>
      <c r="G93" s="37" t="n">
        <v>3129.31</v>
      </c>
      <c r="H93" s="37" t="n">
        <v>18775.88</v>
      </c>
      <c r="I93" s="11" t="s">
        <v>4289</v>
      </c>
      <c r="J93" s="11" t="s">
        <v>4152</v>
      </c>
      <c r="K93" s="38" t="n">
        <v>45960</v>
      </c>
      <c r="L93" s="38"/>
    </row>
    <row r="94" customFormat="false" ht="15" hidden="false" customHeight="false" outlineLevel="0" collapsed="false">
      <c r="A94" s="11" t="s">
        <v>2451</v>
      </c>
      <c r="B94" s="11" t="s">
        <v>4243</v>
      </c>
      <c r="C94" s="11" t="s">
        <v>313</v>
      </c>
      <c r="D94" s="38" t="n">
        <v>45932</v>
      </c>
      <c r="E94" s="38" t="n">
        <v>45962</v>
      </c>
      <c r="F94" s="37" t="n">
        <v>4608.72</v>
      </c>
      <c r="G94" s="37" t="n">
        <v>921.74</v>
      </c>
      <c r="H94" s="37" t="n">
        <v>5530.46</v>
      </c>
      <c r="I94" s="11" t="s">
        <v>314</v>
      </c>
      <c r="J94" s="11" t="s">
        <v>4152</v>
      </c>
      <c r="K94" s="38" t="n">
        <v>45960</v>
      </c>
      <c r="L94" s="38"/>
    </row>
    <row r="95" customFormat="false" ht="15" hidden="false" customHeight="false" outlineLevel="0" collapsed="false">
      <c r="A95" s="11" t="s">
        <v>2520</v>
      </c>
      <c r="B95" s="11" t="s">
        <v>1253</v>
      </c>
      <c r="C95" s="11" t="s">
        <v>308</v>
      </c>
      <c r="D95" s="38" t="n">
        <v>45933</v>
      </c>
      <c r="E95" s="38" t="n">
        <v>45978</v>
      </c>
      <c r="F95" s="37" t="n">
        <v>31189.77</v>
      </c>
      <c r="G95" s="37" t="n">
        <v>6237.95</v>
      </c>
      <c r="H95" s="37" t="n">
        <v>37427.72</v>
      </c>
      <c r="I95" s="11" t="s">
        <v>310</v>
      </c>
      <c r="J95" s="11" t="s">
        <v>4152</v>
      </c>
      <c r="K95" s="38" t="n">
        <v>45974</v>
      </c>
      <c r="L95" s="38"/>
    </row>
    <row r="96" customFormat="false" ht="15" hidden="false" customHeight="false" outlineLevel="0" collapsed="false">
      <c r="A96" s="11" t="s">
        <v>2455</v>
      </c>
      <c r="B96" s="11" t="s">
        <v>1247</v>
      </c>
      <c r="C96" s="11" t="s">
        <v>420</v>
      </c>
      <c r="D96" s="38" t="n">
        <v>45936</v>
      </c>
      <c r="E96" s="38" t="n">
        <v>45966</v>
      </c>
      <c r="F96" s="37" t="n">
        <v>114966.07</v>
      </c>
      <c r="G96" s="37" t="n">
        <v>0</v>
      </c>
      <c r="H96" s="37" t="n">
        <v>114966.07</v>
      </c>
      <c r="I96" s="11" t="s">
        <v>4290</v>
      </c>
      <c r="J96" s="11" t="s">
        <v>4152</v>
      </c>
      <c r="K96" s="38" t="n">
        <v>45960</v>
      </c>
      <c r="L96" s="38"/>
    </row>
    <row r="97" customFormat="false" ht="15" hidden="false" customHeight="false" outlineLevel="0" collapsed="false">
      <c r="A97" s="11" t="s">
        <v>2487</v>
      </c>
      <c r="B97" s="11" t="s">
        <v>4243</v>
      </c>
      <c r="C97" s="11" t="s">
        <v>313</v>
      </c>
      <c r="D97" s="38" t="n">
        <v>45939</v>
      </c>
      <c r="E97" s="38" t="n">
        <v>45969</v>
      </c>
      <c r="F97" s="37" t="n">
        <v>4590.24</v>
      </c>
      <c r="G97" s="37" t="n">
        <v>918.05</v>
      </c>
      <c r="H97" s="37" t="n">
        <v>5508.29</v>
      </c>
      <c r="I97" s="11" t="s">
        <v>314</v>
      </c>
      <c r="J97" s="11" t="s">
        <v>4152</v>
      </c>
      <c r="K97" s="38" t="n">
        <v>45967</v>
      </c>
      <c r="L97" s="38"/>
    </row>
    <row r="98" customFormat="false" ht="15" hidden="false" customHeight="false" outlineLevel="0" collapsed="false">
      <c r="A98" s="11" t="s">
        <v>2622</v>
      </c>
      <c r="B98" s="11" t="s">
        <v>4242</v>
      </c>
      <c r="C98" s="11" t="s">
        <v>458</v>
      </c>
      <c r="D98" s="38" t="n">
        <v>45940</v>
      </c>
      <c r="E98" s="38" t="n">
        <v>46000</v>
      </c>
      <c r="F98" s="37" t="n">
        <v>33996.99</v>
      </c>
      <c r="G98" s="37" t="n">
        <v>6799.4</v>
      </c>
      <c r="H98" s="37" t="n">
        <v>40796.39</v>
      </c>
      <c r="I98" s="11" t="s">
        <v>459</v>
      </c>
      <c r="J98" s="11" t="s">
        <v>4152</v>
      </c>
      <c r="K98" s="38" t="n">
        <v>45995</v>
      </c>
      <c r="L98" s="38"/>
    </row>
    <row r="99" customFormat="false" ht="15" hidden="false" customHeight="false" outlineLevel="0" collapsed="false">
      <c r="A99" s="11" t="s">
        <v>2493</v>
      </c>
      <c r="B99" s="11" t="s">
        <v>4245</v>
      </c>
      <c r="C99" s="11" t="s">
        <v>464</v>
      </c>
      <c r="D99" s="38" t="n">
        <v>45943</v>
      </c>
      <c r="E99" s="38" t="n">
        <v>45973</v>
      </c>
      <c r="F99" s="37" t="n">
        <v>12000.31</v>
      </c>
      <c r="G99" s="37" t="n">
        <v>2400.06</v>
      </c>
      <c r="H99" s="37" t="n">
        <v>14400.37</v>
      </c>
      <c r="I99" s="11" t="s">
        <v>466</v>
      </c>
      <c r="J99" s="11" t="s">
        <v>4152</v>
      </c>
      <c r="K99" s="38" t="n">
        <v>45967</v>
      </c>
      <c r="L99" s="38"/>
    </row>
    <row r="100" customFormat="false" ht="15" hidden="false" customHeight="false" outlineLevel="0" collapsed="false">
      <c r="A100" s="11" t="s">
        <v>2522</v>
      </c>
      <c r="B100" s="11" t="s">
        <v>4243</v>
      </c>
      <c r="C100" s="11" t="s">
        <v>313</v>
      </c>
      <c r="D100" s="38" t="n">
        <v>45946</v>
      </c>
      <c r="E100" s="38" t="n">
        <v>45976</v>
      </c>
      <c r="F100" s="37" t="n">
        <v>4818.59</v>
      </c>
      <c r="G100" s="37" t="n">
        <v>963.72</v>
      </c>
      <c r="H100" s="37" t="n">
        <v>5782.31</v>
      </c>
      <c r="I100" s="11" t="s">
        <v>314</v>
      </c>
      <c r="J100" s="11" t="s">
        <v>4152</v>
      </c>
      <c r="K100" s="38" t="n">
        <v>45974</v>
      </c>
      <c r="L100" s="38"/>
    </row>
    <row r="101" customFormat="false" ht="15" hidden="false" customHeight="false" outlineLevel="0" collapsed="false">
      <c r="A101" s="11" t="s">
        <v>2585</v>
      </c>
      <c r="B101" s="11" t="s">
        <v>1253</v>
      </c>
      <c r="C101" s="11" t="s">
        <v>308</v>
      </c>
      <c r="D101" s="38" t="n">
        <v>45947</v>
      </c>
      <c r="E101" s="38" t="n">
        <v>45992</v>
      </c>
      <c r="F101" s="37" t="n">
        <v>34100.15</v>
      </c>
      <c r="G101" s="37" t="n">
        <v>6820.03</v>
      </c>
      <c r="H101" s="37" t="n">
        <v>40920.18</v>
      </c>
      <c r="I101" s="11" t="s">
        <v>411</v>
      </c>
      <c r="J101" s="11" t="s">
        <v>4152</v>
      </c>
      <c r="K101" s="38" t="n">
        <v>45988</v>
      </c>
      <c r="L101" s="38"/>
    </row>
    <row r="102" customFormat="false" ht="15" hidden="false" customHeight="false" outlineLevel="0" collapsed="false">
      <c r="A102" s="11" t="s">
        <v>2546</v>
      </c>
      <c r="B102" s="11" t="s">
        <v>4243</v>
      </c>
      <c r="C102" s="11" t="s">
        <v>313</v>
      </c>
      <c r="D102" s="38" t="n">
        <v>45953</v>
      </c>
      <c r="E102" s="38" t="n">
        <v>45983</v>
      </c>
      <c r="F102" s="37" t="n">
        <v>5150.7</v>
      </c>
      <c r="G102" s="37" t="n">
        <v>1030.14</v>
      </c>
      <c r="H102" s="37" t="n">
        <v>6180.84</v>
      </c>
      <c r="I102" s="11" t="s">
        <v>314</v>
      </c>
      <c r="J102" s="11" t="s">
        <v>4152</v>
      </c>
      <c r="K102" s="38" t="n">
        <v>45981</v>
      </c>
      <c r="L102" s="38"/>
    </row>
    <row r="103" customFormat="false" ht="15" hidden="false" customHeight="false" outlineLevel="0" collapsed="false">
      <c r="A103" s="11" t="s">
        <v>2581</v>
      </c>
      <c r="B103" s="11" t="s">
        <v>4247</v>
      </c>
      <c r="C103" s="11" t="s">
        <v>414</v>
      </c>
      <c r="D103" s="38" t="n">
        <v>45961</v>
      </c>
      <c r="E103" s="38" t="n">
        <v>45991</v>
      </c>
      <c r="F103" s="37" t="n">
        <v>16271.51</v>
      </c>
      <c r="G103" s="37" t="n">
        <v>3254.3</v>
      </c>
      <c r="H103" s="37" t="n">
        <v>19525.81</v>
      </c>
      <c r="I103" s="11" t="s">
        <v>4291</v>
      </c>
      <c r="J103" s="11" t="s">
        <v>4152</v>
      </c>
      <c r="K103" s="38" t="n">
        <v>45988</v>
      </c>
      <c r="L103" s="38"/>
    </row>
    <row r="104" customFormat="false" ht="15" hidden="false" customHeight="false" outlineLevel="0" collapsed="false">
      <c r="A104" s="11" t="s">
        <v>2695</v>
      </c>
      <c r="B104" s="11" t="s">
        <v>1253</v>
      </c>
      <c r="C104" s="11" t="s">
        <v>308</v>
      </c>
      <c r="D104" s="38" t="n">
        <v>45964</v>
      </c>
      <c r="E104" s="38" t="n">
        <v>46009</v>
      </c>
      <c r="F104" s="37" t="n">
        <v>24844.94</v>
      </c>
      <c r="G104" s="37" t="n">
        <v>4968.99</v>
      </c>
      <c r="H104" s="37" t="n">
        <v>29813.93</v>
      </c>
      <c r="I104" s="11" t="s">
        <v>310</v>
      </c>
      <c r="J104" s="11" t="s">
        <v>4152</v>
      </c>
      <c r="K104" s="38" t="n">
        <v>46009</v>
      </c>
      <c r="L104" s="38"/>
    </row>
    <row r="105" customFormat="false" ht="15" hidden="false" customHeight="false" outlineLevel="0" collapsed="false">
      <c r="A105" s="11" t="s">
        <v>2579</v>
      </c>
      <c r="B105" s="11" t="s">
        <v>4243</v>
      </c>
      <c r="C105" s="11" t="s">
        <v>313</v>
      </c>
      <c r="D105" s="38" t="n">
        <v>45964</v>
      </c>
      <c r="E105" s="38" t="n">
        <v>45994</v>
      </c>
      <c r="F105" s="37" t="n">
        <v>3899.78</v>
      </c>
      <c r="G105" s="37" t="n">
        <v>779.96</v>
      </c>
      <c r="H105" s="37" t="n">
        <v>4679.74</v>
      </c>
      <c r="I105" s="11" t="s">
        <v>314</v>
      </c>
      <c r="J105" s="11" t="s">
        <v>4152</v>
      </c>
      <c r="K105" s="38" t="n">
        <v>45988</v>
      </c>
      <c r="L105" s="38"/>
    </row>
    <row r="106" customFormat="false" ht="15" hidden="false" customHeight="false" outlineLevel="0" collapsed="false">
      <c r="A106" s="11" t="s">
        <v>2620</v>
      </c>
      <c r="B106" s="11" t="s">
        <v>1247</v>
      </c>
      <c r="C106" s="11" t="s">
        <v>420</v>
      </c>
      <c r="D106" s="38" t="n">
        <v>45966</v>
      </c>
      <c r="E106" s="38" t="n">
        <v>45996</v>
      </c>
      <c r="F106" s="37" t="n">
        <v>102020.69</v>
      </c>
      <c r="G106" s="37" t="n">
        <v>0</v>
      </c>
      <c r="H106" s="37" t="n">
        <v>102020.69</v>
      </c>
      <c r="I106" s="11" t="s">
        <v>4292</v>
      </c>
      <c r="J106" s="11" t="s">
        <v>4152</v>
      </c>
      <c r="K106" s="38" t="n">
        <v>45995</v>
      </c>
      <c r="L106" s="38"/>
    </row>
    <row r="107" customFormat="false" ht="15" hidden="false" customHeight="false" outlineLevel="0" collapsed="false">
      <c r="A107" s="11" t="s">
        <v>2820</v>
      </c>
      <c r="B107" s="11" t="s">
        <v>4242</v>
      </c>
      <c r="C107" s="11" t="s">
        <v>458</v>
      </c>
      <c r="D107" s="38" t="n">
        <v>45971</v>
      </c>
      <c r="E107" s="38" t="n">
        <v>46031</v>
      </c>
      <c r="F107" s="37" t="n">
        <v>23401.67</v>
      </c>
      <c r="G107" s="37" t="n">
        <v>4680.33</v>
      </c>
      <c r="H107" s="37" t="n">
        <v>28082</v>
      </c>
      <c r="I107" s="11" t="s">
        <v>459</v>
      </c>
      <c r="J107" s="11" t="s">
        <v>4152</v>
      </c>
      <c r="K107" s="38" t="n">
        <v>46030</v>
      </c>
      <c r="L107" s="38"/>
    </row>
    <row r="108" customFormat="false" ht="15" hidden="false" customHeight="false" outlineLevel="0" collapsed="false">
      <c r="A108" s="11" t="s">
        <v>2616</v>
      </c>
      <c r="B108" s="11" t="s">
        <v>4243</v>
      </c>
      <c r="C108" s="11" t="s">
        <v>313</v>
      </c>
      <c r="D108" s="38" t="n">
        <v>45971</v>
      </c>
      <c r="E108" s="38" t="n">
        <v>46001</v>
      </c>
      <c r="F108" s="37" t="n">
        <v>4374.39</v>
      </c>
      <c r="G108" s="37" t="n">
        <v>874.88</v>
      </c>
      <c r="H108" s="37" t="n">
        <v>5249.27</v>
      </c>
      <c r="I108" s="11" t="s">
        <v>314</v>
      </c>
      <c r="J108" s="11" t="s">
        <v>4152</v>
      </c>
      <c r="K108" s="38" t="n">
        <v>45995</v>
      </c>
      <c r="L108" s="38"/>
    </row>
    <row r="109" customFormat="false" ht="15" hidden="false" customHeight="false" outlineLevel="0" collapsed="false">
      <c r="A109" s="11" t="s">
        <v>2654</v>
      </c>
      <c r="B109" s="11" t="s">
        <v>4245</v>
      </c>
      <c r="C109" s="11" t="s">
        <v>464</v>
      </c>
      <c r="D109" s="38" t="n">
        <v>45973</v>
      </c>
      <c r="E109" s="38" t="n">
        <v>46003</v>
      </c>
      <c r="F109" s="37" t="n">
        <v>8557.86</v>
      </c>
      <c r="G109" s="37" t="n">
        <v>1711.57</v>
      </c>
      <c r="H109" s="37" t="n">
        <v>10269.43</v>
      </c>
      <c r="I109" s="11" t="s">
        <v>466</v>
      </c>
      <c r="J109" s="11" t="s">
        <v>4152</v>
      </c>
      <c r="K109" s="38" t="n">
        <v>46002</v>
      </c>
      <c r="L109" s="38"/>
    </row>
    <row r="110" customFormat="false" ht="15" hidden="false" customHeight="false" outlineLevel="0" collapsed="false">
      <c r="A110" s="11" t="s">
        <v>2652</v>
      </c>
      <c r="B110" s="11" t="s">
        <v>4243</v>
      </c>
      <c r="C110" s="11" t="s">
        <v>313</v>
      </c>
      <c r="D110" s="38" t="n">
        <v>45978</v>
      </c>
      <c r="E110" s="38" t="n">
        <v>46008</v>
      </c>
      <c r="F110" s="37" t="n">
        <v>4133.39</v>
      </c>
      <c r="G110" s="37" t="n">
        <v>826.68</v>
      </c>
      <c r="H110" s="37" t="n">
        <v>4960.07</v>
      </c>
      <c r="I110" s="11" t="s">
        <v>314</v>
      </c>
      <c r="J110" s="11" t="s">
        <v>4152</v>
      </c>
      <c r="K110" s="38" t="n">
        <v>46002</v>
      </c>
      <c r="L110" s="38"/>
    </row>
    <row r="111" customFormat="false" ht="15" hidden="false" customHeight="false" outlineLevel="0" collapsed="false">
      <c r="A111" s="11" t="s">
        <v>2758</v>
      </c>
      <c r="B111" s="11" t="s">
        <v>1253</v>
      </c>
      <c r="C111" s="11" t="s">
        <v>308</v>
      </c>
      <c r="D111" s="38" t="n">
        <v>45978</v>
      </c>
      <c r="E111" s="38" t="n">
        <v>46023</v>
      </c>
      <c r="F111" s="37" t="n">
        <v>28500.71</v>
      </c>
      <c r="G111" s="37" t="n">
        <v>5700.14</v>
      </c>
      <c r="H111" s="37" t="n">
        <v>34200.85</v>
      </c>
      <c r="I111" s="11" t="s">
        <v>411</v>
      </c>
      <c r="J111" s="11" t="s">
        <v>4152</v>
      </c>
      <c r="K111" s="38" t="n">
        <v>46022</v>
      </c>
      <c r="L111" s="38"/>
    </row>
    <row r="112" customFormat="false" ht="15" hidden="false" customHeight="false" outlineLevel="0" collapsed="false">
      <c r="A112" s="11" t="s">
        <v>2691</v>
      </c>
      <c r="B112" s="11" t="s">
        <v>4243</v>
      </c>
      <c r="C112" s="11" t="s">
        <v>313</v>
      </c>
      <c r="D112" s="38" t="n">
        <v>45985</v>
      </c>
      <c r="E112" s="38" t="n">
        <v>46015</v>
      </c>
      <c r="F112" s="37" t="n">
        <v>3724.78</v>
      </c>
      <c r="G112" s="37" t="n">
        <v>744.96</v>
      </c>
      <c r="H112" s="37" t="n">
        <v>4469.74</v>
      </c>
      <c r="I112" s="11" t="s">
        <v>314</v>
      </c>
      <c r="J112" s="11" t="s">
        <v>4152</v>
      </c>
      <c r="K112" s="38" t="n">
        <v>46009</v>
      </c>
      <c r="L112" s="38"/>
    </row>
    <row r="113" customFormat="false" ht="15" hidden="false" customHeight="false" outlineLevel="0" collapsed="false">
      <c r="A113" s="11" t="s">
        <v>2725</v>
      </c>
      <c r="B113" s="11" t="s">
        <v>4247</v>
      </c>
      <c r="C113" s="11" t="s">
        <v>414</v>
      </c>
      <c r="D113" s="38" t="n">
        <v>45989</v>
      </c>
      <c r="E113" s="38" t="n">
        <v>46019</v>
      </c>
      <c r="F113" s="37" t="n">
        <v>18416.07</v>
      </c>
      <c r="G113" s="37" t="n">
        <v>3683.21</v>
      </c>
      <c r="H113" s="37" t="n">
        <v>22099.28</v>
      </c>
      <c r="I113" s="11" t="s">
        <v>4293</v>
      </c>
      <c r="J113" s="11" t="s">
        <v>4152</v>
      </c>
      <c r="K113" s="38" t="n">
        <v>46015</v>
      </c>
      <c r="L113" s="38"/>
    </row>
    <row r="114" customFormat="false" ht="15" hidden="false" customHeight="false" outlineLevel="0" collapsed="false">
      <c r="A114" s="11" t="s">
        <v>2765</v>
      </c>
      <c r="B114" s="11" t="s">
        <v>4243</v>
      </c>
      <c r="C114" s="11" t="s">
        <v>313</v>
      </c>
      <c r="D114" s="38" t="n">
        <v>45993</v>
      </c>
      <c r="E114" s="38" t="n">
        <v>46023</v>
      </c>
      <c r="F114" s="37" t="n">
        <v>3579.28</v>
      </c>
      <c r="G114" s="37" t="n">
        <v>715.86</v>
      </c>
      <c r="H114" s="37" t="n">
        <v>4295.14</v>
      </c>
      <c r="I114" s="11" t="s">
        <v>314</v>
      </c>
      <c r="J114" s="11" t="s">
        <v>4152</v>
      </c>
      <c r="K114" s="38" t="n">
        <v>46022</v>
      </c>
      <c r="L114" s="38"/>
    </row>
    <row r="115" customFormat="false" ht="15" hidden="false" customHeight="false" outlineLevel="0" collapsed="false">
      <c r="A115" s="11" t="s">
        <v>2850</v>
      </c>
      <c r="B115" s="11" t="s">
        <v>1253</v>
      </c>
      <c r="C115" s="11" t="s">
        <v>308</v>
      </c>
      <c r="D115" s="38" t="n">
        <v>45994</v>
      </c>
      <c r="E115" s="38" t="n">
        <v>46039</v>
      </c>
      <c r="F115" s="37" t="n">
        <v>25998.31</v>
      </c>
      <c r="G115" s="37" t="n">
        <v>5199.66</v>
      </c>
      <c r="H115" s="37" t="n">
        <v>31197.97</v>
      </c>
      <c r="I115" s="11" t="s">
        <v>310</v>
      </c>
      <c r="J115" s="11" t="s">
        <v>4152</v>
      </c>
      <c r="K115" s="38" t="n">
        <v>46037</v>
      </c>
      <c r="L115" s="38"/>
    </row>
    <row r="116" customFormat="false" ht="15" hidden="false" customHeight="false" outlineLevel="0" collapsed="false">
      <c r="A116" s="11" t="s">
        <v>2762</v>
      </c>
      <c r="B116" s="11" t="s">
        <v>1247</v>
      </c>
      <c r="C116" s="11" t="s">
        <v>420</v>
      </c>
      <c r="D116" s="38" t="n">
        <v>45996</v>
      </c>
      <c r="E116" s="38" t="n">
        <v>46026</v>
      </c>
      <c r="F116" s="37" t="n">
        <v>98302.19</v>
      </c>
      <c r="G116" s="37" t="n">
        <v>0</v>
      </c>
      <c r="H116" s="37" t="n">
        <v>98302.19</v>
      </c>
      <c r="I116" s="11" t="s">
        <v>4294</v>
      </c>
      <c r="J116" s="11" t="s">
        <v>4152</v>
      </c>
      <c r="K116" s="38" t="n">
        <v>46022</v>
      </c>
      <c r="L116" s="38"/>
    </row>
    <row r="117" customFormat="false" ht="15" hidden="false" customHeight="false" outlineLevel="0" collapsed="false">
      <c r="A117" s="11" t="s">
        <v>2760</v>
      </c>
      <c r="B117" s="11" t="s">
        <v>1247</v>
      </c>
      <c r="C117" s="11" t="s">
        <v>420</v>
      </c>
      <c r="D117" s="38" t="n">
        <v>45999</v>
      </c>
      <c r="E117" s="38" t="n">
        <v>46029</v>
      </c>
      <c r="F117" s="37" t="n">
        <v>22000</v>
      </c>
      <c r="G117" s="37" t="n">
        <v>0</v>
      </c>
      <c r="H117" s="37" t="n">
        <v>22000</v>
      </c>
      <c r="I117" s="11" t="s">
        <v>4295</v>
      </c>
      <c r="J117" s="11" t="s">
        <v>4152</v>
      </c>
      <c r="K117" s="38" t="n">
        <v>46022</v>
      </c>
      <c r="L117" s="38"/>
    </row>
    <row r="118" customFormat="false" ht="15" hidden="false" customHeight="false" outlineLevel="0" collapsed="false">
      <c r="A118" s="11" t="s">
        <v>2814</v>
      </c>
      <c r="B118" s="11" t="s">
        <v>4243</v>
      </c>
      <c r="C118" s="11" t="s">
        <v>313</v>
      </c>
      <c r="D118" s="38" t="n">
        <v>46000</v>
      </c>
      <c r="E118" s="38" t="n">
        <v>46030</v>
      </c>
      <c r="F118" s="37" t="n">
        <v>3764.36</v>
      </c>
      <c r="G118" s="37" t="n">
        <v>752.87</v>
      </c>
      <c r="H118" s="37" t="n">
        <v>4517.23</v>
      </c>
      <c r="I118" s="11" t="s">
        <v>314</v>
      </c>
      <c r="J118" s="11" t="s">
        <v>4152</v>
      </c>
      <c r="K118" s="38" t="n">
        <v>46030</v>
      </c>
      <c r="L118" s="38"/>
    </row>
    <row r="119" customFormat="false" ht="15" hidden="false" customHeight="false" outlineLevel="0" collapsed="false">
      <c r="A119" s="11" t="s">
        <v>2947</v>
      </c>
      <c r="B119" s="11" t="s">
        <v>4242</v>
      </c>
      <c r="C119" s="11" t="s">
        <v>458</v>
      </c>
      <c r="D119" s="38" t="n">
        <v>46001</v>
      </c>
      <c r="E119" s="38" t="n">
        <v>46061</v>
      </c>
      <c r="F119" s="37" t="n">
        <v>22199.73</v>
      </c>
      <c r="G119" s="37" t="n">
        <v>4439.95</v>
      </c>
      <c r="H119" s="37" t="n">
        <v>26639.68</v>
      </c>
      <c r="I119" s="11" t="s">
        <v>459</v>
      </c>
      <c r="J119" s="11" t="s">
        <v>4152</v>
      </c>
      <c r="K119" s="38" t="n">
        <v>46058</v>
      </c>
      <c r="L119" s="38"/>
    </row>
    <row r="120" customFormat="false" ht="15" hidden="false" customHeight="false" outlineLevel="0" collapsed="false">
      <c r="A120" s="11" t="s">
        <v>2818</v>
      </c>
      <c r="B120" s="11" t="s">
        <v>4245</v>
      </c>
      <c r="C120" s="11" t="s">
        <v>464</v>
      </c>
      <c r="D120" s="38" t="n">
        <v>46003</v>
      </c>
      <c r="E120" s="38" t="n">
        <v>46033</v>
      </c>
      <c r="F120" s="37" t="n">
        <v>9456.16</v>
      </c>
      <c r="G120" s="37" t="n">
        <v>1891.23</v>
      </c>
      <c r="H120" s="37" t="n">
        <v>11347.39</v>
      </c>
      <c r="I120" s="11" t="s">
        <v>466</v>
      </c>
      <c r="J120" s="11" t="s">
        <v>4152</v>
      </c>
      <c r="K120" s="38" t="n">
        <v>46030</v>
      </c>
      <c r="L120" s="38"/>
    </row>
    <row r="121" customFormat="false" ht="15" hidden="false" customHeight="false" outlineLevel="0" collapsed="false">
      <c r="A121" s="11" t="s">
        <v>2854</v>
      </c>
      <c r="B121" s="11" t="s">
        <v>4243</v>
      </c>
      <c r="C121" s="11" t="s">
        <v>313</v>
      </c>
      <c r="D121" s="38" t="n">
        <v>46007</v>
      </c>
      <c r="E121" s="38" t="n">
        <v>46037</v>
      </c>
      <c r="F121" s="37" t="n">
        <v>3537.04</v>
      </c>
      <c r="G121" s="37" t="n">
        <v>707.41</v>
      </c>
      <c r="H121" s="37" t="n">
        <v>4244.45</v>
      </c>
      <c r="I121" s="11" t="s">
        <v>314</v>
      </c>
      <c r="J121" s="11" t="s">
        <v>4152</v>
      </c>
      <c r="K121" s="38" t="n">
        <v>46037</v>
      </c>
      <c r="L121" s="38"/>
    </row>
    <row r="122" customFormat="false" ht="15" hidden="false" customHeight="false" outlineLevel="0" collapsed="false">
      <c r="A122" s="11" t="s">
        <v>2911</v>
      </c>
      <c r="B122" s="11" t="s">
        <v>1253</v>
      </c>
      <c r="C122" s="11" t="s">
        <v>308</v>
      </c>
      <c r="D122" s="38" t="n">
        <v>46008</v>
      </c>
      <c r="E122" s="38" t="n">
        <v>46053</v>
      </c>
      <c r="F122" s="37" t="n">
        <v>25550.98</v>
      </c>
      <c r="G122" s="37" t="n">
        <v>5110.2</v>
      </c>
      <c r="H122" s="37" t="n">
        <v>30661.18</v>
      </c>
      <c r="I122" s="11" t="s">
        <v>411</v>
      </c>
      <c r="J122" s="11" t="s">
        <v>4152</v>
      </c>
      <c r="K122" s="38" t="n">
        <v>46051</v>
      </c>
      <c r="L122" s="38"/>
    </row>
    <row r="123" customFormat="false" ht="15" hidden="false" customHeight="false" outlineLevel="0" collapsed="false">
      <c r="A123" s="11" t="s">
        <v>2886</v>
      </c>
      <c r="B123" s="11" t="s">
        <v>4243</v>
      </c>
      <c r="C123" s="11" t="s">
        <v>313</v>
      </c>
      <c r="D123" s="38" t="n">
        <v>46014</v>
      </c>
      <c r="E123" s="38" t="n">
        <v>46044</v>
      </c>
      <c r="F123" s="37" t="n">
        <v>3593.87</v>
      </c>
      <c r="G123" s="37" t="n">
        <v>718.77</v>
      </c>
      <c r="H123" s="37" t="n">
        <v>4312.64</v>
      </c>
      <c r="I123" s="11" t="s">
        <v>314</v>
      </c>
      <c r="J123" s="11" t="s">
        <v>4152</v>
      </c>
      <c r="K123" s="38" t="n">
        <v>46044</v>
      </c>
      <c r="L123" s="38"/>
    </row>
    <row r="124" customFormat="false" ht="15" hidden="false" customHeight="false" outlineLevel="0" collapsed="false">
      <c r="A124" s="11" t="s">
        <v>2907</v>
      </c>
      <c r="B124" s="11" t="s">
        <v>4247</v>
      </c>
      <c r="C124" s="11" t="s">
        <v>414</v>
      </c>
      <c r="D124" s="38" t="n">
        <v>46022</v>
      </c>
      <c r="E124" s="38" t="n">
        <v>46052</v>
      </c>
      <c r="F124" s="37" t="n">
        <v>14704.14</v>
      </c>
      <c r="G124" s="37" t="n">
        <v>2940.83</v>
      </c>
      <c r="H124" s="37" t="n">
        <v>17644.97</v>
      </c>
      <c r="I124" s="11" t="s">
        <v>4296</v>
      </c>
      <c r="J124" s="11" t="s">
        <v>4152</v>
      </c>
      <c r="K124" s="38" t="n">
        <v>46051</v>
      </c>
      <c r="L124" s="38"/>
    </row>
    <row r="125" customFormat="false" ht="15" hidden="false" customHeight="false" outlineLevel="0" collapsed="false">
      <c r="A125" s="11" t="s">
        <v>2917</v>
      </c>
      <c r="B125" s="11" t="s">
        <v>4243</v>
      </c>
      <c r="C125" s="11" t="s">
        <v>313</v>
      </c>
      <c r="D125" s="38" t="n">
        <v>46024</v>
      </c>
      <c r="E125" s="38" t="n">
        <v>46054</v>
      </c>
      <c r="F125" s="37" t="n">
        <v>4014.97</v>
      </c>
      <c r="G125" s="37" t="n">
        <v>802.99</v>
      </c>
      <c r="H125" s="37" t="n">
        <v>4817.96</v>
      </c>
      <c r="I125" s="11" t="s">
        <v>314</v>
      </c>
      <c r="J125" s="11" t="s">
        <v>4152</v>
      </c>
      <c r="K125" s="38" t="n">
        <v>46051</v>
      </c>
      <c r="L125" s="38"/>
    </row>
    <row r="126" customFormat="false" ht="15" hidden="false" customHeight="false" outlineLevel="0" collapsed="false">
      <c r="A126" s="11" t="s">
        <v>2913</v>
      </c>
      <c r="B126" s="11" t="s">
        <v>1247</v>
      </c>
      <c r="C126" s="11" t="s">
        <v>420</v>
      </c>
      <c r="D126" s="38" t="n">
        <v>46027</v>
      </c>
      <c r="E126" s="38" t="n">
        <v>46057</v>
      </c>
      <c r="F126" s="37" t="n">
        <v>109260.3</v>
      </c>
      <c r="G126" s="37" t="n">
        <v>0</v>
      </c>
      <c r="H126" s="37" t="n">
        <v>109260.3</v>
      </c>
      <c r="I126" s="11" t="s">
        <v>4297</v>
      </c>
      <c r="J126" s="11" t="s">
        <v>4152</v>
      </c>
      <c r="K126" s="38" t="n">
        <v>46051</v>
      </c>
      <c r="L126" s="38"/>
    </row>
    <row r="127" customFormat="false" ht="15" hidden="false" customHeight="false" outlineLevel="0" collapsed="false">
      <c r="A127" s="11" t="s">
        <v>3010</v>
      </c>
      <c r="B127" s="11" t="s">
        <v>1253</v>
      </c>
      <c r="C127" s="11" t="s">
        <v>308</v>
      </c>
      <c r="D127" s="38" t="n">
        <v>46027</v>
      </c>
      <c r="E127" s="38" t="n">
        <v>46072</v>
      </c>
      <c r="F127" s="37" t="n">
        <v>24287.4</v>
      </c>
      <c r="G127" s="37" t="n">
        <v>4857.48</v>
      </c>
      <c r="H127" s="37" t="n">
        <v>29144.88</v>
      </c>
      <c r="I127" s="11" t="s">
        <v>310</v>
      </c>
      <c r="J127" s="11" t="s">
        <v>4152</v>
      </c>
      <c r="K127" s="38" t="n">
        <v>46072</v>
      </c>
      <c r="L127" s="38"/>
    </row>
    <row r="128" customFormat="false" ht="15" hidden="false" customHeight="false" outlineLevel="0" collapsed="false">
      <c r="A128" s="11" t="s">
        <v>2942</v>
      </c>
      <c r="B128" s="11" t="s">
        <v>4243</v>
      </c>
      <c r="C128" s="11" t="s">
        <v>313</v>
      </c>
      <c r="D128" s="38" t="n">
        <v>46031</v>
      </c>
      <c r="E128" s="38" t="n">
        <v>46061</v>
      </c>
      <c r="F128" s="37" t="n">
        <v>4056.39</v>
      </c>
      <c r="G128" s="37" t="n">
        <v>811.28</v>
      </c>
      <c r="H128" s="37" t="n">
        <v>4867.67</v>
      </c>
      <c r="I128" s="11" t="s">
        <v>314</v>
      </c>
      <c r="J128" s="11" t="s">
        <v>4152</v>
      </c>
      <c r="K128" s="38" t="n">
        <v>46058</v>
      </c>
      <c r="L128" s="38"/>
    </row>
    <row r="129" customFormat="false" ht="15" hidden="false" customHeight="false" outlineLevel="0" collapsed="false">
      <c r="A129" s="11" t="s">
        <v>2940</v>
      </c>
      <c r="B129" s="11" t="s">
        <v>4245</v>
      </c>
      <c r="C129" s="11" t="s">
        <v>464</v>
      </c>
      <c r="D129" s="38" t="n">
        <v>46034</v>
      </c>
      <c r="E129" s="38" t="n">
        <v>46064</v>
      </c>
      <c r="F129" s="37" t="n">
        <v>9999.2</v>
      </c>
      <c r="G129" s="37" t="n">
        <v>1999.84</v>
      </c>
      <c r="H129" s="37" t="n">
        <v>11999.04</v>
      </c>
      <c r="I129" s="11" t="s">
        <v>466</v>
      </c>
      <c r="J129" s="11" t="s">
        <v>4152</v>
      </c>
      <c r="K129" s="38" t="n">
        <v>46058</v>
      </c>
      <c r="L129" s="38"/>
    </row>
    <row r="130" customFormat="false" ht="15" hidden="false" customHeight="false" outlineLevel="0" collapsed="false">
      <c r="A130" s="11" t="s">
        <v>3114</v>
      </c>
      <c r="B130" s="11" t="s">
        <v>4242</v>
      </c>
      <c r="C130" s="11" t="s">
        <v>458</v>
      </c>
      <c r="D130" s="38" t="n">
        <v>46034</v>
      </c>
      <c r="E130" s="38" t="n">
        <v>46094</v>
      </c>
      <c r="F130" s="37" t="n">
        <v>24290.82</v>
      </c>
      <c r="G130" s="37" t="n">
        <v>4858.16</v>
      </c>
      <c r="H130" s="37" t="n">
        <v>29148.98</v>
      </c>
      <c r="I130" s="11" t="s">
        <v>459</v>
      </c>
      <c r="J130" s="11" t="s">
        <v>4152</v>
      </c>
      <c r="K130" s="38" t="n">
        <v>46093</v>
      </c>
      <c r="L130" s="38"/>
    </row>
    <row r="131" customFormat="false" ht="15" hidden="false" customHeight="false" outlineLevel="0" collapsed="false">
      <c r="A131" s="11" t="s">
        <v>2978</v>
      </c>
      <c r="B131" s="11" t="s">
        <v>4243</v>
      </c>
      <c r="C131" s="11" t="s">
        <v>313</v>
      </c>
      <c r="D131" s="38" t="n">
        <v>46038</v>
      </c>
      <c r="E131" s="38" t="n">
        <v>46068</v>
      </c>
      <c r="F131" s="37" t="n">
        <v>3680.3</v>
      </c>
      <c r="G131" s="37" t="n">
        <v>736.06</v>
      </c>
      <c r="H131" s="37" t="n">
        <v>4416.36</v>
      </c>
      <c r="I131" s="11" t="s">
        <v>314</v>
      </c>
      <c r="J131" s="11" t="s">
        <v>4152</v>
      </c>
      <c r="K131" s="38" t="n">
        <v>46065</v>
      </c>
      <c r="L131" s="38"/>
    </row>
    <row r="132" customFormat="false" ht="15" hidden="false" customHeight="false" outlineLevel="0" collapsed="false">
      <c r="A132" s="11" t="s">
        <v>3079</v>
      </c>
      <c r="B132" s="11" t="s">
        <v>1253</v>
      </c>
      <c r="C132" s="11" t="s">
        <v>308</v>
      </c>
      <c r="D132" s="38" t="n">
        <v>46041</v>
      </c>
      <c r="E132" s="38" t="n">
        <v>46086</v>
      </c>
      <c r="F132" s="37" t="n">
        <v>27216.87</v>
      </c>
      <c r="G132" s="37" t="n">
        <v>5443.37</v>
      </c>
      <c r="H132" s="37" t="n">
        <v>32660.24</v>
      </c>
      <c r="I132" s="11" t="s">
        <v>411</v>
      </c>
      <c r="J132" s="11" t="s">
        <v>4152</v>
      </c>
      <c r="K132" s="38" t="n">
        <v>46086</v>
      </c>
      <c r="L132" s="38"/>
    </row>
    <row r="133" customFormat="false" ht="15" hidden="false" customHeight="false" outlineLevel="0" collapsed="false">
      <c r="A133" s="11" t="s">
        <v>3012</v>
      </c>
      <c r="B133" s="11" t="s">
        <v>4243</v>
      </c>
      <c r="C133" s="11" t="s">
        <v>313</v>
      </c>
      <c r="D133" s="38" t="n">
        <v>46045</v>
      </c>
      <c r="E133" s="38" t="n">
        <v>46075</v>
      </c>
      <c r="F133" s="37" t="n">
        <v>3937.14</v>
      </c>
      <c r="G133" s="37" t="n">
        <v>787.43</v>
      </c>
      <c r="H133" s="37" t="n">
        <v>4724.57</v>
      </c>
      <c r="I133" s="11" t="s">
        <v>314</v>
      </c>
      <c r="J133" s="11" t="s">
        <v>4152</v>
      </c>
      <c r="K133" s="38" t="n">
        <v>46072</v>
      </c>
      <c r="L133" s="38"/>
    </row>
    <row r="134" customFormat="false" ht="15" hidden="false" customHeight="false" outlineLevel="0" collapsed="false">
      <c r="A134" s="11" t="s">
        <v>3049</v>
      </c>
      <c r="B134" s="11" t="s">
        <v>4247</v>
      </c>
      <c r="C134" s="11" t="s">
        <v>414</v>
      </c>
      <c r="D134" s="38" t="n">
        <v>46052</v>
      </c>
      <c r="E134" s="38" t="n">
        <v>46082</v>
      </c>
      <c r="F134" s="37" t="n">
        <v>13682.05</v>
      </c>
      <c r="G134" s="37" t="n">
        <v>2736.41</v>
      </c>
      <c r="H134" s="37" t="n">
        <v>16418.46</v>
      </c>
      <c r="I134" s="11" t="s">
        <v>4298</v>
      </c>
      <c r="J134" s="11" t="s">
        <v>4152</v>
      </c>
      <c r="K134" s="38" t="n">
        <v>46079</v>
      </c>
      <c r="L134" s="38"/>
    </row>
    <row r="135" customFormat="false" ht="15" hidden="false" customHeight="false" outlineLevel="0" collapsed="false">
      <c r="A135" s="11" t="s">
        <v>3047</v>
      </c>
      <c r="B135" s="11" t="s">
        <v>4243</v>
      </c>
      <c r="C135" s="11" t="s">
        <v>313</v>
      </c>
      <c r="D135" s="38" t="n">
        <v>46055</v>
      </c>
      <c r="E135" s="38" t="n">
        <v>46085</v>
      </c>
      <c r="F135" s="37" t="n">
        <v>4003.55</v>
      </c>
      <c r="G135" s="37" t="n">
        <v>800.71</v>
      </c>
      <c r="H135" s="37" t="n">
        <v>4804.26</v>
      </c>
      <c r="I135" s="11" t="s">
        <v>314</v>
      </c>
      <c r="J135" s="11" t="s">
        <v>4152</v>
      </c>
      <c r="K135" s="38" t="n">
        <v>46079</v>
      </c>
      <c r="L135" s="38"/>
    </row>
    <row r="136" customFormat="false" ht="15" hidden="false" customHeight="false" outlineLevel="0" collapsed="false">
      <c r="A136" s="11" t="s">
        <v>3145</v>
      </c>
      <c r="B136" s="11" t="s">
        <v>1253</v>
      </c>
      <c r="C136" s="11" t="s">
        <v>308</v>
      </c>
      <c r="D136" s="38" t="n">
        <v>46056</v>
      </c>
      <c r="E136" s="38" t="n">
        <v>46101</v>
      </c>
      <c r="F136" s="37" t="n">
        <v>26215.51</v>
      </c>
      <c r="G136" s="37" t="n">
        <v>5243.1</v>
      </c>
      <c r="H136" s="37" t="n">
        <v>31458.61</v>
      </c>
      <c r="I136" s="11" t="s">
        <v>310</v>
      </c>
      <c r="J136" s="11" t="s">
        <v>4152</v>
      </c>
      <c r="K136" s="38" t="n">
        <v>46100</v>
      </c>
      <c r="L136" s="38"/>
    </row>
    <row r="137" customFormat="false" ht="15" hidden="false" customHeight="false" outlineLevel="0" collapsed="false">
      <c r="A137" s="11" t="s">
        <v>3083</v>
      </c>
      <c r="B137" s="11" t="s">
        <v>1247</v>
      </c>
      <c r="C137" s="11" t="s">
        <v>420</v>
      </c>
      <c r="D137" s="38" t="n">
        <v>46058</v>
      </c>
      <c r="E137" s="38" t="n">
        <v>46088</v>
      </c>
      <c r="F137" s="37" t="n">
        <v>106441.79</v>
      </c>
      <c r="G137" s="37" t="n">
        <v>0</v>
      </c>
      <c r="H137" s="37" t="n">
        <v>106441.79</v>
      </c>
      <c r="I137" s="11" t="s">
        <v>4299</v>
      </c>
      <c r="J137" s="11" t="s">
        <v>4152</v>
      </c>
      <c r="K137" s="38" t="n">
        <v>46086</v>
      </c>
      <c r="L137" s="38"/>
    </row>
    <row r="138" customFormat="false" ht="15" hidden="false" customHeight="false" outlineLevel="0" collapsed="false">
      <c r="A138" s="11" t="s">
        <v>3074</v>
      </c>
      <c r="B138" s="11" t="s">
        <v>4243</v>
      </c>
      <c r="C138" s="11" t="s">
        <v>313</v>
      </c>
      <c r="D138" s="38" t="n">
        <v>46062</v>
      </c>
      <c r="E138" s="38" t="n">
        <v>46092</v>
      </c>
      <c r="F138" s="37" t="n">
        <v>3956.4</v>
      </c>
      <c r="G138" s="37" t="n">
        <v>791.28</v>
      </c>
      <c r="H138" s="37" t="n">
        <v>4747.68</v>
      </c>
      <c r="I138" s="11" t="s">
        <v>314</v>
      </c>
      <c r="J138" s="11" t="s">
        <v>4152</v>
      </c>
      <c r="K138" s="38" t="n">
        <v>46086</v>
      </c>
      <c r="L138" s="38"/>
    </row>
    <row r="139" customFormat="false" ht="15" hidden="false" customHeight="false" outlineLevel="0" collapsed="false">
      <c r="A139" s="11" t="s">
        <v>3241</v>
      </c>
      <c r="B139" s="11" t="s">
        <v>4242</v>
      </c>
      <c r="C139" s="11" t="s">
        <v>458</v>
      </c>
      <c r="D139" s="38" t="n">
        <v>46063</v>
      </c>
      <c r="E139" s="38" t="n">
        <v>46123</v>
      </c>
      <c r="F139" s="37" t="n">
        <v>30094.82</v>
      </c>
      <c r="G139" s="37" t="n">
        <v>6018.96</v>
      </c>
      <c r="H139" s="37" t="n">
        <v>36113.78</v>
      </c>
      <c r="I139" s="11" t="s">
        <v>459</v>
      </c>
      <c r="J139" s="11" t="s">
        <v>4152</v>
      </c>
      <c r="K139" s="38" t="n">
        <v>46121</v>
      </c>
      <c r="L139" s="38"/>
    </row>
    <row r="140" customFormat="false" ht="15" hidden="false" customHeight="false" outlineLevel="0" collapsed="false">
      <c r="A140" s="11" t="s">
        <v>3112</v>
      </c>
      <c r="B140" s="11" t="s">
        <v>4245</v>
      </c>
      <c r="C140" s="11" t="s">
        <v>464</v>
      </c>
      <c r="D140" s="38" t="n">
        <v>46065</v>
      </c>
      <c r="E140" s="38" t="n">
        <v>46095</v>
      </c>
      <c r="F140" s="37" t="n">
        <v>9741.48</v>
      </c>
      <c r="G140" s="37" t="n">
        <v>1948.3</v>
      </c>
      <c r="H140" s="37" t="n">
        <v>11689.78</v>
      </c>
      <c r="I140" s="11" t="s">
        <v>466</v>
      </c>
      <c r="J140" s="11" t="s">
        <v>4152</v>
      </c>
      <c r="K140" s="38" t="n">
        <v>46093</v>
      </c>
      <c r="L140" s="38"/>
    </row>
    <row r="141" customFormat="false" ht="15" hidden="false" customHeight="false" outlineLevel="0" collapsed="false">
      <c r="A141" s="11" t="s">
        <v>3108</v>
      </c>
      <c r="B141" s="11" t="s">
        <v>4243</v>
      </c>
      <c r="C141" s="11" t="s">
        <v>313</v>
      </c>
      <c r="D141" s="38" t="n">
        <v>46069</v>
      </c>
      <c r="E141" s="38" t="n">
        <v>46099</v>
      </c>
      <c r="F141" s="37" t="n">
        <v>4117.89</v>
      </c>
      <c r="G141" s="37" t="n">
        <v>823.58</v>
      </c>
      <c r="H141" s="37" t="n">
        <v>4941.47</v>
      </c>
      <c r="I141" s="11" t="s">
        <v>314</v>
      </c>
      <c r="J141" s="11" t="s">
        <v>4152</v>
      </c>
      <c r="K141" s="38" t="n">
        <v>46093</v>
      </c>
      <c r="L141" s="38"/>
    </row>
    <row r="142" customFormat="false" ht="15" hidden="false" customHeight="false" outlineLevel="0" collapsed="false">
      <c r="A142" s="11" t="s">
        <v>3207</v>
      </c>
      <c r="B142" s="11" t="s">
        <v>1253</v>
      </c>
      <c r="C142" s="11" t="s">
        <v>308</v>
      </c>
      <c r="D142" s="38" t="n">
        <v>46070</v>
      </c>
      <c r="E142" s="38" t="n">
        <v>46115</v>
      </c>
      <c r="F142" s="37" t="n">
        <v>25314.89</v>
      </c>
      <c r="G142" s="37" t="n">
        <v>5062.98</v>
      </c>
      <c r="H142" s="37" t="n">
        <v>30377.87</v>
      </c>
      <c r="I142" s="11" t="s">
        <v>411</v>
      </c>
      <c r="J142" s="11" t="s">
        <v>4152</v>
      </c>
      <c r="K142" s="38" t="n">
        <v>46114</v>
      </c>
      <c r="L142" s="38"/>
    </row>
    <row r="143" customFormat="false" ht="15" hidden="false" customHeight="false" outlineLevel="0" collapsed="false">
      <c r="A143" s="11" t="s">
        <v>3143</v>
      </c>
      <c r="B143" s="11" t="s">
        <v>4243</v>
      </c>
      <c r="C143" s="11" t="s">
        <v>313</v>
      </c>
      <c r="D143" s="38" t="n">
        <v>46076</v>
      </c>
      <c r="E143" s="38" t="n">
        <v>46106</v>
      </c>
      <c r="F143" s="37" t="n">
        <v>3908.26</v>
      </c>
      <c r="G143" s="37" t="n">
        <v>781.65</v>
      </c>
      <c r="H143" s="37" t="n">
        <v>4689.91</v>
      </c>
      <c r="I143" s="11" t="s">
        <v>314</v>
      </c>
      <c r="J143" s="11" t="s">
        <v>4152</v>
      </c>
      <c r="K143" s="38" t="n">
        <v>46100</v>
      </c>
      <c r="L143" s="38"/>
    </row>
    <row r="144" customFormat="false" ht="15" hidden="false" customHeight="false" outlineLevel="0" collapsed="false">
      <c r="A144" s="11" t="s">
        <v>3171</v>
      </c>
      <c r="B144" s="11" t="s">
        <v>4247</v>
      </c>
      <c r="C144" s="11" t="s">
        <v>414</v>
      </c>
      <c r="D144" s="38" t="n">
        <v>46080</v>
      </c>
      <c r="E144" s="38" t="n">
        <v>46110</v>
      </c>
      <c r="F144" s="37" t="n">
        <v>12483.77</v>
      </c>
      <c r="G144" s="37" t="n">
        <v>2496.75</v>
      </c>
      <c r="H144" s="37" t="n">
        <v>14980.52</v>
      </c>
      <c r="I144" s="11" t="s">
        <v>4300</v>
      </c>
      <c r="J144" s="11" t="s">
        <v>4152</v>
      </c>
      <c r="K144" s="38" t="n">
        <v>46107</v>
      </c>
      <c r="L144" s="38"/>
    </row>
    <row r="145" customFormat="false" ht="15" hidden="false" customHeight="false" outlineLevel="0" collapsed="false">
      <c r="A145" s="11" t="s">
        <v>3173</v>
      </c>
      <c r="B145" s="11" t="s">
        <v>4243</v>
      </c>
      <c r="C145" s="11" t="s">
        <v>313</v>
      </c>
      <c r="D145" s="38" t="n">
        <v>46083</v>
      </c>
      <c r="E145" s="38" t="n">
        <v>46113</v>
      </c>
      <c r="F145" s="37" t="n">
        <v>4061.1</v>
      </c>
      <c r="G145" s="37" t="n">
        <v>812.22</v>
      </c>
      <c r="H145" s="37" t="n">
        <v>4873.32</v>
      </c>
      <c r="I145" s="11" t="s">
        <v>314</v>
      </c>
      <c r="J145" s="11" t="s">
        <v>4152</v>
      </c>
      <c r="K145" s="38" t="n">
        <v>46107</v>
      </c>
      <c r="L145" s="38"/>
    </row>
    <row r="146" customFormat="false" ht="15" hidden="false" customHeight="false" outlineLevel="0" collapsed="false">
      <c r="A146" s="11" t="s">
        <v>3292</v>
      </c>
      <c r="B146" s="11" t="s">
        <v>1253</v>
      </c>
      <c r="C146" s="11" t="s">
        <v>308</v>
      </c>
      <c r="D146" s="38" t="n">
        <v>46084</v>
      </c>
      <c r="E146" s="38" t="n">
        <v>46129</v>
      </c>
      <c r="F146" s="37" t="n">
        <v>29603.62</v>
      </c>
      <c r="G146" s="37" t="n">
        <v>5920.72</v>
      </c>
      <c r="H146" s="37" t="n">
        <v>35524.34</v>
      </c>
      <c r="I146" s="11" t="s">
        <v>310</v>
      </c>
      <c r="J146" s="11" t="s">
        <v>4152</v>
      </c>
      <c r="K146" s="38" t="n">
        <v>46128</v>
      </c>
      <c r="L146" s="38"/>
    </row>
    <row r="147" customFormat="false" ht="15" hidden="false" customHeight="false" outlineLevel="0" collapsed="false">
      <c r="A147" s="11" t="s">
        <v>3205</v>
      </c>
      <c r="B147" s="11" t="s">
        <v>1247</v>
      </c>
      <c r="C147" s="11" t="s">
        <v>420</v>
      </c>
      <c r="D147" s="38" t="n">
        <v>46086</v>
      </c>
      <c r="E147" s="38" t="n">
        <v>46116</v>
      </c>
      <c r="F147" s="37" t="n">
        <v>109452.55</v>
      </c>
      <c r="G147" s="37" t="n">
        <v>0</v>
      </c>
      <c r="H147" s="37" t="n">
        <v>109452.55</v>
      </c>
      <c r="I147" s="11" t="s">
        <v>4301</v>
      </c>
      <c r="J147" s="11" t="s">
        <v>4152</v>
      </c>
      <c r="K147" s="38" t="n">
        <v>46114</v>
      </c>
      <c r="L147" s="38"/>
    </row>
    <row r="148" customFormat="false" ht="15" hidden="false" customHeight="false" outlineLevel="0" collapsed="false">
      <c r="A148" s="11" t="s">
        <v>3209</v>
      </c>
      <c r="B148" s="11" t="s">
        <v>4243</v>
      </c>
      <c r="C148" s="11" t="s">
        <v>313</v>
      </c>
      <c r="D148" s="38" t="n">
        <v>46090</v>
      </c>
      <c r="E148" s="38" t="n">
        <v>46120</v>
      </c>
      <c r="F148" s="37" t="n">
        <v>4730.12</v>
      </c>
      <c r="G148" s="37" t="n">
        <v>946.02</v>
      </c>
      <c r="H148" s="37" t="n">
        <v>5676.14</v>
      </c>
      <c r="I148" s="11" t="s">
        <v>314</v>
      </c>
      <c r="J148" s="11" t="s">
        <v>4152</v>
      </c>
      <c r="K148" s="38" t="n">
        <v>46114</v>
      </c>
      <c r="L148" s="38"/>
    </row>
    <row r="149" customFormat="false" ht="15" hidden="false" customHeight="false" outlineLevel="0" collapsed="false">
      <c r="A149" s="11" t="s">
        <v>3390</v>
      </c>
      <c r="B149" s="11" t="s">
        <v>4242</v>
      </c>
      <c r="C149" s="11" t="s">
        <v>458</v>
      </c>
      <c r="D149" s="38" t="n">
        <v>46091</v>
      </c>
      <c r="E149" s="38" t="n">
        <v>46151</v>
      </c>
      <c r="F149" s="37" t="n">
        <v>28728.77</v>
      </c>
      <c r="G149" s="37" t="n">
        <v>5745.75</v>
      </c>
      <c r="H149" s="37" t="n">
        <v>34474.52</v>
      </c>
      <c r="I149" s="11" t="s">
        <v>459</v>
      </c>
      <c r="J149" s="11" t="s">
        <v>4152</v>
      </c>
      <c r="K149" s="38" t="n">
        <v>46149</v>
      </c>
      <c r="L149" s="38"/>
    </row>
    <row r="150" customFormat="false" ht="15" hidden="false" customHeight="false" outlineLevel="0" collapsed="false">
      <c r="A150" s="11" t="s">
        <v>3243</v>
      </c>
      <c r="B150" s="11" t="s">
        <v>4245</v>
      </c>
      <c r="C150" s="11" t="s">
        <v>464</v>
      </c>
      <c r="D150" s="38" t="n">
        <v>46093</v>
      </c>
      <c r="E150" s="38" t="n">
        <v>46123</v>
      </c>
      <c r="F150" s="37" t="n">
        <v>10537.97</v>
      </c>
      <c r="G150" s="37" t="n">
        <v>2107.59</v>
      </c>
      <c r="H150" s="37" t="n">
        <v>12645.56</v>
      </c>
      <c r="I150" s="11" t="s">
        <v>466</v>
      </c>
      <c r="J150" s="11" t="s">
        <v>4152</v>
      </c>
      <c r="K150" s="38" t="n">
        <v>46121</v>
      </c>
      <c r="L150" s="38"/>
    </row>
    <row r="151" customFormat="false" ht="15" hidden="false" customHeight="false" outlineLevel="0" collapsed="false">
      <c r="A151" s="11" t="s">
        <v>3237</v>
      </c>
      <c r="B151" s="11" t="s">
        <v>4243</v>
      </c>
      <c r="C151" s="11" t="s">
        <v>313</v>
      </c>
      <c r="D151" s="38" t="n">
        <v>46097</v>
      </c>
      <c r="E151" s="38" t="n">
        <v>46127</v>
      </c>
      <c r="F151" s="37" t="n">
        <v>4388.12</v>
      </c>
      <c r="G151" s="37" t="n">
        <v>877.62</v>
      </c>
      <c r="H151" s="37" t="n">
        <v>5265.74</v>
      </c>
      <c r="I151" s="11" t="s">
        <v>314</v>
      </c>
      <c r="J151" s="11" t="s">
        <v>4152</v>
      </c>
      <c r="K151" s="38" t="n">
        <v>46121</v>
      </c>
      <c r="L151" s="38"/>
    </row>
    <row r="152" customFormat="false" ht="15" hidden="false" customHeight="false" outlineLevel="0" collapsed="false">
      <c r="A152" s="11" t="s">
        <v>3347</v>
      </c>
      <c r="B152" s="11" t="s">
        <v>1253</v>
      </c>
      <c r="C152" s="11" t="s">
        <v>308</v>
      </c>
      <c r="D152" s="38" t="n">
        <v>46098</v>
      </c>
      <c r="E152" s="38" t="n">
        <v>46143</v>
      </c>
      <c r="F152" s="37" t="n">
        <v>29664.13</v>
      </c>
      <c r="G152" s="37" t="n">
        <v>5932.83</v>
      </c>
      <c r="H152" s="37" t="n">
        <v>35596.96</v>
      </c>
      <c r="I152" s="11" t="s">
        <v>411</v>
      </c>
      <c r="J152" s="11" t="s">
        <v>4152</v>
      </c>
      <c r="K152" s="38" t="n">
        <v>46142</v>
      </c>
      <c r="L152" s="38"/>
    </row>
    <row r="153" customFormat="false" ht="15" hidden="false" customHeight="false" outlineLevel="0" collapsed="false">
      <c r="A153" s="11" t="s">
        <v>3280</v>
      </c>
      <c r="B153" s="11" t="s">
        <v>4243</v>
      </c>
      <c r="C153" s="11" t="s">
        <v>313</v>
      </c>
      <c r="D153" s="38" t="n">
        <v>46104</v>
      </c>
      <c r="E153" s="38" t="n">
        <v>46134</v>
      </c>
      <c r="F153" s="37" t="n">
        <v>3961.94</v>
      </c>
      <c r="G153" s="37" t="n">
        <v>792.39</v>
      </c>
      <c r="H153" s="37" t="n">
        <v>4754.33</v>
      </c>
      <c r="I153" s="11" t="s">
        <v>314</v>
      </c>
      <c r="J153" s="11" t="s">
        <v>4152</v>
      </c>
      <c r="K153" s="38" t="n">
        <v>46128</v>
      </c>
      <c r="L153" s="38"/>
    </row>
    <row r="154" customFormat="false" ht="15" hidden="false" customHeight="false" outlineLevel="0" collapsed="false">
      <c r="A154" s="11" t="s">
        <v>3342</v>
      </c>
      <c r="B154" s="11" t="s">
        <v>4247</v>
      </c>
      <c r="C154" s="11" t="s">
        <v>414</v>
      </c>
      <c r="D154" s="38" t="n">
        <v>46112</v>
      </c>
      <c r="E154" s="38" t="n">
        <v>46142</v>
      </c>
      <c r="F154" s="37" t="n">
        <v>16770</v>
      </c>
      <c r="G154" s="37" t="n">
        <v>3354</v>
      </c>
      <c r="H154" s="37" t="n">
        <v>20124</v>
      </c>
      <c r="I154" s="11" t="s">
        <v>4302</v>
      </c>
      <c r="J154" s="11" t="s">
        <v>4152</v>
      </c>
      <c r="K154" s="38" t="n">
        <v>46142</v>
      </c>
      <c r="L154" s="38"/>
    </row>
    <row r="155" customFormat="false" ht="15" hidden="false" customHeight="false" outlineLevel="0" collapsed="false">
      <c r="A155" s="11" t="s">
        <v>3349</v>
      </c>
      <c r="B155" s="11" t="s">
        <v>4243</v>
      </c>
      <c r="C155" s="11" t="s">
        <v>313</v>
      </c>
      <c r="D155" s="38" t="n">
        <v>46114</v>
      </c>
      <c r="E155" s="38" t="n">
        <v>46144</v>
      </c>
      <c r="F155" s="37" t="n">
        <v>4338.72</v>
      </c>
      <c r="G155" s="37" t="n">
        <v>867.74</v>
      </c>
      <c r="H155" s="37" t="n">
        <v>5206.46</v>
      </c>
      <c r="I155" s="11" t="s">
        <v>314</v>
      </c>
      <c r="J155" s="11" t="s">
        <v>4152</v>
      </c>
      <c r="K155" s="38" t="n">
        <v>46142</v>
      </c>
      <c r="L155" s="38"/>
    </row>
    <row r="156" customFormat="false" ht="15" hidden="false" customHeight="false" outlineLevel="0" collapsed="false">
      <c r="A156" s="11" t="s">
        <v>3430</v>
      </c>
      <c r="B156" s="11" t="s">
        <v>1253</v>
      </c>
      <c r="C156" s="11" t="s">
        <v>308</v>
      </c>
      <c r="D156" s="38" t="n">
        <v>46115</v>
      </c>
      <c r="E156" s="38" t="n">
        <v>46160</v>
      </c>
      <c r="F156" s="37" t="n">
        <v>27079.28</v>
      </c>
      <c r="G156" s="37" t="n">
        <v>5415.86</v>
      </c>
      <c r="H156" s="37" t="n">
        <v>32495.14</v>
      </c>
      <c r="I156" s="11" t="s">
        <v>310</v>
      </c>
      <c r="J156" s="11" t="s">
        <v>4152</v>
      </c>
      <c r="K156" s="38" t="n">
        <v>46155</v>
      </c>
      <c r="L156" s="38"/>
    </row>
    <row r="157" customFormat="false" ht="15" hidden="false" customHeight="false" outlineLevel="0" collapsed="false">
      <c r="A157" s="11" t="s">
        <v>3392</v>
      </c>
      <c r="B157" s="11" t="s">
        <v>1247</v>
      </c>
      <c r="C157" s="11" t="s">
        <v>420</v>
      </c>
      <c r="D157" s="38" t="n">
        <v>46119</v>
      </c>
      <c r="E157" s="38" t="n">
        <v>46149</v>
      </c>
      <c r="F157" s="37" t="n">
        <v>121642.66</v>
      </c>
      <c r="G157" s="37" t="n">
        <v>0</v>
      </c>
      <c r="H157" s="37" t="n">
        <v>121642.66</v>
      </c>
      <c r="I157" s="11" t="s">
        <v>4303</v>
      </c>
      <c r="J157" s="11" t="s">
        <v>4152</v>
      </c>
      <c r="K157" s="38" t="n">
        <v>46149</v>
      </c>
      <c r="L157" s="38"/>
    </row>
    <row r="158" customFormat="false" ht="15" hidden="false" customHeight="false" outlineLevel="0" collapsed="false">
      <c r="A158" s="11" t="s">
        <v>3396</v>
      </c>
      <c r="B158" s="11" t="s">
        <v>4243</v>
      </c>
      <c r="C158" s="11" t="s">
        <v>313</v>
      </c>
      <c r="D158" s="38" t="n">
        <v>46121</v>
      </c>
      <c r="E158" s="38" t="n">
        <v>46151</v>
      </c>
      <c r="F158" s="37" t="n">
        <v>4668.34</v>
      </c>
      <c r="G158" s="37" t="n">
        <v>933.67</v>
      </c>
      <c r="H158" s="37" t="n">
        <v>5602.01</v>
      </c>
      <c r="I158" s="11" t="s">
        <v>314</v>
      </c>
      <c r="J158" s="11" t="s">
        <v>4152</v>
      </c>
      <c r="K158" s="38" t="n">
        <v>46149</v>
      </c>
      <c r="L158" s="38"/>
    </row>
    <row r="159" customFormat="false" ht="15" hidden="false" customHeight="false" outlineLevel="0" collapsed="false">
      <c r="A159" s="11" t="s">
        <v>3530</v>
      </c>
      <c r="B159" s="11" t="s">
        <v>4242</v>
      </c>
      <c r="C159" s="11" t="s">
        <v>458</v>
      </c>
      <c r="D159" s="38" t="n">
        <v>46122</v>
      </c>
      <c r="E159" s="38" t="n">
        <v>46182</v>
      </c>
      <c r="F159" s="37" t="n">
        <v>30435.61</v>
      </c>
      <c r="G159" s="37" t="n">
        <v>6087.12</v>
      </c>
      <c r="H159" s="37" t="n">
        <v>36522.73</v>
      </c>
      <c r="I159" s="11" t="s">
        <v>459</v>
      </c>
      <c r="J159" s="11" t="s">
        <v>4152</v>
      </c>
      <c r="K159" s="38" t="n">
        <v>46177</v>
      </c>
      <c r="L159" s="38"/>
    </row>
    <row r="160" customFormat="false" ht="15" hidden="false" customHeight="false" outlineLevel="0" collapsed="false">
      <c r="A160" s="11" t="s">
        <v>3394</v>
      </c>
      <c r="B160" s="11" t="s">
        <v>4245</v>
      </c>
      <c r="C160" s="11" t="s">
        <v>464</v>
      </c>
      <c r="D160" s="38" t="n">
        <v>46125</v>
      </c>
      <c r="E160" s="38" t="n">
        <v>46155</v>
      </c>
      <c r="F160" s="37" t="n">
        <v>11044.55</v>
      </c>
      <c r="G160" s="37" t="n">
        <v>2208.91</v>
      </c>
      <c r="H160" s="37" t="n">
        <v>13253.46</v>
      </c>
      <c r="I160" s="11" t="s">
        <v>466</v>
      </c>
      <c r="J160" s="11" t="s">
        <v>4152</v>
      </c>
      <c r="K160" s="38" t="n">
        <v>46149</v>
      </c>
      <c r="L160" s="38"/>
    </row>
    <row r="161" customFormat="false" ht="15" hidden="false" customHeight="false" outlineLevel="0" collapsed="false">
      <c r="A161" s="11" t="s">
        <v>3432</v>
      </c>
      <c r="B161" s="11" t="s">
        <v>4243</v>
      </c>
      <c r="C161" s="11" t="s">
        <v>313</v>
      </c>
      <c r="D161" s="38" t="n">
        <v>46128</v>
      </c>
      <c r="E161" s="38" t="n">
        <v>46158</v>
      </c>
      <c r="F161" s="37" t="n">
        <v>4555.84</v>
      </c>
      <c r="G161" s="37" t="n">
        <v>911.17</v>
      </c>
      <c r="H161" s="37" t="n">
        <v>5467.01</v>
      </c>
      <c r="I161" s="11" t="s">
        <v>314</v>
      </c>
      <c r="J161" s="11" t="s">
        <v>4152</v>
      </c>
      <c r="K161" s="38" t="n">
        <v>46155</v>
      </c>
      <c r="L161" s="38"/>
    </row>
    <row r="162" customFormat="false" ht="15" hidden="false" customHeight="false" outlineLevel="0" collapsed="false">
      <c r="A162" s="11" t="s">
        <v>3491</v>
      </c>
      <c r="B162" s="11" t="s">
        <v>1253</v>
      </c>
      <c r="C162" s="11" t="s">
        <v>308</v>
      </c>
      <c r="D162" s="38" t="n">
        <v>46129</v>
      </c>
      <c r="E162" s="38" t="n">
        <v>46174</v>
      </c>
      <c r="F162" s="37" t="n">
        <v>25996.78</v>
      </c>
      <c r="G162" s="37" t="n">
        <v>5199.36</v>
      </c>
      <c r="H162" s="37" t="n">
        <v>31196.14</v>
      </c>
      <c r="I162" s="11" t="s">
        <v>411</v>
      </c>
      <c r="J162" s="11" t="s">
        <v>4152</v>
      </c>
      <c r="K162" s="38" t="n">
        <v>46170</v>
      </c>
      <c r="L162" s="38"/>
    </row>
    <row r="163" customFormat="false" ht="15" hidden="false" customHeight="false" outlineLevel="0" collapsed="false">
      <c r="A163" s="11" t="s">
        <v>3470</v>
      </c>
      <c r="B163" s="11" t="s">
        <v>4243</v>
      </c>
      <c r="C163" s="11" t="s">
        <v>313</v>
      </c>
      <c r="D163" s="38" t="n">
        <v>46135</v>
      </c>
      <c r="E163" s="38" t="n">
        <v>46165</v>
      </c>
      <c r="F163" s="37" t="n">
        <v>4514.05</v>
      </c>
      <c r="G163" s="37" t="n">
        <v>902.81</v>
      </c>
      <c r="H163" s="37" t="n">
        <v>5416.86</v>
      </c>
      <c r="I163" s="11" t="s">
        <v>314</v>
      </c>
      <c r="J163" s="11" t="s">
        <v>4152</v>
      </c>
      <c r="K163" s="38" t="n">
        <v>46163</v>
      </c>
      <c r="L163" s="38"/>
    </row>
    <row r="164" customFormat="false" ht="15" hidden="false" customHeight="false" outlineLevel="0" collapsed="false">
      <c r="A164" s="11" t="s">
        <v>3493</v>
      </c>
      <c r="B164" s="11" t="s">
        <v>4247</v>
      </c>
      <c r="C164" s="11" t="s">
        <v>414</v>
      </c>
      <c r="D164" s="38" t="n">
        <v>46142</v>
      </c>
      <c r="E164" s="38" t="n">
        <v>46172</v>
      </c>
      <c r="F164" s="37" t="n">
        <v>16546.69</v>
      </c>
      <c r="G164" s="37" t="n">
        <v>3309.34</v>
      </c>
      <c r="H164" s="37" t="n">
        <v>19856.03</v>
      </c>
      <c r="I164" s="11" t="s">
        <v>4304</v>
      </c>
      <c r="J164" s="11" t="s">
        <v>4152</v>
      </c>
      <c r="K164" s="38" t="n">
        <v>46170</v>
      </c>
      <c r="L164" s="38"/>
    </row>
    <row r="165" customFormat="false" ht="15" hidden="false" customHeight="false" outlineLevel="0" collapsed="false">
      <c r="A165" s="11" t="s">
        <v>3605</v>
      </c>
      <c r="B165" s="11" t="s">
        <v>1253</v>
      </c>
      <c r="C165" s="11" t="s">
        <v>308</v>
      </c>
      <c r="D165" s="38" t="n">
        <v>46146</v>
      </c>
      <c r="E165" s="38" t="n">
        <v>46191</v>
      </c>
      <c r="F165" s="37" t="n">
        <v>28012.84</v>
      </c>
      <c r="G165" s="37" t="n">
        <v>5602.57</v>
      </c>
      <c r="H165" s="37" t="n">
        <v>33615.41</v>
      </c>
      <c r="I165" s="11" t="s">
        <v>310</v>
      </c>
      <c r="J165" s="11" t="s">
        <v>4152</v>
      </c>
      <c r="K165" s="38" t="n">
        <v>46191</v>
      </c>
      <c r="L165" s="38"/>
    </row>
    <row r="166" customFormat="false" ht="15" hidden="false" customHeight="false" outlineLevel="0" collapsed="false">
      <c r="A166" s="11" t="s">
        <v>3495</v>
      </c>
      <c r="B166" s="11" t="s">
        <v>4243</v>
      </c>
      <c r="C166" s="11" t="s">
        <v>313</v>
      </c>
      <c r="D166" s="38" t="n">
        <v>46146</v>
      </c>
      <c r="E166" s="38" t="n">
        <v>46176</v>
      </c>
      <c r="F166" s="37" t="n">
        <v>4916.94</v>
      </c>
      <c r="G166" s="37" t="n">
        <v>983.39</v>
      </c>
      <c r="H166" s="37" t="n">
        <v>5900.33</v>
      </c>
      <c r="I166" s="11" t="s">
        <v>314</v>
      </c>
      <c r="J166" s="11" t="s">
        <v>4152</v>
      </c>
      <c r="K166" s="38" t="n">
        <v>46170</v>
      </c>
      <c r="L166" s="38"/>
    </row>
    <row r="167" customFormat="false" ht="15" hidden="false" customHeight="false" outlineLevel="0" collapsed="false">
      <c r="A167" s="11" t="s">
        <v>3534</v>
      </c>
      <c r="B167" s="11" t="s">
        <v>1247</v>
      </c>
      <c r="C167" s="11" t="s">
        <v>420</v>
      </c>
      <c r="D167" s="38" t="n">
        <v>46147</v>
      </c>
      <c r="E167" s="38" t="n">
        <v>46177</v>
      </c>
      <c r="F167" s="37" t="n">
        <v>129400.14</v>
      </c>
      <c r="G167" s="37" t="n">
        <v>0</v>
      </c>
      <c r="H167" s="37" t="n">
        <v>129400.14</v>
      </c>
      <c r="I167" s="11" t="s">
        <v>4305</v>
      </c>
      <c r="J167" s="11" t="s">
        <v>4152</v>
      </c>
      <c r="K167" s="38" t="n">
        <v>46177</v>
      </c>
      <c r="L167" s="38"/>
    </row>
    <row r="168" customFormat="false" ht="15" hidden="false" customHeight="false" outlineLevel="0" collapsed="false">
      <c r="A168" s="11" t="s">
        <v>3532</v>
      </c>
      <c r="B168" s="11" t="s">
        <v>4243</v>
      </c>
      <c r="C168" s="11" t="s">
        <v>313</v>
      </c>
      <c r="D168" s="38" t="n">
        <v>46153</v>
      </c>
      <c r="E168" s="38" t="n">
        <v>46183</v>
      </c>
      <c r="F168" s="37" t="n">
        <v>4692.95</v>
      </c>
      <c r="G168" s="37" t="n">
        <v>938.59</v>
      </c>
      <c r="H168" s="37" t="n">
        <v>5631.54</v>
      </c>
      <c r="I168" s="11" t="s">
        <v>314</v>
      </c>
      <c r="J168" s="11" t="s">
        <v>4152</v>
      </c>
      <c r="K168" s="38" t="n">
        <v>46177</v>
      </c>
      <c r="L168" s="38"/>
    </row>
    <row r="169" customFormat="false" ht="15" hidden="false" customHeight="false" outlineLevel="0" collapsed="false">
      <c r="A169" s="11" t="s">
        <v>3697</v>
      </c>
      <c r="B169" s="11" t="s">
        <v>4242</v>
      </c>
      <c r="C169" s="11" t="s">
        <v>458</v>
      </c>
      <c r="D169" s="38" t="n">
        <v>46153</v>
      </c>
      <c r="E169" s="38" t="n">
        <v>46213</v>
      </c>
      <c r="F169" s="37" t="n">
        <v>26707.14</v>
      </c>
      <c r="G169" s="37" t="n">
        <v>5341.43</v>
      </c>
      <c r="H169" s="37" t="n">
        <v>32048.57</v>
      </c>
      <c r="I169" s="11" t="s">
        <v>459</v>
      </c>
      <c r="J169" s="11" t="s">
        <v>4152</v>
      </c>
      <c r="K169" s="38" t="n">
        <v>46212</v>
      </c>
      <c r="L169" s="38"/>
    </row>
    <row r="170" customFormat="false" ht="15" hidden="false" customHeight="false" outlineLevel="0" collapsed="false">
      <c r="A170" s="11" t="s">
        <v>3564</v>
      </c>
      <c r="B170" s="11" t="s">
        <v>4245</v>
      </c>
      <c r="C170" s="11" t="s">
        <v>464</v>
      </c>
      <c r="D170" s="38" t="n">
        <v>46154</v>
      </c>
      <c r="E170" s="38" t="n">
        <v>46184</v>
      </c>
      <c r="F170" s="37" t="n">
        <v>10410.09</v>
      </c>
      <c r="G170" s="37" t="n">
        <v>2082.02</v>
      </c>
      <c r="H170" s="37" t="n">
        <v>12492.11</v>
      </c>
      <c r="I170" s="11" t="s">
        <v>466</v>
      </c>
      <c r="J170" s="11" t="s">
        <v>4152</v>
      </c>
      <c r="K170" s="38" t="n">
        <v>46184</v>
      </c>
      <c r="L170" s="38"/>
    </row>
    <row r="171" customFormat="false" ht="15" hidden="false" customHeight="false" outlineLevel="0" collapsed="false">
      <c r="A171" s="11" t="s">
        <v>3665</v>
      </c>
      <c r="B171" s="11" t="s">
        <v>1253</v>
      </c>
      <c r="C171" s="11" t="s">
        <v>308</v>
      </c>
      <c r="D171" s="38" t="n">
        <v>46160</v>
      </c>
      <c r="E171" s="38" t="n">
        <v>46205</v>
      </c>
      <c r="F171" s="37" t="n">
        <v>31325.71</v>
      </c>
      <c r="G171" s="37" t="n">
        <v>6265.14</v>
      </c>
      <c r="H171" s="37" t="n">
        <v>37590.85</v>
      </c>
      <c r="I171" s="11" t="s">
        <v>411</v>
      </c>
      <c r="J171" s="11" t="s">
        <v>4152</v>
      </c>
      <c r="K171" s="38" t="n">
        <v>46205</v>
      </c>
      <c r="L171" s="38"/>
    </row>
    <row r="172" customFormat="false" ht="15" hidden="false" customHeight="false" outlineLevel="0" collapsed="false">
      <c r="A172" s="11" t="s">
        <v>3562</v>
      </c>
      <c r="B172" s="11" t="s">
        <v>4243</v>
      </c>
      <c r="C172" s="11" t="s">
        <v>313</v>
      </c>
      <c r="D172" s="38" t="n">
        <v>46160</v>
      </c>
      <c r="E172" s="38" t="n">
        <v>46190</v>
      </c>
      <c r="F172" s="37" t="n">
        <v>4665.97</v>
      </c>
      <c r="G172" s="37" t="n">
        <v>933.19</v>
      </c>
      <c r="H172" s="37" t="n">
        <v>5599.16</v>
      </c>
      <c r="I172" s="11" t="s">
        <v>314</v>
      </c>
      <c r="J172" s="11" t="s">
        <v>4152</v>
      </c>
      <c r="K172" s="38" t="n">
        <v>46184</v>
      </c>
      <c r="L172" s="38"/>
    </row>
    <row r="173" customFormat="false" ht="15" hidden="false" customHeight="false" outlineLevel="0" collapsed="false">
      <c r="A173" s="11" t="s">
        <v>3638</v>
      </c>
      <c r="B173" s="11" t="s">
        <v>4243</v>
      </c>
      <c r="C173" s="11" t="s">
        <v>313</v>
      </c>
      <c r="D173" s="38" t="n">
        <v>46168</v>
      </c>
      <c r="E173" s="38" t="n">
        <v>46198</v>
      </c>
      <c r="F173" s="37" t="n">
        <v>4189.62</v>
      </c>
      <c r="G173" s="37" t="n">
        <v>837.92</v>
      </c>
      <c r="H173" s="37" t="n">
        <v>5027.54</v>
      </c>
      <c r="I173" s="11" t="s">
        <v>314</v>
      </c>
      <c r="J173" s="11" t="s">
        <v>4152</v>
      </c>
      <c r="K173" s="38" t="n">
        <v>46198</v>
      </c>
      <c r="L173" s="38"/>
    </row>
    <row r="174" customFormat="false" ht="15" hidden="false" customHeight="false" outlineLevel="0" collapsed="false">
      <c r="A174" s="11" t="s">
        <v>3636</v>
      </c>
      <c r="B174" s="11" t="s">
        <v>4247</v>
      </c>
      <c r="C174" s="11" t="s">
        <v>414</v>
      </c>
      <c r="D174" s="38" t="n">
        <v>46171</v>
      </c>
      <c r="E174" s="38" t="n">
        <v>46201</v>
      </c>
      <c r="F174" s="37" t="n">
        <v>14271.98</v>
      </c>
      <c r="G174" s="37" t="n">
        <v>2854.4</v>
      </c>
      <c r="H174" s="37" t="n">
        <v>17126.38</v>
      </c>
      <c r="I174" s="11" t="s">
        <v>4306</v>
      </c>
      <c r="J174" s="11" t="s">
        <v>4152</v>
      </c>
      <c r="K174" s="38" t="n">
        <v>46198</v>
      </c>
      <c r="L174" s="38"/>
    </row>
    <row r="175" customFormat="false" ht="15" hidden="false" customHeight="false" outlineLevel="0" collapsed="false">
      <c r="A175" s="11" t="s">
        <v>3663</v>
      </c>
      <c r="B175" s="11" t="s">
        <v>4243</v>
      </c>
      <c r="C175" s="11" t="s">
        <v>313</v>
      </c>
      <c r="D175" s="38" t="n">
        <v>46175</v>
      </c>
      <c r="E175" s="38" t="n">
        <v>46205</v>
      </c>
      <c r="F175" s="37" t="n">
        <v>3564.39</v>
      </c>
      <c r="G175" s="37" t="n">
        <v>712.88</v>
      </c>
      <c r="H175" s="37" t="n">
        <v>4277.27</v>
      </c>
      <c r="I175" s="11" t="s">
        <v>314</v>
      </c>
      <c r="J175" s="11" t="s">
        <v>4152</v>
      </c>
      <c r="K175" s="38" t="n">
        <v>46205</v>
      </c>
      <c r="L175" s="38"/>
    </row>
    <row r="176" customFormat="false" ht="15" hidden="false" customHeight="false" outlineLevel="0" collapsed="false">
      <c r="A176" s="11" t="s">
        <v>3732</v>
      </c>
      <c r="B176" s="11" t="s">
        <v>1253</v>
      </c>
      <c r="C176" s="11" t="s">
        <v>308</v>
      </c>
      <c r="D176" s="38" t="n">
        <v>46176</v>
      </c>
      <c r="E176" s="38" t="n">
        <v>46221</v>
      </c>
      <c r="F176" s="37" t="n">
        <v>25939.27</v>
      </c>
      <c r="G176" s="37" t="n">
        <v>5187.85</v>
      </c>
      <c r="H176" s="37" t="n">
        <v>31127.12</v>
      </c>
      <c r="I176" s="11" t="s">
        <v>310</v>
      </c>
      <c r="J176" s="11" t="s">
        <v>4152</v>
      </c>
      <c r="K176" s="38" t="n">
        <v>46219</v>
      </c>
      <c r="L176" s="38"/>
    </row>
    <row r="177" customFormat="false" ht="15" hidden="false" customHeight="false" outlineLevel="0" collapsed="false">
      <c r="A177" s="11" t="s">
        <v>3667</v>
      </c>
      <c r="B177" s="11" t="s">
        <v>1247</v>
      </c>
      <c r="C177" s="11" t="s">
        <v>420</v>
      </c>
      <c r="D177" s="38" t="n">
        <v>46178</v>
      </c>
      <c r="E177" s="38" t="n">
        <v>46208</v>
      </c>
      <c r="F177" s="37" t="n">
        <v>109610.89</v>
      </c>
      <c r="G177" s="37" t="n">
        <v>0</v>
      </c>
      <c r="H177" s="37" t="n">
        <v>109610.89</v>
      </c>
      <c r="I177" s="11" t="s">
        <v>4307</v>
      </c>
      <c r="J177" s="11" t="s">
        <v>4152</v>
      </c>
      <c r="K177" s="38" t="n">
        <v>46205</v>
      </c>
      <c r="L177" s="38"/>
    </row>
    <row r="178" customFormat="false" ht="15" hidden="false" customHeight="false" outlineLevel="0" collapsed="false">
      <c r="A178" s="11" t="s">
        <v>3695</v>
      </c>
      <c r="B178" s="11" t="s">
        <v>4243</v>
      </c>
      <c r="C178" s="11" t="s">
        <v>313</v>
      </c>
      <c r="D178" s="38" t="n">
        <v>46182</v>
      </c>
      <c r="E178" s="38" t="n">
        <v>46212</v>
      </c>
      <c r="F178" s="37" t="n">
        <v>4065.86</v>
      </c>
      <c r="G178" s="37" t="n">
        <v>813.17</v>
      </c>
      <c r="H178" s="37" t="n">
        <v>4879.03</v>
      </c>
      <c r="I178" s="11" t="s">
        <v>314</v>
      </c>
      <c r="J178" s="11" t="s">
        <v>4152</v>
      </c>
      <c r="K178" s="38" t="n">
        <v>46212</v>
      </c>
      <c r="L178" s="38"/>
    </row>
    <row r="179" customFormat="false" ht="15" hidden="false" customHeight="false" outlineLevel="0" collapsed="false">
      <c r="A179" s="11" t="s">
        <v>3840</v>
      </c>
      <c r="B179" s="11" t="s">
        <v>4242</v>
      </c>
      <c r="C179" s="11" t="s">
        <v>458</v>
      </c>
      <c r="D179" s="38" t="n">
        <v>46183</v>
      </c>
      <c r="E179" s="38" t="n">
        <v>46243</v>
      </c>
      <c r="F179" s="37" t="n">
        <v>24685.56</v>
      </c>
      <c r="G179" s="37" t="n">
        <v>4937.11</v>
      </c>
      <c r="H179" s="37" t="n">
        <v>29622.67</v>
      </c>
      <c r="I179" s="11" t="s">
        <v>459</v>
      </c>
      <c r="J179" s="11" t="s">
        <v>4152</v>
      </c>
      <c r="K179" s="38" t="n">
        <v>46240</v>
      </c>
      <c r="L179" s="38"/>
    </row>
    <row r="180" customFormat="false" ht="15" hidden="false" customHeight="false" outlineLevel="0" collapsed="false">
      <c r="A180" s="11" t="s">
        <v>3693</v>
      </c>
      <c r="B180" s="11" t="s">
        <v>4245</v>
      </c>
      <c r="C180" s="11" t="s">
        <v>464</v>
      </c>
      <c r="D180" s="38" t="n">
        <v>46185</v>
      </c>
      <c r="E180" s="38" t="n">
        <v>46215</v>
      </c>
      <c r="F180" s="37" t="n">
        <v>8977.54</v>
      </c>
      <c r="G180" s="37" t="n">
        <v>1795.51</v>
      </c>
      <c r="H180" s="37" t="n">
        <v>10773.05</v>
      </c>
      <c r="I180" s="11" t="s">
        <v>466</v>
      </c>
      <c r="J180" s="11" t="s">
        <v>4152</v>
      </c>
      <c r="K180" s="38" t="n">
        <v>46212</v>
      </c>
      <c r="L180" s="38"/>
    </row>
    <row r="181" customFormat="false" ht="15" hidden="false" customHeight="false" outlineLevel="0" collapsed="false">
      <c r="A181" s="11" t="s">
        <v>3730</v>
      </c>
      <c r="B181" s="11" t="s">
        <v>4243</v>
      </c>
      <c r="C181" s="11" t="s">
        <v>313</v>
      </c>
      <c r="D181" s="38" t="n">
        <v>46189</v>
      </c>
      <c r="E181" s="38" t="n">
        <v>46219</v>
      </c>
      <c r="F181" s="37" t="n">
        <v>4056.89</v>
      </c>
      <c r="G181" s="37" t="n">
        <v>811.38</v>
      </c>
      <c r="H181" s="37" t="n">
        <v>4868.27</v>
      </c>
      <c r="I181" s="11" t="s">
        <v>314</v>
      </c>
      <c r="J181" s="11" t="s">
        <v>4152</v>
      </c>
      <c r="K181" s="38" t="n">
        <v>46219</v>
      </c>
      <c r="L181" s="38"/>
    </row>
    <row r="182" customFormat="false" ht="15" hidden="false" customHeight="false" outlineLevel="0" collapsed="false">
      <c r="A182" s="11" t="s">
        <v>3800</v>
      </c>
      <c r="B182" s="11" t="s">
        <v>1253</v>
      </c>
      <c r="C182" s="11" t="s">
        <v>308</v>
      </c>
      <c r="D182" s="38" t="n">
        <v>46190</v>
      </c>
      <c r="E182" s="38" t="n">
        <v>46235</v>
      </c>
      <c r="F182" s="37" t="n">
        <v>23066.68</v>
      </c>
      <c r="G182" s="37" t="n">
        <v>4613.34</v>
      </c>
      <c r="H182" s="37" t="n">
        <v>27680.02</v>
      </c>
      <c r="I182" s="11" t="s">
        <v>411</v>
      </c>
      <c r="J182" s="11" t="s">
        <v>4152</v>
      </c>
      <c r="K182" s="38" t="n">
        <v>46233</v>
      </c>
      <c r="L182" s="38"/>
    </row>
    <row r="183" customFormat="false" ht="15" hidden="false" customHeight="false" outlineLevel="0" collapsed="false">
      <c r="A183" s="11" t="s">
        <v>3734</v>
      </c>
      <c r="B183" s="11" t="s">
        <v>1247</v>
      </c>
      <c r="C183" s="11" t="s">
        <v>420</v>
      </c>
      <c r="D183" s="38" t="n">
        <v>46195</v>
      </c>
      <c r="E183" s="38" t="n">
        <v>46225</v>
      </c>
      <c r="F183" s="37" t="n">
        <v>71000</v>
      </c>
      <c r="G183" s="37" t="n">
        <v>0</v>
      </c>
      <c r="H183" s="37" t="n">
        <v>71000</v>
      </c>
      <c r="I183" s="11" t="s">
        <v>4308</v>
      </c>
      <c r="J183" s="11" t="s">
        <v>4152</v>
      </c>
      <c r="K183" s="38" t="n">
        <v>46219</v>
      </c>
      <c r="L183" s="38"/>
    </row>
    <row r="184" customFormat="false" ht="15" hidden="false" customHeight="false" outlineLevel="0" collapsed="false">
      <c r="A184" s="11" t="s">
        <v>3757</v>
      </c>
      <c r="B184" s="11" t="s">
        <v>4243</v>
      </c>
      <c r="C184" s="11" t="s">
        <v>313</v>
      </c>
      <c r="D184" s="38" t="n">
        <v>46196</v>
      </c>
      <c r="E184" s="38" t="n">
        <v>46226</v>
      </c>
      <c r="F184" s="37" t="n">
        <v>3528.84</v>
      </c>
      <c r="G184" s="37" t="n">
        <v>705.77</v>
      </c>
      <c r="H184" s="37" t="n">
        <v>4234.61</v>
      </c>
      <c r="I184" s="11" t="s">
        <v>314</v>
      </c>
      <c r="J184" s="11" t="s">
        <v>4152</v>
      </c>
      <c r="K184" s="38" t="n">
        <v>46226</v>
      </c>
      <c r="L184" s="38"/>
    </row>
    <row r="185" customFormat="false" ht="15" hidden="false" customHeight="false" outlineLevel="0" collapsed="false">
      <c r="A185" s="11" t="s">
        <v>3798</v>
      </c>
      <c r="B185" s="11" t="s">
        <v>4247</v>
      </c>
      <c r="C185" s="11" t="s">
        <v>414</v>
      </c>
      <c r="D185" s="38" t="n">
        <v>46203</v>
      </c>
      <c r="E185" s="38" t="n">
        <v>46233</v>
      </c>
      <c r="F185" s="37" t="n">
        <v>14673.61</v>
      </c>
      <c r="G185" s="37" t="n">
        <v>2934.72</v>
      </c>
      <c r="H185" s="37" t="n">
        <v>17608.33</v>
      </c>
      <c r="I185" s="11" t="s">
        <v>4309</v>
      </c>
      <c r="J185" s="11" t="s">
        <v>4152</v>
      </c>
      <c r="K185" s="38" t="n">
        <v>46233</v>
      </c>
      <c r="L185" s="38"/>
    </row>
    <row r="186" customFormat="false" ht="15" hidden="false" customHeight="false" outlineLevel="0" collapsed="false">
      <c r="A186" s="11" t="s">
        <v>3794</v>
      </c>
      <c r="B186" s="11" t="s">
        <v>4243</v>
      </c>
      <c r="C186" s="11" t="s">
        <v>313</v>
      </c>
      <c r="D186" s="38" t="n">
        <v>46205</v>
      </c>
      <c r="E186" s="38" t="n">
        <v>46235</v>
      </c>
      <c r="F186" s="37" t="n">
        <v>2523.09</v>
      </c>
      <c r="G186" s="37" t="n">
        <v>504.62</v>
      </c>
      <c r="H186" s="37" t="n">
        <v>3027.71</v>
      </c>
      <c r="I186" s="11" t="s">
        <v>314</v>
      </c>
      <c r="J186" s="11" t="s">
        <v>4152</v>
      </c>
      <c r="K186" s="38" t="n">
        <v>46233</v>
      </c>
      <c r="L186" s="38"/>
    </row>
    <row r="187" customFormat="false" ht="15" hidden="false" customHeight="false" outlineLevel="0" collapsed="false">
      <c r="A187" s="11" t="s">
        <v>3867</v>
      </c>
      <c r="B187" s="11" t="s">
        <v>1253</v>
      </c>
      <c r="C187" s="11" t="s">
        <v>308</v>
      </c>
      <c r="D187" s="38" t="n">
        <v>46206</v>
      </c>
      <c r="E187" s="38" t="n">
        <v>46251</v>
      </c>
      <c r="F187" s="37" t="n">
        <v>15071.61</v>
      </c>
      <c r="G187" s="37" t="n">
        <v>3014.32</v>
      </c>
      <c r="H187" s="37" t="n">
        <v>18085.93</v>
      </c>
      <c r="I187" s="11" t="s">
        <v>310</v>
      </c>
      <c r="J187" s="11" t="s">
        <v>4152</v>
      </c>
      <c r="K187" s="38" t="n">
        <v>46247</v>
      </c>
      <c r="L187" s="38"/>
    </row>
    <row r="188" customFormat="false" ht="15" hidden="false" customHeight="false" outlineLevel="0" collapsed="false">
      <c r="A188" s="11" t="s">
        <v>3889</v>
      </c>
      <c r="B188" s="11" t="s">
        <v>1253</v>
      </c>
      <c r="C188" s="11" t="s">
        <v>308</v>
      </c>
      <c r="D188" s="38" t="n">
        <v>46209</v>
      </c>
      <c r="E188" s="38" t="n">
        <v>46254</v>
      </c>
      <c r="F188" s="37" t="n">
        <v>29000</v>
      </c>
      <c r="G188" s="37" t="n">
        <v>5800</v>
      </c>
      <c r="H188" s="37" t="n">
        <v>34800</v>
      </c>
      <c r="I188" s="11" t="s">
        <v>4310</v>
      </c>
      <c r="J188" s="11" t="s">
        <v>4152</v>
      </c>
      <c r="K188" s="38" t="n">
        <v>46254</v>
      </c>
      <c r="L188" s="38"/>
    </row>
    <row r="189" customFormat="false" ht="15" hidden="false" customHeight="false" outlineLevel="0" collapsed="false">
      <c r="A189" s="11" t="s">
        <v>3959</v>
      </c>
      <c r="B189" s="11" t="s">
        <v>4242</v>
      </c>
      <c r="C189" s="11" t="s">
        <v>458</v>
      </c>
      <c r="D189" s="38" t="n">
        <v>46209</v>
      </c>
      <c r="E189" s="38" t="n">
        <v>46269</v>
      </c>
      <c r="F189" s="37" t="n">
        <v>14000</v>
      </c>
      <c r="G189" s="37" t="n">
        <v>2800</v>
      </c>
      <c r="H189" s="37" t="n">
        <v>16800</v>
      </c>
      <c r="I189" s="11" t="s">
        <v>4311</v>
      </c>
      <c r="J189" s="11" t="s">
        <v>4152</v>
      </c>
      <c r="K189" s="38" t="n">
        <v>46268</v>
      </c>
      <c r="L189" s="38"/>
    </row>
    <row r="190" customFormat="false" ht="15" hidden="false" customHeight="false" outlineLevel="0" collapsed="false">
      <c r="A190" s="11" t="s">
        <v>3796</v>
      </c>
      <c r="B190" s="11" t="s">
        <v>1247</v>
      </c>
      <c r="C190" s="11" t="s">
        <v>420</v>
      </c>
      <c r="D190" s="38" t="n">
        <v>46209</v>
      </c>
      <c r="E190" s="38" t="n">
        <v>46239</v>
      </c>
      <c r="F190" s="37" t="n">
        <v>63746.61</v>
      </c>
      <c r="G190" s="37" t="n">
        <v>0</v>
      </c>
      <c r="H190" s="37" t="n">
        <v>63746.61</v>
      </c>
      <c r="I190" s="11" t="s">
        <v>4312</v>
      </c>
      <c r="J190" s="11" t="s">
        <v>4152</v>
      </c>
      <c r="K190" s="38" t="n">
        <v>46233</v>
      </c>
      <c r="L190" s="38"/>
    </row>
    <row r="191" customFormat="false" ht="15" hidden="false" customHeight="false" outlineLevel="0" collapsed="false">
      <c r="A191" s="11" t="s">
        <v>3838</v>
      </c>
      <c r="B191" s="11" t="s">
        <v>4243</v>
      </c>
      <c r="C191" s="11" t="s">
        <v>313</v>
      </c>
      <c r="D191" s="38" t="n">
        <v>46212</v>
      </c>
      <c r="E191" s="38" t="n">
        <v>46242</v>
      </c>
      <c r="F191" s="37" t="n">
        <v>2620.56</v>
      </c>
      <c r="G191" s="37" t="n">
        <v>524.11</v>
      </c>
      <c r="H191" s="37" t="n">
        <v>3144.67</v>
      </c>
      <c r="I191" s="11" t="s">
        <v>314</v>
      </c>
      <c r="J191" s="11" t="s">
        <v>4152</v>
      </c>
      <c r="K191" s="38" t="n">
        <v>46240</v>
      </c>
      <c r="L191" s="38"/>
    </row>
    <row r="192" customFormat="false" ht="15" hidden="false" customHeight="false" outlineLevel="0" collapsed="false">
      <c r="A192" s="11" t="s">
        <v>3963</v>
      </c>
      <c r="B192" s="11" t="s">
        <v>4242</v>
      </c>
      <c r="C192" s="11" t="s">
        <v>458</v>
      </c>
      <c r="D192" s="38" t="n">
        <v>46213</v>
      </c>
      <c r="E192" s="38" t="n">
        <v>46273</v>
      </c>
      <c r="F192" s="37" t="n">
        <v>14316.45</v>
      </c>
      <c r="G192" s="37" t="n">
        <v>2863.29</v>
      </c>
      <c r="H192" s="37" t="n">
        <v>17179.74</v>
      </c>
      <c r="I192" s="11" t="s">
        <v>459</v>
      </c>
      <c r="J192" s="11" t="s">
        <v>4152</v>
      </c>
      <c r="K192" s="38" t="n">
        <v>46268</v>
      </c>
      <c r="L192" s="38"/>
    </row>
    <row r="193" customFormat="false" ht="15" hidden="false" customHeight="false" outlineLevel="0" collapsed="false">
      <c r="A193" s="11" t="s">
        <v>3842</v>
      </c>
      <c r="B193" s="11" t="s">
        <v>4245</v>
      </c>
      <c r="C193" s="11" t="s">
        <v>464</v>
      </c>
      <c r="D193" s="38" t="n">
        <v>46216</v>
      </c>
      <c r="E193" s="38" t="n">
        <v>46246</v>
      </c>
      <c r="F193" s="37" t="n">
        <v>5626.93</v>
      </c>
      <c r="G193" s="37" t="n">
        <v>1125.39</v>
      </c>
      <c r="H193" s="37" t="n">
        <v>6752.32</v>
      </c>
      <c r="I193" s="11" t="s">
        <v>466</v>
      </c>
      <c r="J193" s="11" t="s">
        <v>4152</v>
      </c>
      <c r="K193" s="38" t="n">
        <v>46240</v>
      </c>
      <c r="L193" s="38"/>
    </row>
    <row r="194" customFormat="false" ht="15" hidden="false" customHeight="false" outlineLevel="0" collapsed="false">
      <c r="A194" s="11" t="s">
        <v>3871</v>
      </c>
      <c r="B194" s="11" t="s">
        <v>4243</v>
      </c>
      <c r="C194" s="11" t="s">
        <v>313</v>
      </c>
      <c r="D194" s="38" t="n">
        <v>46219</v>
      </c>
      <c r="E194" s="38" t="n">
        <v>46249</v>
      </c>
      <c r="F194" s="37" t="n">
        <v>2253.62</v>
      </c>
      <c r="G194" s="37" t="n">
        <v>450.72</v>
      </c>
      <c r="H194" s="37" t="n">
        <v>2704.34</v>
      </c>
      <c r="I194" s="11" t="s">
        <v>314</v>
      </c>
      <c r="J194" s="11" t="s">
        <v>4152</v>
      </c>
      <c r="K194" s="38" t="n">
        <v>46247</v>
      </c>
      <c r="L194" s="38"/>
    </row>
    <row r="195" customFormat="false" ht="15" hidden="false" customHeight="false" outlineLevel="0" collapsed="false">
      <c r="A195" s="11" t="s">
        <v>3922</v>
      </c>
      <c r="B195" s="11" t="s">
        <v>1253</v>
      </c>
      <c r="C195" s="11" t="s">
        <v>308</v>
      </c>
      <c r="D195" s="38" t="n">
        <v>46220</v>
      </c>
      <c r="E195" s="38" t="n">
        <v>46265</v>
      </c>
      <c r="F195" s="37" t="n">
        <v>14620.07</v>
      </c>
      <c r="G195" s="37" t="n">
        <v>2924.01</v>
      </c>
      <c r="H195" s="37" t="n">
        <v>17544.08</v>
      </c>
      <c r="I195" s="11" t="s">
        <v>411</v>
      </c>
      <c r="J195" s="11" t="s">
        <v>4152</v>
      </c>
      <c r="K195" s="38" t="n">
        <v>46261</v>
      </c>
      <c r="L195" s="38"/>
    </row>
    <row r="196" customFormat="false" ht="15" hidden="false" customHeight="false" outlineLevel="0" collapsed="false">
      <c r="A196" s="11" t="s">
        <v>3891</v>
      </c>
      <c r="B196" s="11" t="s">
        <v>4243</v>
      </c>
      <c r="C196" s="11" t="s">
        <v>313</v>
      </c>
      <c r="D196" s="38" t="n">
        <v>46226</v>
      </c>
      <c r="E196" s="38" t="n">
        <v>46256</v>
      </c>
      <c r="F196" s="37" t="n">
        <v>2562.04</v>
      </c>
      <c r="G196" s="37" t="n">
        <v>512.41</v>
      </c>
      <c r="H196" s="37" t="n">
        <v>3074.45</v>
      </c>
      <c r="I196" s="11" t="s">
        <v>314</v>
      </c>
      <c r="J196" s="11" t="s">
        <v>4152</v>
      </c>
      <c r="K196" s="38" t="n">
        <v>46254</v>
      </c>
      <c r="L196" s="38"/>
    </row>
    <row r="197" customFormat="false" ht="15" hidden="false" customHeight="false" outlineLevel="0" collapsed="false">
      <c r="A197" s="11" t="s">
        <v>3920</v>
      </c>
      <c r="B197" s="11" t="s">
        <v>4247</v>
      </c>
      <c r="C197" s="11" t="s">
        <v>414</v>
      </c>
      <c r="D197" s="38" t="n">
        <v>46234</v>
      </c>
      <c r="E197" s="38" t="n">
        <v>46264</v>
      </c>
      <c r="F197" s="37" t="n">
        <v>14207.12</v>
      </c>
      <c r="G197" s="37" t="n">
        <v>2841.42</v>
      </c>
      <c r="H197" s="37" t="n">
        <v>17048.54</v>
      </c>
      <c r="I197" s="11" t="s">
        <v>4313</v>
      </c>
      <c r="J197" s="11" t="s">
        <v>4152</v>
      </c>
      <c r="K197" s="38" t="n">
        <v>46261</v>
      </c>
      <c r="L197" s="38"/>
    </row>
    <row r="198" customFormat="false" ht="15" hidden="false" customHeight="false" outlineLevel="0" collapsed="false">
      <c r="A198" s="11" t="s">
        <v>4040</v>
      </c>
      <c r="B198" s="11" t="s">
        <v>1253</v>
      </c>
      <c r="C198" s="11" t="s">
        <v>308</v>
      </c>
      <c r="D198" s="38" t="n">
        <v>46237</v>
      </c>
      <c r="E198" s="38" t="n">
        <v>46282</v>
      </c>
      <c r="F198" s="37" t="n">
        <v>29917.57</v>
      </c>
      <c r="G198" s="37" t="n">
        <v>5983.51</v>
      </c>
      <c r="H198" s="37" t="n">
        <v>35901.08</v>
      </c>
      <c r="I198" s="11" t="s">
        <v>310</v>
      </c>
      <c r="J198" s="11" t="s">
        <v>4152</v>
      </c>
      <c r="K198" s="38" t="n">
        <v>46282</v>
      </c>
      <c r="L198" s="38"/>
    </row>
    <row r="199" customFormat="false" ht="15" hidden="false" customHeight="false" outlineLevel="0" collapsed="false">
      <c r="A199" s="11" t="s">
        <v>3918</v>
      </c>
      <c r="B199" s="11" t="s">
        <v>4243</v>
      </c>
      <c r="C199" s="11" t="s">
        <v>313</v>
      </c>
      <c r="D199" s="38" t="n">
        <v>46237</v>
      </c>
      <c r="E199" s="38" t="n">
        <v>46267</v>
      </c>
      <c r="F199" s="37" t="n">
        <v>5287.89</v>
      </c>
      <c r="G199" s="37" t="n">
        <v>1057.58</v>
      </c>
      <c r="H199" s="37" t="n">
        <v>6345.47</v>
      </c>
      <c r="I199" s="11" t="s">
        <v>314</v>
      </c>
      <c r="J199" s="11" t="s">
        <v>4152</v>
      </c>
      <c r="K199" s="38" t="n">
        <v>46261</v>
      </c>
      <c r="L199" s="38"/>
    </row>
    <row r="200" customFormat="false" ht="15" hidden="false" customHeight="false" outlineLevel="0" collapsed="false">
      <c r="A200" s="11" t="s">
        <v>3965</v>
      </c>
      <c r="B200" s="11" t="s">
        <v>1247</v>
      </c>
      <c r="C200" s="11" t="s">
        <v>420</v>
      </c>
      <c r="D200" s="38" t="n">
        <v>46239</v>
      </c>
      <c r="E200" s="38" t="n">
        <v>46269</v>
      </c>
      <c r="F200" s="37" t="n">
        <v>137062.03</v>
      </c>
      <c r="G200" s="37" t="n">
        <v>0</v>
      </c>
      <c r="H200" s="37" t="n">
        <v>137062.03</v>
      </c>
      <c r="I200" s="11" t="s">
        <v>4314</v>
      </c>
      <c r="J200" s="11" t="s">
        <v>4152</v>
      </c>
      <c r="K200" s="38" t="n">
        <v>46268</v>
      </c>
      <c r="L200" s="38"/>
    </row>
    <row r="201" customFormat="false" ht="15" hidden="false" customHeight="false" outlineLevel="0" collapsed="false">
      <c r="A201" s="11" t="s">
        <v>4121</v>
      </c>
      <c r="B201" s="11" t="s">
        <v>4242</v>
      </c>
      <c r="C201" s="11" t="s">
        <v>458</v>
      </c>
      <c r="D201" s="38" t="n">
        <v>46244</v>
      </c>
      <c r="E201" s="38" t="n">
        <v>46304</v>
      </c>
      <c r="F201" s="37" t="n">
        <v>30755.93</v>
      </c>
      <c r="G201" s="37" t="n">
        <v>6151.19</v>
      </c>
      <c r="H201" s="37" t="n">
        <v>36907.12</v>
      </c>
      <c r="I201" s="11" t="s">
        <v>459</v>
      </c>
      <c r="J201" s="11" t="s">
        <v>4152</v>
      </c>
      <c r="K201" s="38" t="n">
        <v>46303</v>
      </c>
      <c r="L201" s="38"/>
    </row>
    <row r="202" customFormat="false" ht="15" hidden="false" customHeight="false" outlineLevel="0" collapsed="false">
      <c r="A202" s="11" t="s">
        <v>3969</v>
      </c>
      <c r="B202" s="11" t="s">
        <v>4243</v>
      </c>
      <c r="C202" s="11" t="s">
        <v>313</v>
      </c>
      <c r="D202" s="38" t="n">
        <v>46244</v>
      </c>
      <c r="E202" s="38" t="n">
        <v>46274</v>
      </c>
      <c r="F202" s="37" t="n">
        <v>4674.67</v>
      </c>
      <c r="G202" s="37" t="n">
        <v>934.93</v>
      </c>
      <c r="H202" s="37" t="n">
        <v>5609.6</v>
      </c>
      <c r="I202" s="11" t="s">
        <v>314</v>
      </c>
      <c r="J202" s="11" t="s">
        <v>4152</v>
      </c>
      <c r="K202" s="38" t="n">
        <v>46268</v>
      </c>
      <c r="L202" s="38"/>
    </row>
    <row r="203" customFormat="false" ht="15" hidden="false" customHeight="false" outlineLevel="0" collapsed="false">
      <c r="A203" s="11" t="s">
        <v>4008</v>
      </c>
      <c r="B203" s="11" t="s">
        <v>4245</v>
      </c>
      <c r="C203" s="11" t="s">
        <v>464</v>
      </c>
      <c r="D203" s="38" t="n">
        <v>46246</v>
      </c>
      <c r="E203" s="38" t="n">
        <v>46276</v>
      </c>
      <c r="F203" s="37" t="n">
        <v>11969.81</v>
      </c>
      <c r="G203" s="37" t="n">
        <v>2393.96</v>
      </c>
      <c r="H203" s="37" t="n">
        <v>14363.77</v>
      </c>
      <c r="I203" s="11" t="s">
        <v>466</v>
      </c>
      <c r="J203" s="11" t="s">
        <v>4152</v>
      </c>
      <c r="K203" s="38" t="n">
        <v>46275</v>
      </c>
      <c r="L203" s="38"/>
    </row>
    <row r="204" customFormat="false" ht="15" hidden="false" customHeight="false" outlineLevel="0" collapsed="false">
      <c r="A204" s="11" t="s">
        <v>4015</v>
      </c>
      <c r="B204" s="11" t="s">
        <v>4243</v>
      </c>
      <c r="C204" s="11" t="s">
        <v>313</v>
      </c>
      <c r="D204" s="38" t="n">
        <v>46251</v>
      </c>
      <c r="E204" s="38" t="n">
        <v>46281</v>
      </c>
      <c r="F204" s="37" t="n">
        <v>5275.85</v>
      </c>
      <c r="G204" s="37" t="n">
        <v>1055.17</v>
      </c>
      <c r="H204" s="37" t="n">
        <v>6331.02</v>
      </c>
      <c r="I204" s="11" t="s">
        <v>314</v>
      </c>
      <c r="J204" s="11" t="s">
        <v>4152</v>
      </c>
      <c r="K204" s="38" t="n">
        <v>46275</v>
      </c>
      <c r="L204" s="38"/>
    </row>
    <row r="205" customFormat="false" ht="15" hidden="false" customHeight="false" outlineLevel="0" collapsed="false">
      <c r="A205" s="11" t="s">
        <v>4095</v>
      </c>
      <c r="B205" s="11" t="s">
        <v>1253</v>
      </c>
      <c r="C205" s="11" t="s">
        <v>308</v>
      </c>
      <c r="D205" s="38" t="n">
        <v>46251</v>
      </c>
      <c r="E205" s="38" t="n">
        <v>46296</v>
      </c>
      <c r="F205" s="37" t="n">
        <v>29643.65</v>
      </c>
      <c r="G205" s="37" t="n">
        <v>5928.73</v>
      </c>
      <c r="H205" s="37" t="n">
        <v>35572.38</v>
      </c>
      <c r="I205" s="11" t="s">
        <v>411</v>
      </c>
      <c r="J205" s="11" t="s">
        <v>4152</v>
      </c>
      <c r="K205" s="38" t="n">
        <v>46296</v>
      </c>
      <c r="L205" s="38"/>
    </row>
    <row r="206" customFormat="false" ht="15" hidden="false" customHeight="false" outlineLevel="0" collapsed="false">
      <c r="A206" s="11" t="s">
        <v>4042</v>
      </c>
      <c r="B206" s="11" t="s">
        <v>4243</v>
      </c>
      <c r="C206" s="11" t="s">
        <v>313</v>
      </c>
      <c r="D206" s="38" t="n">
        <v>46258</v>
      </c>
      <c r="E206" s="38" t="n">
        <v>46288</v>
      </c>
      <c r="F206" s="37" t="n">
        <v>5111.19</v>
      </c>
      <c r="G206" s="37" t="n">
        <v>1022.24</v>
      </c>
      <c r="H206" s="37" t="n">
        <v>6133.43</v>
      </c>
      <c r="I206" s="11" t="s">
        <v>314</v>
      </c>
      <c r="J206" s="11" t="s">
        <v>4152</v>
      </c>
      <c r="K206" s="38" t="n">
        <v>46282</v>
      </c>
      <c r="L206" s="38"/>
    </row>
    <row r="207" customFormat="false" ht="15" hidden="false" customHeight="false" outlineLevel="0" collapsed="false">
      <c r="A207" s="11" t="s">
        <v>4065</v>
      </c>
      <c r="B207" s="11" t="s">
        <v>4247</v>
      </c>
      <c r="C207" s="11" t="s">
        <v>414</v>
      </c>
      <c r="D207" s="38" t="n">
        <v>46265</v>
      </c>
      <c r="E207" s="38" t="n">
        <v>46295</v>
      </c>
      <c r="F207" s="37" t="n">
        <v>7713.66</v>
      </c>
      <c r="G207" s="37" t="n">
        <v>1542.73</v>
      </c>
      <c r="H207" s="37" t="n">
        <v>9256.39</v>
      </c>
      <c r="I207" s="11" t="s">
        <v>4315</v>
      </c>
      <c r="J207" s="11" t="s">
        <v>4152</v>
      </c>
      <c r="K207" s="38" t="n">
        <v>46289</v>
      </c>
      <c r="L207" s="38"/>
    </row>
    <row r="208" customFormat="false" ht="15" hidden="false" customHeight="false" outlineLevel="0" collapsed="false">
      <c r="A208" s="11" t="s">
        <v>4101</v>
      </c>
      <c r="B208" s="11" t="s">
        <v>4243</v>
      </c>
      <c r="C208" s="11" t="s">
        <v>313</v>
      </c>
      <c r="D208" s="38" t="n">
        <v>46267</v>
      </c>
      <c r="E208" s="38" t="n">
        <v>46297</v>
      </c>
      <c r="F208" s="37" t="n">
        <v>5350.19</v>
      </c>
      <c r="G208" s="37" t="n">
        <v>1070.04</v>
      </c>
      <c r="H208" s="37" t="n">
        <v>6420.23</v>
      </c>
      <c r="I208" s="11" t="s">
        <v>314</v>
      </c>
      <c r="J208" s="11" t="s">
        <v>4152</v>
      </c>
      <c r="K208" s="38" t="n">
        <v>46296</v>
      </c>
      <c r="L208" s="38"/>
    </row>
    <row r="209" customFormat="false" ht="15" hidden="false" customHeight="false" outlineLevel="0" collapsed="false">
      <c r="A209" s="11" t="s">
        <v>306</v>
      </c>
      <c r="B209" s="11" t="s">
        <v>1253</v>
      </c>
      <c r="C209" s="11" t="s">
        <v>308</v>
      </c>
      <c r="D209" s="38" t="n">
        <v>46268</v>
      </c>
      <c r="E209" s="38" t="n">
        <v>46313</v>
      </c>
      <c r="F209" s="37" t="n">
        <v>34224.66</v>
      </c>
      <c r="G209" s="37" t="n">
        <v>6844.93</v>
      </c>
      <c r="H209" s="37" t="n">
        <v>41069.59</v>
      </c>
      <c r="I209" s="11" t="s">
        <v>310</v>
      </c>
      <c r="J209" s="11" t="s">
        <v>4316</v>
      </c>
      <c r="K209" s="38"/>
      <c r="L209" s="38" t="n">
        <v>46310</v>
      </c>
    </row>
    <row r="210" customFormat="false" ht="15" hidden="false" customHeight="false" outlineLevel="0" collapsed="false">
      <c r="A210" s="11" t="s">
        <v>4099</v>
      </c>
      <c r="B210" s="11" t="s">
        <v>1247</v>
      </c>
      <c r="C210" s="11" t="s">
        <v>420</v>
      </c>
      <c r="D210" s="38" t="n">
        <v>46272</v>
      </c>
      <c r="E210" s="38" t="n">
        <v>46302</v>
      </c>
      <c r="F210" s="37" t="n">
        <v>140143.95</v>
      </c>
      <c r="G210" s="37" t="n">
        <v>0</v>
      </c>
      <c r="H210" s="37" t="n">
        <v>140143.95</v>
      </c>
      <c r="I210" s="11" t="s">
        <v>4317</v>
      </c>
      <c r="J210" s="11" t="s">
        <v>4152</v>
      </c>
      <c r="K210" s="38" t="n">
        <v>46296</v>
      </c>
      <c r="L210" s="38"/>
    </row>
    <row r="211" customFormat="false" ht="15" hidden="false" customHeight="false" outlineLevel="0" collapsed="false">
      <c r="A211" s="11" t="s">
        <v>4119</v>
      </c>
      <c r="B211" s="11" t="s">
        <v>4243</v>
      </c>
      <c r="C211" s="11" t="s">
        <v>313</v>
      </c>
      <c r="D211" s="38" t="n">
        <v>46274</v>
      </c>
      <c r="E211" s="38" t="n">
        <v>46304</v>
      </c>
      <c r="F211" s="37" t="n">
        <v>4695.14</v>
      </c>
      <c r="G211" s="37" t="n">
        <v>939.03</v>
      </c>
      <c r="H211" s="37" t="n">
        <v>5634.17</v>
      </c>
      <c r="I211" s="11" t="s">
        <v>314</v>
      </c>
      <c r="J211" s="11" t="s">
        <v>4152</v>
      </c>
      <c r="K211" s="38" t="n">
        <v>46303</v>
      </c>
      <c r="L211" s="38"/>
    </row>
    <row r="212" customFormat="false" ht="15" hidden="false" customHeight="false" outlineLevel="0" collapsed="false">
      <c r="A212" s="11" t="s">
        <v>457</v>
      </c>
      <c r="B212" s="11" t="s">
        <v>4242</v>
      </c>
      <c r="C212" s="11" t="s">
        <v>458</v>
      </c>
      <c r="D212" s="38" t="n">
        <v>46275</v>
      </c>
      <c r="E212" s="38" t="n">
        <v>46335</v>
      </c>
      <c r="F212" s="37" t="n">
        <v>32575.77</v>
      </c>
      <c r="G212" s="37" t="n">
        <v>6515.15</v>
      </c>
      <c r="H212" s="37" t="n">
        <v>39090.92</v>
      </c>
      <c r="I212" s="11" t="s">
        <v>459</v>
      </c>
      <c r="J212" s="11" t="s">
        <v>4316</v>
      </c>
      <c r="K212" s="38"/>
      <c r="L212" s="38" t="n">
        <v>46331</v>
      </c>
    </row>
    <row r="213" customFormat="false" ht="15" hidden="false" customHeight="false" outlineLevel="0" collapsed="false">
      <c r="A213" s="11" t="s">
        <v>4117</v>
      </c>
      <c r="B213" s="11" t="s">
        <v>4245</v>
      </c>
      <c r="C213" s="11" t="s">
        <v>464</v>
      </c>
      <c r="D213" s="38" t="n">
        <v>46279</v>
      </c>
      <c r="E213" s="38" t="n">
        <v>46309</v>
      </c>
      <c r="F213" s="37" t="n">
        <v>13321.69</v>
      </c>
      <c r="G213" s="37" t="n">
        <v>2664.34</v>
      </c>
      <c r="H213" s="37" t="n">
        <v>15986.03</v>
      </c>
      <c r="I213" s="11" t="s">
        <v>466</v>
      </c>
      <c r="J213" s="11" t="s">
        <v>4152</v>
      </c>
      <c r="K213" s="38" t="n">
        <v>46303</v>
      </c>
      <c r="L213" s="38"/>
    </row>
    <row r="214" customFormat="false" ht="15" hidden="false" customHeight="false" outlineLevel="0" collapsed="false">
      <c r="A214" s="11" t="s">
        <v>312</v>
      </c>
      <c r="B214" s="11" t="s">
        <v>4243</v>
      </c>
      <c r="C214" s="11" t="s">
        <v>313</v>
      </c>
      <c r="D214" s="38" t="n">
        <v>46281</v>
      </c>
      <c r="E214" s="38" t="n">
        <v>46311</v>
      </c>
      <c r="F214" s="37" t="n">
        <v>5177.13</v>
      </c>
      <c r="G214" s="37" t="n">
        <v>1035.43</v>
      </c>
      <c r="H214" s="37" t="n">
        <v>6212.56</v>
      </c>
      <c r="I214" s="11" t="s">
        <v>314</v>
      </c>
      <c r="J214" s="11" t="s">
        <v>4316</v>
      </c>
      <c r="K214" s="38"/>
      <c r="L214" s="38" t="n">
        <v>46310</v>
      </c>
    </row>
    <row r="215" customFormat="false" ht="15" hidden="false" customHeight="false" outlineLevel="0" collapsed="false">
      <c r="A215" s="11" t="s">
        <v>410</v>
      </c>
      <c r="B215" s="11" t="s">
        <v>1253</v>
      </c>
      <c r="C215" s="11" t="s">
        <v>308</v>
      </c>
      <c r="D215" s="38" t="n">
        <v>46282</v>
      </c>
      <c r="E215" s="38" t="n">
        <v>46327</v>
      </c>
      <c r="F215" s="37" t="n">
        <v>35266.47</v>
      </c>
      <c r="G215" s="37" t="n">
        <v>7053.29</v>
      </c>
      <c r="H215" s="37" t="n">
        <v>42319.76</v>
      </c>
      <c r="I215" s="11" t="s">
        <v>411</v>
      </c>
      <c r="J215" s="11" t="s">
        <v>4316</v>
      </c>
      <c r="K215" s="38"/>
      <c r="L215" s="38" t="n">
        <v>46324</v>
      </c>
    </row>
    <row r="216" customFormat="false" ht="15" hidden="false" customHeight="false" outlineLevel="0" collapsed="false">
      <c r="A216" s="11" t="s">
        <v>362</v>
      </c>
      <c r="B216" s="11" t="s">
        <v>4243</v>
      </c>
      <c r="C216" s="11" t="s">
        <v>313</v>
      </c>
      <c r="D216" s="38" t="n">
        <v>46288</v>
      </c>
      <c r="E216" s="38" t="n">
        <v>46318</v>
      </c>
      <c r="F216" s="37" t="n">
        <v>5009.65</v>
      </c>
      <c r="G216" s="37" t="n">
        <v>1001.93</v>
      </c>
      <c r="H216" s="37" t="n">
        <v>6011.58</v>
      </c>
      <c r="I216" s="11" t="s">
        <v>314</v>
      </c>
      <c r="J216" s="11" t="s">
        <v>4316</v>
      </c>
      <c r="K216" s="38"/>
      <c r="L216" s="38" t="n">
        <v>46317</v>
      </c>
    </row>
    <row r="217" customFormat="false" ht="15" hidden="false" customHeight="false" outlineLevel="0" collapsed="false">
      <c r="A217" s="11" t="s">
        <v>413</v>
      </c>
      <c r="B217" s="11" t="s">
        <v>4247</v>
      </c>
      <c r="C217" s="11" t="s">
        <v>414</v>
      </c>
      <c r="D217" s="38" t="n">
        <v>46295</v>
      </c>
      <c r="E217" s="38" t="n">
        <v>46325</v>
      </c>
      <c r="F217" s="37" t="n">
        <v>18610.87</v>
      </c>
      <c r="G217" s="37" t="n">
        <v>3722.17</v>
      </c>
      <c r="H217" s="37" t="n">
        <v>22333.04</v>
      </c>
      <c r="I217" s="11" t="s">
        <v>415</v>
      </c>
      <c r="J217" s="11" t="s">
        <v>4316</v>
      </c>
      <c r="K217" s="38"/>
      <c r="L217" s="38" t="n">
        <v>46324</v>
      </c>
    </row>
    <row r="218" customFormat="false" ht="15" hidden="false" customHeight="false" outlineLevel="0" collapsed="false">
      <c r="A218" s="11" t="s">
        <v>417</v>
      </c>
      <c r="B218" s="11" t="s">
        <v>4243</v>
      </c>
      <c r="C218" s="11" t="s">
        <v>313</v>
      </c>
      <c r="D218" s="38" t="n">
        <v>46297</v>
      </c>
      <c r="E218" s="38" t="n">
        <v>46327</v>
      </c>
      <c r="F218" s="37" t="n">
        <v>5341.79</v>
      </c>
      <c r="G218" s="37" t="n">
        <v>1068.36</v>
      </c>
      <c r="H218" s="37" t="n">
        <v>6410.15</v>
      </c>
      <c r="I218" s="11" t="s">
        <v>314</v>
      </c>
      <c r="J218" s="11" t="s">
        <v>4316</v>
      </c>
      <c r="K218" s="38"/>
      <c r="L218" s="38" t="n">
        <v>46324</v>
      </c>
    </row>
    <row r="219" customFormat="false" ht="15" hidden="false" customHeight="false" outlineLevel="0" collapsed="false">
      <c r="A219" s="11" t="s">
        <v>542</v>
      </c>
      <c r="B219" s="11" t="s">
        <v>1253</v>
      </c>
      <c r="C219" s="11" t="s">
        <v>308</v>
      </c>
      <c r="D219" s="38" t="n">
        <v>46300</v>
      </c>
      <c r="E219" s="38" t="n">
        <v>46345</v>
      </c>
      <c r="F219" s="37" t="n">
        <v>33113.57</v>
      </c>
      <c r="G219" s="37" t="n">
        <v>6622.71</v>
      </c>
      <c r="H219" s="37" t="n">
        <v>39736.28</v>
      </c>
      <c r="I219" s="11" t="s">
        <v>310</v>
      </c>
      <c r="J219" s="11" t="s">
        <v>4316</v>
      </c>
      <c r="K219" s="38"/>
      <c r="L219" s="38" t="n">
        <v>46345</v>
      </c>
    </row>
    <row r="220" customFormat="false" ht="15" hidden="false" customHeight="false" outlineLevel="0" collapsed="false">
      <c r="A220" s="11" t="s">
        <v>419</v>
      </c>
      <c r="B220" s="11" t="s">
        <v>1247</v>
      </c>
      <c r="C220" s="11" t="s">
        <v>420</v>
      </c>
      <c r="D220" s="38" t="n">
        <v>46300</v>
      </c>
      <c r="E220" s="38" t="n">
        <v>46330</v>
      </c>
      <c r="F220" s="37" t="n">
        <v>147760.97</v>
      </c>
      <c r="G220" s="37" t="n">
        <v>0</v>
      </c>
      <c r="H220" s="37" t="n">
        <v>147760.97</v>
      </c>
      <c r="I220" s="11" t="s">
        <v>421</v>
      </c>
      <c r="J220" s="11" t="s">
        <v>4316</v>
      </c>
      <c r="K220" s="38"/>
      <c r="L220" s="38" t="n">
        <v>46324</v>
      </c>
    </row>
    <row r="221" customFormat="false" ht="15" hidden="false" customHeight="false" outlineLevel="0" collapsed="false">
      <c r="A221" s="11" t="s">
        <v>461</v>
      </c>
      <c r="B221" s="11" t="s">
        <v>4243</v>
      </c>
      <c r="C221" s="11" t="s">
        <v>313</v>
      </c>
      <c r="D221" s="38" t="n">
        <v>46304</v>
      </c>
      <c r="E221" s="38" t="n">
        <v>46334</v>
      </c>
      <c r="F221" s="37" t="n">
        <v>4971.3</v>
      </c>
      <c r="G221" s="37" t="n">
        <v>994.26</v>
      </c>
      <c r="H221" s="37" t="n">
        <v>5965.56</v>
      </c>
      <c r="I221" s="11" t="s">
        <v>314</v>
      </c>
      <c r="J221" s="11" t="s">
        <v>4316</v>
      </c>
      <c r="K221" s="38"/>
      <c r="L221" s="38" t="n">
        <v>46331</v>
      </c>
    </row>
  </sheetData>
  <autoFilter ref="A1:L2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6"/>
    <col collapsed="false" customWidth="true" hidden="false" outlineLevel="0" max="4" min="4" style="0" width="60"/>
    <col collapsed="false" customWidth="true" hidden="false" outlineLevel="0" max="5" min="5" style="0" width="40"/>
    <col collapsed="false" customWidth="true" hidden="false" outlineLevel="0" max="6" min="6" style="0" width="20"/>
    <col collapsed="false" customWidth="true" hidden="false" outlineLevel="0" max="7" min="7" style="0" width="12"/>
    <col collapsed="false" customWidth="true" hidden="false" outlineLevel="0" max="8" min="8" style="0" width="23"/>
    <col collapsed="false" customWidth="true" hidden="false" outlineLevel="0" max="9" min="9" style="0" width="15"/>
    <col collapsed="false" customWidth="true" hidden="false" outlineLevel="0" max="10" min="10" style="0" width="12"/>
    <col collapsed="false" customWidth="true" hidden="false" outlineLevel="0" max="11" min="11" style="0" width="17"/>
  </cols>
  <sheetData>
    <row r="1" customFormat="false" ht="15" hidden="false" customHeight="false" outlineLevel="0" collapsed="false">
      <c r="A1" s="2" t="s">
        <v>4318</v>
      </c>
    </row>
    <row r="3" customFormat="false" ht="30" hidden="false" customHeight="true" outlineLevel="0" collapsed="false">
      <c r="A3" s="33" t="s">
        <v>4319</v>
      </c>
      <c r="B3" s="33" t="s">
        <v>4229</v>
      </c>
      <c r="C3" s="33" t="s">
        <v>4230</v>
      </c>
      <c r="D3" s="33" t="s">
        <v>268</v>
      </c>
      <c r="E3" s="33" t="s">
        <v>4320</v>
      </c>
      <c r="F3" s="33" t="s">
        <v>4321</v>
      </c>
      <c r="G3" s="33" t="s">
        <v>258</v>
      </c>
      <c r="H3" s="33" t="s">
        <v>1374</v>
      </c>
      <c r="I3" s="33" t="s">
        <v>4146</v>
      </c>
      <c r="J3" s="33" t="s">
        <v>4147</v>
      </c>
      <c r="K3" s="33" t="s">
        <v>1362</v>
      </c>
    </row>
    <row r="4" customFormat="false" ht="15" hidden="false" customHeight="false" outlineLevel="0" collapsed="false">
      <c r="A4" s="11" t="s">
        <v>463</v>
      </c>
      <c r="B4" s="11" t="s">
        <v>4245</v>
      </c>
      <c r="C4" s="11" t="s">
        <v>464</v>
      </c>
      <c r="D4" s="11" t="s">
        <v>466</v>
      </c>
      <c r="E4" s="11" t="s">
        <v>465</v>
      </c>
      <c r="F4" s="38" t="n">
        <v>46307</v>
      </c>
      <c r="G4" s="38" t="n">
        <v>46337</v>
      </c>
      <c r="H4" s="38" t="n">
        <v>46331</v>
      </c>
      <c r="I4" s="37" t="n">
        <v>13301.66</v>
      </c>
      <c r="J4" s="37" t="n">
        <v>2660.33</v>
      </c>
      <c r="K4" s="37" t="n">
        <v>15961.99</v>
      </c>
    </row>
    <row r="5" customFormat="false" ht="15" hidden="false" customHeight="false" outlineLevel="0" collapsed="false">
      <c r="A5" s="11" t="s">
        <v>678</v>
      </c>
      <c r="B5" s="11" t="s">
        <v>4242</v>
      </c>
      <c r="C5" s="11" t="s">
        <v>458</v>
      </c>
      <c r="D5" s="11" t="s">
        <v>459</v>
      </c>
      <c r="E5" s="11" t="s">
        <v>465</v>
      </c>
      <c r="F5" s="38" t="n">
        <v>46307</v>
      </c>
      <c r="G5" s="38" t="n">
        <v>46367</v>
      </c>
      <c r="H5" s="38" t="n">
        <v>46366</v>
      </c>
      <c r="I5" s="37" t="n">
        <v>34416.48</v>
      </c>
      <c r="J5" s="37" t="n">
        <v>6883.3</v>
      </c>
      <c r="K5" s="37" t="n">
        <v>41299.78</v>
      </c>
    </row>
    <row r="6" customFormat="false" ht="15" hidden="false" customHeight="false" outlineLevel="0" collapsed="false">
      <c r="A6" s="11" t="s">
        <v>509</v>
      </c>
      <c r="B6" s="11" t="s">
        <v>4243</v>
      </c>
      <c r="C6" s="11" t="s">
        <v>313</v>
      </c>
      <c r="D6" s="11" t="s">
        <v>314</v>
      </c>
      <c r="E6" s="11" t="s">
        <v>465</v>
      </c>
      <c r="F6" s="38" t="n">
        <v>46311</v>
      </c>
      <c r="G6" s="38" t="n">
        <v>46341</v>
      </c>
      <c r="H6" s="38" t="n">
        <v>46338</v>
      </c>
      <c r="I6" s="37" t="n">
        <v>5260.02</v>
      </c>
      <c r="J6" s="37" t="n">
        <v>1052</v>
      </c>
      <c r="K6" s="37" t="n">
        <v>6312.02</v>
      </c>
    </row>
    <row r="7" customFormat="false" ht="15" hidden="false" customHeight="false" outlineLevel="0" collapsed="false">
      <c r="A7" s="11" t="s">
        <v>631</v>
      </c>
      <c r="B7" s="11" t="s">
        <v>1253</v>
      </c>
      <c r="C7" s="11" t="s">
        <v>308</v>
      </c>
      <c r="D7" s="11" t="s">
        <v>411</v>
      </c>
      <c r="E7" s="11" t="s">
        <v>465</v>
      </c>
      <c r="F7" s="38" t="n">
        <v>46314</v>
      </c>
      <c r="G7" s="38" t="n">
        <v>46359</v>
      </c>
      <c r="H7" s="38" t="n">
        <v>46359</v>
      </c>
      <c r="I7" s="37" t="n">
        <v>32200.21</v>
      </c>
      <c r="J7" s="37" t="n">
        <v>6440.04</v>
      </c>
      <c r="K7" s="37" t="n">
        <v>38640.25</v>
      </c>
    </row>
    <row r="8" customFormat="false" ht="15" hidden="false" customHeight="false" outlineLevel="0" collapsed="false">
      <c r="A8" s="11" t="s">
        <v>544</v>
      </c>
      <c r="B8" s="11" t="s">
        <v>1247</v>
      </c>
      <c r="C8" s="11" t="s">
        <v>420</v>
      </c>
      <c r="D8" s="11" t="s">
        <v>546</v>
      </c>
      <c r="E8" s="11" t="s">
        <v>545</v>
      </c>
      <c r="F8" s="38" t="n">
        <v>46316</v>
      </c>
      <c r="G8" s="38" t="n">
        <v>46346</v>
      </c>
      <c r="H8" s="38" t="n">
        <v>46345</v>
      </c>
      <c r="I8" s="37" t="n">
        <v>155000</v>
      </c>
      <c r="J8" s="37" t="n">
        <v>0</v>
      </c>
      <c r="K8" s="37" t="n">
        <v>155000</v>
      </c>
    </row>
    <row r="9" customFormat="false" ht="15" hidden="false" customHeight="false" outlineLevel="0" collapsed="false">
      <c r="A9" s="11" t="s">
        <v>548</v>
      </c>
      <c r="B9" s="11" t="s">
        <v>4243</v>
      </c>
      <c r="C9" s="11" t="s">
        <v>313</v>
      </c>
      <c r="D9" s="11" t="s">
        <v>314</v>
      </c>
      <c r="E9" s="11" t="s">
        <v>465</v>
      </c>
      <c r="F9" s="38" t="n">
        <v>46318</v>
      </c>
      <c r="G9" s="38" t="n">
        <v>46348</v>
      </c>
      <c r="H9" s="38" t="n">
        <v>46345</v>
      </c>
      <c r="I9" s="37" t="n">
        <v>4778.01</v>
      </c>
      <c r="J9" s="37" t="n">
        <v>955.6</v>
      </c>
      <c r="K9" s="37" t="n">
        <v>5733.61</v>
      </c>
    </row>
    <row r="10" customFormat="false" ht="15" hidden="false" customHeight="false" outlineLevel="0" collapsed="false">
      <c r="A10" s="11" t="s">
        <v>590</v>
      </c>
      <c r="B10" s="11" t="s">
        <v>4247</v>
      </c>
      <c r="C10" s="11" t="s">
        <v>414</v>
      </c>
      <c r="D10" s="11" t="s">
        <v>591</v>
      </c>
      <c r="E10" s="11" t="s">
        <v>465</v>
      </c>
      <c r="F10" s="38" t="n">
        <v>46325</v>
      </c>
      <c r="G10" s="38" t="n">
        <v>46355</v>
      </c>
      <c r="H10" s="38" t="n">
        <v>46352</v>
      </c>
      <c r="I10" s="37" t="n">
        <v>16806.36</v>
      </c>
      <c r="J10" s="37" t="n">
        <v>3361.27</v>
      </c>
      <c r="K10" s="37" t="n">
        <v>20167.63</v>
      </c>
    </row>
    <row r="11" customFormat="false" ht="15" hidden="false" customHeight="false" outlineLevel="0" collapsed="false">
      <c r="A11" s="11" t="s">
        <v>593</v>
      </c>
      <c r="B11" s="11" t="s">
        <v>4243</v>
      </c>
      <c r="C11" s="11" t="s">
        <v>313</v>
      </c>
      <c r="D11" s="11" t="s">
        <v>314</v>
      </c>
      <c r="E11" s="11" t="s">
        <v>465</v>
      </c>
      <c r="F11" s="38" t="n">
        <v>46328</v>
      </c>
      <c r="G11" s="38" t="n">
        <v>46358</v>
      </c>
      <c r="H11" s="38" t="n">
        <v>46352</v>
      </c>
      <c r="I11" s="37" t="n">
        <v>4020.51</v>
      </c>
      <c r="J11" s="37" t="n">
        <v>804.1</v>
      </c>
      <c r="K11" s="37" t="n">
        <v>4824.61</v>
      </c>
    </row>
    <row r="12" customFormat="false" ht="15" hidden="false" customHeight="false" outlineLevel="0" collapsed="false">
      <c r="A12" s="11" t="s">
        <v>735</v>
      </c>
      <c r="B12" s="11" t="s">
        <v>1253</v>
      </c>
      <c r="C12" s="11" t="s">
        <v>308</v>
      </c>
      <c r="D12" s="11" t="s">
        <v>310</v>
      </c>
      <c r="E12" s="11" t="s">
        <v>465</v>
      </c>
      <c r="F12" s="38" t="n">
        <v>46329</v>
      </c>
      <c r="G12" s="38" t="n">
        <v>46374</v>
      </c>
      <c r="H12" s="38" t="n">
        <v>46373</v>
      </c>
      <c r="I12" s="37" t="n">
        <v>28247.82</v>
      </c>
      <c r="J12" s="37" t="n">
        <v>5649.56</v>
      </c>
      <c r="K12" s="37" t="n">
        <v>33897.38</v>
      </c>
    </row>
    <row r="13" customFormat="false" ht="15" hidden="false" customHeight="false" outlineLevel="0" collapsed="false">
      <c r="A13" s="11" t="s">
        <v>633</v>
      </c>
      <c r="B13" s="11" t="s">
        <v>1247</v>
      </c>
      <c r="C13" s="11" t="s">
        <v>420</v>
      </c>
      <c r="D13" s="11" t="s">
        <v>634</v>
      </c>
      <c r="E13" s="11" t="s">
        <v>465</v>
      </c>
      <c r="F13" s="38" t="n">
        <v>46331</v>
      </c>
      <c r="G13" s="38" t="n">
        <v>46361</v>
      </c>
      <c r="H13" s="38" t="n">
        <v>46359</v>
      </c>
      <c r="I13" s="37" t="n">
        <v>122067.94</v>
      </c>
      <c r="J13" s="37" t="n">
        <v>0</v>
      </c>
      <c r="K13" s="37" t="n">
        <v>122067.94</v>
      </c>
    </row>
    <row r="14" customFormat="false" ht="15" hidden="false" customHeight="false" outlineLevel="0" collapsed="false">
      <c r="A14" s="11" t="s">
        <v>779</v>
      </c>
      <c r="B14" s="11" t="s">
        <v>1253</v>
      </c>
      <c r="C14" s="11" t="s">
        <v>308</v>
      </c>
      <c r="D14" s="11" t="s">
        <v>780</v>
      </c>
      <c r="E14" s="11" t="s">
        <v>465</v>
      </c>
      <c r="F14" s="38" t="n">
        <v>46335</v>
      </c>
      <c r="G14" s="38" t="n">
        <v>46380</v>
      </c>
      <c r="H14" s="38" t="n">
        <v>46380</v>
      </c>
      <c r="I14" s="37" t="n">
        <v>32000</v>
      </c>
      <c r="J14" s="37" t="n">
        <v>6400</v>
      </c>
      <c r="K14" s="37" t="n">
        <v>38400</v>
      </c>
    </row>
    <row r="15" customFormat="false" ht="15" hidden="false" customHeight="false" outlineLevel="0" collapsed="false">
      <c r="A15" s="11" t="s">
        <v>636</v>
      </c>
      <c r="B15" s="11" t="s">
        <v>4243</v>
      </c>
      <c r="C15" s="11" t="s">
        <v>313</v>
      </c>
      <c r="D15" s="11" t="s">
        <v>314</v>
      </c>
      <c r="E15" s="11" t="s">
        <v>465</v>
      </c>
      <c r="F15" s="38" t="n">
        <v>46335</v>
      </c>
      <c r="G15" s="38" t="n">
        <v>46365</v>
      </c>
      <c r="H15" s="38" t="n">
        <v>46359</v>
      </c>
      <c r="I15" s="37" t="n">
        <v>4497.61</v>
      </c>
      <c r="J15" s="37" t="n">
        <v>899.52</v>
      </c>
      <c r="K15" s="37" t="n">
        <v>5397.13</v>
      </c>
    </row>
    <row r="16" customFormat="false" ht="15" hidden="false" customHeight="false" outlineLevel="0" collapsed="false">
      <c r="A16" s="11" t="s">
        <v>880</v>
      </c>
      <c r="B16" s="11" t="s">
        <v>4242</v>
      </c>
      <c r="C16" s="11" t="s">
        <v>458</v>
      </c>
      <c r="D16" s="11" t="s">
        <v>459</v>
      </c>
      <c r="E16" s="11" t="s">
        <v>465</v>
      </c>
      <c r="F16" s="38" t="n">
        <v>46336</v>
      </c>
      <c r="G16" s="38" t="n">
        <v>46396</v>
      </c>
      <c r="H16" s="38" t="n">
        <v>46394</v>
      </c>
      <c r="I16" s="37" t="n">
        <v>28588.3</v>
      </c>
      <c r="J16" s="37" t="n">
        <v>5717.66</v>
      </c>
      <c r="K16" s="37" t="n">
        <v>34305.96</v>
      </c>
    </row>
    <row r="17" customFormat="false" ht="15" hidden="false" customHeight="false" outlineLevel="0" collapsed="false">
      <c r="A17" s="11" t="s">
        <v>680</v>
      </c>
      <c r="B17" s="11" t="s">
        <v>4245</v>
      </c>
      <c r="C17" s="11" t="s">
        <v>464</v>
      </c>
      <c r="D17" s="11" t="s">
        <v>466</v>
      </c>
      <c r="E17" s="11" t="s">
        <v>465</v>
      </c>
      <c r="F17" s="38" t="n">
        <v>46338</v>
      </c>
      <c r="G17" s="38" t="n">
        <v>46368</v>
      </c>
      <c r="H17" s="38" t="n">
        <v>46366</v>
      </c>
      <c r="I17" s="37" t="n">
        <v>10741.96</v>
      </c>
      <c r="J17" s="37" t="n">
        <v>2148.39</v>
      </c>
      <c r="K17" s="37" t="n">
        <v>12890.35</v>
      </c>
    </row>
    <row r="18" customFormat="false" ht="15" hidden="false" customHeight="false" outlineLevel="0" collapsed="false">
      <c r="A18" s="11" t="s">
        <v>682</v>
      </c>
      <c r="B18" s="11" t="s">
        <v>4243</v>
      </c>
      <c r="C18" s="11" t="s">
        <v>313</v>
      </c>
      <c r="D18" s="11" t="s">
        <v>314</v>
      </c>
      <c r="E18" s="11" t="s">
        <v>465</v>
      </c>
      <c r="F18" s="38" t="n">
        <v>46342</v>
      </c>
      <c r="G18" s="38" t="n">
        <v>46372</v>
      </c>
      <c r="H18" s="38" t="n">
        <v>46366</v>
      </c>
      <c r="I18" s="37" t="n">
        <v>4437.01</v>
      </c>
      <c r="J18" s="37" t="n">
        <v>887.4</v>
      </c>
      <c r="K18" s="37" t="n">
        <v>5324.41</v>
      </c>
    </row>
    <row r="19" customFormat="false" ht="15" hidden="false" customHeight="false" outlineLevel="0" collapsed="false">
      <c r="A19" s="11" t="s">
        <v>829</v>
      </c>
      <c r="B19" s="11" t="s">
        <v>1253</v>
      </c>
      <c r="C19" s="11" t="s">
        <v>308</v>
      </c>
      <c r="D19" s="11" t="s">
        <v>411</v>
      </c>
      <c r="E19" s="11" t="s">
        <v>465</v>
      </c>
      <c r="F19" s="38" t="n">
        <v>46343</v>
      </c>
      <c r="G19" s="38" t="n">
        <v>46388</v>
      </c>
      <c r="H19" s="38" t="n">
        <v>46387</v>
      </c>
      <c r="I19" s="37" t="n">
        <v>29150.33</v>
      </c>
      <c r="J19" s="37" t="n">
        <v>5830.07</v>
      </c>
      <c r="K19" s="37" t="n">
        <v>34980.4</v>
      </c>
    </row>
    <row r="20" customFormat="false" ht="15" hidden="false" customHeight="false" outlineLevel="0" collapsed="false">
      <c r="A20" s="11" t="s">
        <v>737</v>
      </c>
      <c r="B20" s="11" t="s">
        <v>4243</v>
      </c>
      <c r="C20" s="11" t="s">
        <v>313</v>
      </c>
      <c r="D20" s="11" t="s">
        <v>314</v>
      </c>
      <c r="E20" s="11" t="s">
        <v>465</v>
      </c>
      <c r="F20" s="38" t="n">
        <v>46349</v>
      </c>
      <c r="G20" s="38" t="n">
        <v>46379</v>
      </c>
      <c r="H20" s="38" t="n">
        <v>46373</v>
      </c>
      <c r="I20" s="37" t="n">
        <v>4105.9</v>
      </c>
      <c r="J20" s="37" t="n">
        <v>821.18</v>
      </c>
      <c r="K20" s="37" t="n">
        <v>4927.08</v>
      </c>
    </row>
    <row r="21" customFormat="false" ht="15" hidden="false" customHeight="false" outlineLevel="0" collapsed="false">
      <c r="A21" s="11" t="s">
        <v>782</v>
      </c>
      <c r="B21" s="11" t="s">
        <v>4247</v>
      </c>
      <c r="C21" s="11" t="s">
        <v>414</v>
      </c>
      <c r="D21" s="11" t="s">
        <v>784</v>
      </c>
      <c r="E21" s="11" t="s">
        <v>783</v>
      </c>
      <c r="F21" s="38" t="n">
        <v>46356</v>
      </c>
      <c r="G21" s="38" t="n">
        <v>46386</v>
      </c>
      <c r="H21" s="38" t="n">
        <v>46380</v>
      </c>
      <c r="I21" s="37" t="n">
        <v>20082.07</v>
      </c>
      <c r="J21" s="37" t="n">
        <v>4016.41</v>
      </c>
      <c r="K21" s="37" t="n">
        <v>24098.48</v>
      </c>
    </row>
    <row r="22" customFormat="false" ht="15" hidden="false" customHeight="false" outlineLevel="0" collapsed="false">
      <c r="A22" s="11" t="s">
        <v>831</v>
      </c>
      <c r="B22" s="11" t="s">
        <v>4243</v>
      </c>
      <c r="C22" s="11" t="s">
        <v>313</v>
      </c>
      <c r="D22" s="11" t="s">
        <v>314</v>
      </c>
      <c r="E22" s="11" t="s">
        <v>783</v>
      </c>
      <c r="F22" s="38" t="n">
        <v>46358</v>
      </c>
      <c r="G22" s="38" t="n">
        <v>46388</v>
      </c>
      <c r="H22" s="38" t="n">
        <v>46387</v>
      </c>
      <c r="I22" s="37" t="n">
        <v>4134.87</v>
      </c>
      <c r="J22" s="37" t="n">
        <v>826.97</v>
      </c>
      <c r="K22" s="37" t="n">
        <v>4961.84</v>
      </c>
    </row>
    <row r="23" customFormat="false" ht="15" hidden="false" customHeight="false" outlineLevel="0" collapsed="false">
      <c r="A23" s="11" t="s">
        <v>833</v>
      </c>
      <c r="B23" s="11" t="s">
        <v>1247</v>
      </c>
      <c r="C23" s="11" t="s">
        <v>420</v>
      </c>
      <c r="D23" s="11" t="s">
        <v>834</v>
      </c>
      <c r="E23" s="11" t="s">
        <v>783</v>
      </c>
      <c r="F23" s="38" t="n">
        <v>46363</v>
      </c>
      <c r="G23" s="38" t="n">
        <v>46393</v>
      </c>
      <c r="H23" s="38" t="n">
        <v>46387</v>
      </c>
      <c r="I23" s="37" t="n">
        <v>97624.95</v>
      </c>
      <c r="J23" s="37" t="n">
        <v>0</v>
      </c>
      <c r="K23" s="37" t="n">
        <v>97624.95</v>
      </c>
    </row>
    <row r="24" customFormat="false" ht="15" hidden="false" customHeight="false" outlineLevel="0" collapsed="false">
      <c r="A24" s="11" t="s">
        <v>882</v>
      </c>
      <c r="B24" s="11" t="s">
        <v>4243</v>
      </c>
      <c r="C24" s="11" t="s">
        <v>313</v>
      </c>
      <c r="D24" s="11" t="s">
        <v>314</v>
      </c>
      <c r="E24" s="11" t="s">
        <v>783</v>
      </c>
      <c r="F24" s="38" t="n">
        <v>46365</v>
      </c>
      <c r="G24" s="38" t="n">
        <v>46395</v>
      </c>
      <c r="H24" s="38" t="n">
        <v>46394</v>
      </c>
      <c r="I24" s="37" t="n">
        <v>3693.1</v>
      </c>
      <c r="J24" s="37" t="n">
        <v>738.62</v>
      </c>
      <c r="K24" s="37" t="n">
        <v>4431.72</v>
      </c>
    </row>
    <row r="25" customFormat="false" ht="15" hidden="false" customHeight="false" outlineLevel="0" collapsed="false">
      <c r="A25" s="11" t="s">
        <v>884</v>
      </c>
      <c r="B25" s="11" t="s">
        <v>4245</v>
      </c>
      <c r="C25" s="11" t="s">
        <v>464</v>
      </c>
      <c r="D25" s="11" t="s">
        <v>466</v>
      </c>
      <c r="E25" s="11" t="s">
        <v>783</v>
      </c>
      <c r="F25" s="38" t="n">
        <v>46370</v>
      </c>
      <c r="G25" s="38" t="n">
        <v>46400</v>
      </c>
      <c r="H25" s="38" t="n">
        <v>46394</v>
      </c>
      <c r="I25" s="37" t="n">
        <v>9708.4</v>
      </c>
      <c r="J25" s="37" t="n">
        <v>1941.68</v>
      </c>
      <c r="K25" s="37" t="n">
        <v>11650.08</v>
      </c>
    </row>
  </sheetData>
  <autoFilter ref="A3:K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36"/>
    <col collapsed="false" customWidth="true" hidden="false" outlineLevel="0" max="4" min="4" style="0" width="38"/>
    <col collapsed="false" customWidth="true" hidden="false" outlineLevel="0" max="5" min="5" style="0" width="12"/>
    <col collapsed="false" customWidth="true" hidden="false" outlineLevel="0" max="6" min="6" style="0" width="48"/>
    <col collapsed="false" customWidth="true" hidden="false" outlineLevel="0" max="7" min="7" style="0" width="30"/>
  </cols>
  <sheetData>
    <row r="1" customFormat="false" ht="15" hidden="false" customHeight="false" outlineLevel="0" collapsed="false">
      <c r="A1" s="2" t="s">
        <v>4322</v>
      </c>
    </row>
    <row r="3" customFormat="false" ht="30" hidden="false" customHeight="true" outlineLevel="0" collapsed="false">
      <c r="A3" s="33" t="s">
        <v>4323</v>
      </c>
      <c r="B3" s="33" t="s">
        <v>199</v>
      </c>
      <c r="C3" s="33" t="s">
        <v>252</v>
      </c>
      <c r="D3" s="33" t="s">
        <v>253</v>
      </c>
      <c r="E3" s="33" t="s">
        <v>255</v>
      </c>
      <c r="F3" s="33" t="s">
        <v>4324</v>
      </c>
      <c r="G3" s="33" t="s">
        <v>1376</v>
      </c>
    </row>
    <row r="4" customFormat="false" ht="15" hidden="false" customHeight="false" outlineLevel="0" collapsed="false">
      <c r="A4" s="11" t="s">
        <v>270</v>
      </c>
      <c r="B4" s="38" t="n">
        <v>46307</v>
      </c>
      <c r="C4" s="11" t="s">
        <v>272</v>
      </c>
      <c r="D4" s="11" t="s">
        <v>273</v>
      </c>
      <c r="E4" s="37" t="n">
        <v>3840</v>
      </c>
      <c r="F4" s="11"/>
      <c r="G4" s="11" t="s">
        <v>274</v>
      </c>
    </row>
    <row r="5" customFormat="false" ht="15" hidden="false" customHeight="false" outlineLevel="0" collapsed="false">
      <c r="A5" s="11" t="s">
        <v>290</v>
      </c>
      <c r="B5" s="38" t="n">
        <v>46309</v>
      </c>
      <c r="C5" s="11" t="s">
        <v>291</v>
      </c>
      <c r="D5" s="11" t="s">
        <v>292</v>
      </c>
      <c r="E5" s="37" t="n">
        <v>4700</v>
      </c>
      <c r="F5" s="11" t="s">
        <v>294</v>
      </c>
      <c r="G5" s="11" t="s">
        <v>293</v>
      </c>
    </row>
    <row r="6" customFormat="false" ht="15" hidden="false" customHeight="false" outlineLevel="0" collapsed="false">
      <c r="A6" s="11" t="s">
        <v>316</v>
      </c>
      <c r="B6" s="38" t="n">
        <v>46310</v>
      </c>
      <c r="C6" s="11" t="s">
        <v>317</v>
      </c>
      <c r="D6" s="11" t="s">
        <v>318</v>
      </c>
      <c r="E6" s="37" t="n">
        <v>86000</v>
      </c>
      <c r="F6" s="11" t="s">
        <v>319</v>
      </c>
      <c r="G6" s="11" t="s">
        <v>274</v>
      </c>
    </row>
    <row r="7" customFormat="false" ht="15" hidden="false" customHeight="false" outlineLevel="0" collapsed="false">
      <c r="A7" s="11" t="s">
        <v>356</v>
      </c>
      <c r="B7" s="38" t="n">
        <v>46316</v>
      </c>
      <c r="C7" s="11" t="s">
        <v>291</v>
      </c>
      <c r="D7" s="11" t="s">
        <v>292</v>
      </c>
      <c r="E7" s="37" t="n">
        <v>4700</v>
      </c>
      <c r="F7" s="11" t="s">
        <v>294</v>
      </c>
      <c r="G7" s="11" t="s">
        <v>293</v>
      </c>
    </row>
    <row r="8" customFormat="false" ht="15" hidden="false" customHeight="false" outlineLevel="0" collapsed="false">
      <c r="A8" s="11" t="s">
        <v>382</v>
      </c>
      <c r="B8" s="38" t="n">
        <v>46321</v>
      </c>
      <c r="C8" s="11" t="s">
        <v>4325</v>
      </c>
      <c r="D8" s="11" t="s">
        <v>384</v>
      </c>
      <c r="E8" s="37" t="n">
        <v>109780</v>
      </c>
      <c r="F8" s="11" t="s">
        <v>386</v>
      </c>
      <c r="G8" s="11" t="s">
        <v>385</v>
      </c>
    </row>
    <row r="9" customFormat="false" ht="15" hidden="false" customHeight="false" outlineLevel="0" collapsed="false">
      <c r="A9" s="11" t="s">
        <v>404</v>
      </c>
      <c r="B9" s="38" t="n">
        <v>46323</v>
      </c>
      <c r="C9" s="11" t="s">
        <v>291</v>
      </c>
      <c r="D9" s="11" t="s">
        <v>292</v>
      </c>
      <c r="E9" s="37" t="n">
        <v>4700</v>
      </c>
      <c r="F9" s="11" t="s">
        <v>294</v>
      </c>
      <c r="G9" s="11" t="s">
        <v>293</v>
      </c>
    </row>
    <row r="10" customFormat="false" ht="15" hidden="false" customHeight="false" outlineLevel="0" collapsed="false">
      <c r="A10" s="11" t="s">
        <v>423</v>
      </c>
      <c r="B10" s="38" t="n">
        <v>46325</v>
      </c>
      <c r="C10" s="11" t="s">
        <v>1634</v>
      </c>
      <c r="D10" s="11" t="s">
        <v>425</v>
      </c>
      <c r="E10" s="37" t="n">
        <v>106000</v>
      </c>
      <c r="F10" s="11"/>
      <c r="G10" s="11" t="s">
        <v>274</v>
      </c>
    </row>
    <row r="11" customFormat="false" ht="15" hidden="false" customHeight="false" outlineLevel="0" collapsed="false">
      <c r="A11" s="11" t="s">
        <v>447</v>
      </c>
      <c r="B11" s="38" t="n">
        <v>46329</v>
      </c>
      <c r="C11" s="11" t="s">
        <v>448</v>
      </c>
      <c r="D11" s="11" t="s">
        <v>449</v>
      </c>
      <c r="E11" s="37" t="n">
        <v>2880</v>
      </c>
      <c r="F11" s="11"/>
      <c r="G11" s="11" t="s">
        <v>274</v>
      </c>
    </row>
    <row r="12" customFormat="false" ht="15" hidden="false" customHeight="false" outlineLevel="0" collapsed="false">
      <c r="A12" s="11" t="s">
        <v>453</v>
      </c>
      <c r="B12" s="38" t="n">
        <v>46330</v>
      </c>
      <c r="C12" s="11" t="s">
        <v>291</v>
      </c>
      <c r="D12" s="11" t="s">
        <v>292</v>
      </c>
      <c r="E12" s="37" t="n">
        <v>4700</v>
      </c>
      <c r="F12" s="11" t="s">
        <v>294</v>
      </c>
      <c r="G12" s="11" t="s">
        <v>293</v>
      </c>
    </row>
    <row r="13" customFormat="false" ht="15" hidden="false" customHeight="false" outlineLevel="0" collapsed="false">
      <c r="A13" s="11" t="s">
        <v>468</v>
      </c>
      <c r="B13" s="38" t="n">
        <v>46331</v>
      </c>
      <c r="C13" s="11" t="s">
        <v>469</v>
      </c>
      <c r="D13" s="11" t="s">
        <v>470</v>
      </c>
      <c r="E13" s="37" t="n">
        <v>8900</v>
      </c>
      <c r="F13" s="11" t="s">
        <v>471</v>
      </c>
      <c r="G13" s="11" t="s">
        <v>274</v>
      </c>
    </row>
    <row r="14" customFormat="false" ht="15" hidden="false" customHeight="false" outlineLevel="0" collapsed="false">
      <c r="A14" s="11" t="s">
        <v>479</v>
      </c>
      <c r="B14" s="38" t="n">
        <v>46335</v>
      </c>
      <c r="C14" s="11" t="s">
        <v>480</v>
      </c>
      <c r="D14" s="11" t="s">
        <v>481</v>
      </c>
      <c r="E14" s="37" t="n">
        <v>14160</v>
      </c>
      <c r="F14" s="11"/>
      <c r="G14" s="11" t="s">
        <v>274</v>
      </c>
    </row>
    <row r="15" customFormat="false" ht="15" hidden="false" customHeight="false" outlineLevel="0" collapsed="false">
      <c r="A15" s="11" t="s">
        <v>493</v>
      </c>
      <c r="B15" s="38" t="n">
        <v>46336</v>
      </c>
      <c r="C15" s="11" t="s">
        <v>272</v>
      </c>
      <c r="D15" s="11" t="s">
        <v>273</v>
      </c>
      <c r="E15" s="37" t="n">
        <v>3840</v>
      </c>
      <c r="F15" s="11"/>
      <c r="G15" s="11" t="s">
        <v>274</v>
      </c>
    </row>
    <row r="16" customFormat="false" ht="15" hidden="false" customHeight="false" outlineLevel="0" collapsed="false">
      <c r="A16" s="11" t="s">
        <v>501</v>
      </c>
      <c r="B16" s="38" t="n">
        <v>46337</v>
      </c>
      <c r="C16" s="11" t="s">
        <v>291</v>
      </c>
      <c r="D16" s="11" t="s">
        <v>292</v>
      </c>
      <c r="E16" s="37" t="n">
        <v>4700</v>
      </c>
      <c r="F16" s="11" t="s">
        <v>294</v>
      </c>
      <c r="G16" s="11" t="s">
        <v>293</v>
      </c>
    </row>
    <row r="17" customFormat="false" ht="15" hidden="false" customHeight="false" outlineLevel="0" collapsed="false">
      <c r="A17" s="11" t="s">
        <v>517</v>
      </c>
      <c r="B17" s="38" t="n">
        <v>46342</v>
      </c>
      <c r="C17" s="11" t="s">
        <v>317</v>
      </c>
      <c r="D17" s="11" t="s">
        <v>318</v>
      </c>
      <c r="E17" s="37" t="n">
        <v>86000</v>
      </c>
      <c r="F17" s="11" t="s">
        <v>319</v>
      </c>
      <c r="G17" s="11" t="s">
        <v>274</v>
      </c>
    </row>
    <row r="18" customFormat="false" ht="15" hidden="false" customHeight="false" outlineLevel="0" collapsed="false">
      <c r="A18" s="11" t="s">
        <v>533</v>
      </c>
      <c r="B18" s="38" t="n">
        <v>46344</v>
      </c>
      <c r="C18" s="11" t="s">
        <v>291</v>
      </c>
      <c r="D18" s="11" t="s">
        <v>292</v>
      </c>
      <c r="E18" s="37" t="n">
        <v>4700</v>
      </c>
      <c r="F18" s="11" t="s">
        <v>294</v>
      </c>
      <c r="G18" s="11" t="s">
        <v>293</v>
      </c>
    </row>
    <row r="19" customFormat="false" ht="15" hidden="false" customHeight="false" outlineLevel="0" collapsed="false">
      <c r="A19" s="11" t="s">
        <v>570</v>
      </c>
      <c r="B19" s="38" t="n">
        <v>46350</v>
      </c>
      <c r="C19" s="11" t="s">
        <v>4325</v>
      </c>
      <c r="D19" s="11" t="s">
        <v>384</v>
      </c>
      <c r="E19" s="37" t="n">
        <v>102020</v>
      </c>
      <c r="F19" s="11" t="s">
        <v>572</v>
      </c>
      <c r="G19" s="11" t="s">
        <v>571</v>
      </c>
    </row>
    <row r="20" customFormat="false" ht="15" hidden="false" customHeight="false" outlineLevel="0" collapsed="false">
      <c r="A20" s="11" t="s">
        <v>582</v>
      </c>
      <c r="B20" s="38" t="n">
        <v>46351</v>
      </c>
      <c r="C20" s="11" t="s">
        <v>291</v>
      </c>
      <c r="D20" s="11" t="s">
        <v>292</v>
      </c>
      <c r="E20" s="37" t="n">
        <v>4700</v>
      </c>
      <c r="F20" s="11" t="s">
        <v>294</v>
      </c>
      <c r="G20" s="11" t="s">
        <v>293</v>
      </c>
    </row>
    <row r="21" customFormat="false" ht="15" hidden="false" customHeight="false" outlineLevel="0" collapsed="false">
      <c r="A21" s="11" t="s">
        <v>584</v>
      </c>
      <c r="B21" s="38" t="n">
        <v>46351</v>
      </c>
      <c r="C21" s="11" t="s">
        <v>4326</v>
      </c>
      <c r="D21" s="11" t="s">
        <v>586</v>
      </c>
      <c r="E21" s="37" t="n">
        <v>34560</v>
      </c>
      <c r="F21" s="11" t="s">
        <v>588</v>
      </c>
      <c r="G21" s="11" t="s">
        <v>587</v>
      </c>
    </row>
    <row r="22" customFormat="false" ht="15" hidden="false" customHeight="false" outlineLevel="0" collapsed="false">
      <c r="A22" s="11" t="s">
        <v>609</v>
      </c>
      <c r="B22" s="38" t="n">
        <v>46356</v>
      </c>
      <c r="C22" s="11" t="s">
        <v>1634</v>
      </c>
      <c r="D22" s="11" t="s">
        <v>425</v>
      </c>
      <c r="E22" s="37" t="n">
        <v>106000</v>
      </c>
      <c r="F22" s="11"/>
      <c r="G22" s="11" t="s">
        <v>274</v>
      </c>
    </row>
    <row r="23" customFormat="false" ht="15" hidden="false" customHeight="false" outlineLevel="0" collapsed="false">
      <c r="A23" s="11" t="s">
        <v>629</v>
      </c>
      <c r="B23" s="38" t="n">
        <v>46358</v>
      </c>
      <c r="C23" s="11" t="s">
        <v>291</v>
      </c>
      <c r="D23" s="11" t="s">
        <v>292</v>
      </c>
      <c r="E23" s="37" t="n">
        <v>4700</v>
      </c>
      <c r="F23" s="11" t="s">
        <v>294</v>
      </c>
      <c r="G23" s="11" t="s">
        <v>293</v>
      </c>
    </row>
    <row r="24" customFormat="false" ht="15" hidden="false" customHeight="false" outlineLevel="0" collapsed="false">
      <c r="A24" s="11" t="s">
        <v>638</v>
      </c>
      <c r="B24" s="38" t="n">
        <v>46359</v>
      </c>
      <c r="C24" s="11" t="s">
        <v>448</v>
      </c>
      <c r="D24" s="11" t="s">
        <v>449</v>
      </c>
      <c r="E24" s="37" t="n">
        <v>2880</v>
      </c>
      <c r="F24" s="11"/>
      <c r="G24" s="11" t="s">
        <v>274</v>
      </c>
    </row>
    <row r="25" customFormat="false" ht="15" hidden="false" customHeight="false" outlineLevel="0" collapsed="false">
      <c r="A25" s="11" t="s">
        <v>648</v>
      </c>
      <c r="B25" s="38" t="n">
        <v>46363</v>
      </c>
      <c r="C25" s="11" t="s">
        <v>469</v>
      </c>
      <c r="D25" s="11" t="s">
        <v>470</v>
      </c>
      <c r="E25" s="37" t="n">
        <v>8900</v>
      </c>
      <c r="F25" s="11" t="s">
        <v>471</v>
      </c>
      <c r="G25" s="11" t="s">
        <v>274</v>
      </c>
    </row>
    <row r="26" customFormat="false" ht="15" hidden="false" customHeight="false" outlineLevel="0" collapsed="false">
      <c r="A26" s="11" t="s">
        <v>672</v>
      </c>
      <c r="B26" s="38" t="n">
        <v>46364</v>
      </c>
      <c r="C26" s="11" t="s">
        <v>480</v>
      </c>
      <c r="D26" s="11" t="s">
        <v>481</v>
      </c>
      <c r="E26" s="37" t="n">
        <v>14160</v>
      </c>
      <c r="F26" s="11"/>
      <c r="G26" s="11" t="s">
        <v>274</v>
      </c>
    </row>
    <row r="27" customFormat="false" ht="15" hidden="false" customHeight="false" outlineLevel="0" collapsed="false">
      <c r="A27" s="11" t="s">
        <v>674</v>
      </c>
      <c r="B27" s="38" t="n">
        <v>46365</v>
      </c>
      <c r="C27" s="11" t="s">
        <v>291</v>
      </c>
      <c r="D27" s="11" t="s">
        <v>292</v>
      </c>
      <c r="E27" s="37" t="n">
        <v>4700</v>
      </c>
      <c r="F27" s="11" t="s">
        <v>294</v>
      </c>
      <c r="G27" s="11" t="s">
        <v>293</v>
      </c>
    </row>
    <row r="28" customFormat="false" ht="15" hidden="false" customHeight="false" outlineLevel="0" collapsed="false">
      <c r="A28" s="11" t="s">
        <v>684</v>
      </c>
      <c r="B28" s="38" t="n">
        <v>46366</v>
      </c>
      <c r="C28" s="11" t="s">
        <v>272</v>
      </c>
      <c r="D28" s="11" t="s">
        <v>273</v>
      </c>
      <c r="E28" s="37" t="n">
        <v>3840</v>
      </c>
      <c r="F28" s="11"/>
      <c r="G28" s="11" t="s">
        <v>274</v>
      </c>
    </row>
    <row r="29" customFormat="false" ht="15" hidden="false" customHeight="false" outlineLevel="0" collapsed="false">
      <c r="A29" s="11" t="s">
        <v>716</v>
      </c>
      <c r="B29" s="38" t="n">
        <v>46371</v>
      </c>
      <c r="C29" s="11" t="s">
        <v>2662</v>
      </c>
      <c r="D29" s="11" t="s">
        <v>384</v>
      </c>
      <c r="E29" s="37" t="n">
        <v>6200</v>
      </c>
      <c r="F29" s="11"/>
      <c r="G29" s="11" t="s">
        <v>274</v>
      </c>
    </row>
    <row r="30" customFormat="false" ht="15" hidden="false" customHeight="false" outlineLevel="0" collapsed="false">
      <c r="A30" s="11" t="s">
        <v>719</v>
      </c>
      <c r="B30" s="38" t="n">
        <v>46371</v>
      </c>
      <c r="C30" s="11" t="s">
        <v>317</v>
      </c>
      <c r="D30" s="11" t="s">
        <v>318</v>
      </c>
      <c r="E30" s="37" t="n">
        <v>86000</v>
      </c>
      <c r="F30" s="11" t="s">
        <v>319</v>
      </c>
      <c r="G30" s="11" t="s">
        <v>274</v>
      </c>
    </row>
    <row r="31" customFormat="false" ht="15" hidden="false" customHeight="false" outlineLevel="0" collapsed="false">
      <c r="A31" s="11" t="s">
        <v>721</v>
      </c>
      <c r="B31" s="38" t="n">
        <v>46371</v>
      </c>
      <c r="C31" s="11" t="s">
        <v>722</v>
      </c>
      <c r="D31" s="11" t="s">
        <v>384</v>
      </c>
      <c r="E31" s="37" t="n">
        <v>24500</v>
      </c>
      <c r="F31" s="11" t="s">
        <v>723</v>
      </c>
      <c r="G31" s="11" t="s">
        <v>274</v>
      </c>
    </row>
    <row r="32" customFormat="false" ht="15" hidden="false" customHeight="false" outlineLevel="0" collapsed="false">
      <c r="A32" s="11" t="s">
        <v>733</v>
      </c>
      <c r="B32" s="38" t="n">
        <v>46372</v>
      </c>
      <c r="C32" s="11" t="s">
        <v>291</v>
      </c>
      <c r="D32" s="11" t="s">
        <v>292</v>
      </c>
      <c r="E32" s="37" t="n">
        <v>4700</v>
      </c>
      <c r="F32" s="11" t="s">
        <v>294</v>
      </c>
      <c r="G32" s="11" t="s">
        <v>293</v>
      </c>
    </row>
    <row r="33" customFormat="false" ht="15" hidden="false" customHeight="false" outlineLevel="0" collapsed="false">
      <c r="A33" s="11" t="s">
        <v>775</v>
      </c>
      <c r="B33" s="38" t="n">
        <v>46379</v>
      </c>
      <c r="C33" s="11" t="s">
        <v>291</v>
      </c>
      <c r="D33" s="11" t="s">
        <v>292</v>
      </c>
      <c r="E33" s="37" t="n">
        <v>4700</v>
      </c>
      <c r="F33" s="11" t="s">
        <v>294</v>
      </c>
      <c r="G33" s="11" t="s">
        <v>293</v>
      </c>
    </row>
    <row r="34" customFormat="false" ht="15" hidden="false" customHeight="false" outlineLevel="0" collapsed="false">
      <c r="A34" s="11" t="s">
        <v>786</v>
      </c>
      <c r="B34" s="38" t="n">
        <v>46380</v>
      </c>
      <c r="C34" s="11" t="s">
        <v>4325</v>
      </c>
      <c r="D34" s="11" t="s">
        <v>384</v>
      </c>
      <c r="E34" s="37" t="n">
        <v>89420</v>
      </c>
      <c r="F34" s="11" t="s">
        <v>787</v>
      </c>
      <c r="G34" s="11" t="s">
        <v>571</v>
      </c>
    </row>
    <row r="35" customFormat="false" ht="15" hidden="false" customHeight="false" outlineLevel="0" collapsed="false">
      <c r="A35" s="11" t="s">
        <v>827</v>
      </c>
      <c r="B35" s="38" t="n">
        <v>46386</v>
      </c>
      <c r="C35" s="11" t="s">
        <v>291</v>
      </c>
      <c r="D35" s="11" t="s">
        <v>292</v>
      </c>
      <c r="E35" s="37" t="n">
        <v>1800</v>
      </c>
      <c r="F35" s="11" t="s">
        <v>294</v>
      </c>
      <c r="G35" s="11" t="s">
        <v>293</v>
      </c>
    </row>
    <row r="36" customFormat="false" ht="15" hidden="false" customHeight="false" outlineLevel="0" collapsed="false">
      <c r="A36" s="11" t="s">
        <v>836</v>
      </c>
      <c r="B36" s="38" t="n">
        <v>46387</v>
      </c>
      <c r="C36" s="11" t="s">
        <v>2767</v>
      </c>
      <c r="D36" s="11" t="s">
        <v>425</v>
      </c>
      <c r="E36" s="37" t="n">
        <v>72000</v>
      </c>
      <c r="F36" s="11" t="s">
        <v>837</v>
      </c>
      <c r="G36" s="11" t="s">
        <v>274</v>
      </c>
    </row>
    <row r="37" customFormat="false" ht="15" hidden="false" customHeight="false" outlineLevel="0" collapsed="false">
      <c r="A37" s="11" t="s">
        <v>839</v>
      </c>
      <c r="B37" s="38" t="n">
        <v>46387</v>
      </c>
      <c r="C37" s="11" t="s">
        <v>1634</v>
      </c>
      <c r="D37" s="11" t="s">
        <v>425</v>
      </c>
      <c r="E37" s="37" t="n">
        <v>106000</v>
      </c>
      <c r="F37" s="11"/>
      <c r="G37" s="11" t="s">
        <v>274</v>
      </c>
    </row>
    <row r="38" customFormat="false" ht="15" hidden="false" customHeight="false" outlineLevel="0" collapsed="false">
      <c r="A38" s="11" t="s">
        <v>845</v>
      </c>
      <c r="B38" s="38" t="n">
        <v>46391</v>
      </c>
      <c r="C38" s="11" t="s">
        <v>1503</v>
      </c>
      <c r="D38" s="11" t="s">
        <v>847</v>
      </c>
      <c r="E38" s="37" t="n">
        <v>23400</v>
      </c>
      <c r="F38" s="11"/>
      <c r="G38" s="11" t="s">
        <v>274</v>
      </c>
    </row>
    <row r="39" customFormat="false" ht="15" hidden="false" customHeight="false" outlineLevel="0" collapsed="false">
      <c r="A39" s="11" t="s">
        <v>849</v>
      </c>
      <c r="B39" s="38" t="n">
        <v>46391</v>
      </c>
      <c r="C39" s="11" t="s">
        <v>448</v>
      </c>
      <c r="D39" s="11" t="s">
        <v>449</v>
      </c>
      <c r="E39" s="37" t="n">
        <v>2880</v>
      </c>
      <c r="F39" s="11"/>
      <c r="G39" s="11" t="s">
        <v>274</v>
      </c>
    </row>
    <row r="40" customFormat="false" ht="15" hidden="false" customHeight="false" outlineLevel="0" collapsed="false">
      <c r="A40" s="11" t="s">
        <v>851</v>
      </c>
      <c r="B40" s="38" t="n">
        <v>46391</v>
      </c>
      <c r="C40" s="11" t="s">
        <v>1501</v>
      </c>
      <c r="D40" s="11" t="s">
        <v>853</v>
      </c>
      <c r="E40" s="37" t="n">
        <v>7800</v>
      </c>
      <c r="F40" s="11"/>
      <c r="G40" s="11" t="s">
        <v>274</v>
      </c>
    </row>
    <row r="41" customFormat="false" ht="15" hidden="false" customHeight="false" outlineLevel="0" collapsed="false">
      <c r="A41" s="11" t="s">
        <v>870</v>
      </c>
      <c r="B41" s="38" t="n">
        <v>46392</v>
      </c>
      <c r="C41" s="11" t="s">
        <v>469</v>
      </c>
      <c r="D41" s="11" t="s">
        <v>470</v>
      </c>
      <c r="E41" s="37" t="n">
        <v>8900</v>
      </c>
      <c r="F41" s="11" t="s">
        <v>471</v>
      </c>
      <c r="G41" s="11" t="s">
        <v>274</v>
      </c>
    </row>
    <row r="42" customFormat="false" ht="15" hidden="false" customHeight="false" outlineLevel="0" collapsed="false">
      <c r="A42" s="11" t="s">
        <v>876</v>
      </c>
      <c r="B42" s="38" t="n">
        <v>46393</v>
      </c>
      <c r="C42" s="11" t="s">
        <v>291</v>
      </c>
      <c r="D42" s="11" t="s">
        <v>292</v>
      </c>
      <c r="E42" s="37" t="n">
        <v>4700</v>
      </c>
      <c r="F42" s="11" t="s">
        <v>294</v>
      </c>
      <c r="G42" s="11" t="s">
        <v>293</v>
      </c>
    </row>
    <row r="43" customFormat="false" ht="15" hidden="false" customHeight="false" outlineLevel="0" collapsed="false">
      <c r="A43" s="11" t="s">
        <v>896</v>
      </c>
      <c r="B43" s="38" t="n">
        <v>46395</v>
      </c>
      <c r="C43" s="11" t="s">
        <v>480</v>
      </c>
      <c r="D43" s="11" t="s">
        <v>481</v>
      </c>
      <c r="E43" s="37" t="n">
        <v>14160</v>
      </c>
      <c r="F43" s="11"/>
      <c r="G43" s="11" t="s">
        <v>274</v>
      </c>
    </row>
  </sheetData>
  <autoFilter ref="A3:G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17"/>
    <col collapsed="false" customWidth="true" hidden="false" outlineLevel="0" max="5" min="5" style="0" width="14"/>
  </cols>
  <sheetData>
    <row r="1" customFormat="false" ht="30" hidden="false" customHeight="true" outlineLevel="0" collapsed="false">
      <c r="A1" s="33" t="s">
        <v>4327</v>
      </c>
      <c r="B1" s="33" t="s">
        <v>4328</v>
      </c>
      <c r="C1" s="33" t="s">
        <v>4329</v>
      </c>
      <c r="D1" s="33" t="s">
        <v>1378</v>
      </c>
      <c r="E1" s="33" t="s">
        <v>4330</v>
      </c>
    </row>
    <row r="2" customFormat="false" ht="15" hidden="false" customHeight="false" outlineLevel="0" collapsed="false">
      <c r="A2" s="11" t="s">
        <v>1608</v>
      </c>
      <c r="B2" s="37" t="n">
        <v>87320</v>
      </c>
      <c r="C2" s="37" t="n">
        <v>30435.88</v>
      </c>
      <c r="D2" s="37" t="n">
        <f aca="false">B2-C2</f>
        <v>56884.12</v>
      </c>
      <c r="E2" s="38" t="n">
        <v>45771</v>
      </c>
    </row>
    <row r="3" customFormat="false" ht="15" hidden="false" customHeight="false" outlineLevel="0" collapsed="false">
      <c r="A3" s="11" t="s">
        <v>1751</v>
      </c>
      <c r="B3" s="37" t="n">
        <v>87316</v>
      </c>
      <c r="C3" s="37" t="n">
        <v>34415.92</v>
      </c>
      <c r="D3" s="37" t="n">
        <f aca="false">B3-C3</f>
        <v>52900.08</v>
      </c>
      <c r="E3" s="38" t="n">
        <v>45803</v>
      </c>
    </row>
    <row r="4" customFormat="false" ht="15" hidden="false" customHeight="false" outlineLevel="0" collapsed="false">
      <c r="A4" s="11" t="s">
        <v>1896</v>
      </c>
      <c r="B4" s="37" t="n">
        <v>110716</v>
      </c>
      <c r="C4" s="37" t="n">
        <v>30492.6</v>
      </c>
      <c r="D4" s="37" t="n">
        <f aca="false">B4-C4</f>
        <v>80223.4</v>
      </c>
      <c r="E4" s="38" t="n">
        <v>45832</v>
      </c>
    </row>
    <row r="5" customFormat="false" ht="15" hidden="false" customHeight="false" outlineLevel="0" collapsed="false">
      <c r="A5" s="11" t="s">
        <v>2032</v>
      </c>
      <c r="B5" s="37" t="n">
        <v>91676</v>
      </c>
      <c r="C5" s="37" t="n">
        <v>27729.44</v>
      </c>
      <c r="D5" s="37" t="n">
        <f aca="false">B5-C5</f>
        <v>63946.56</v>
      </c>
      <c r="E5" s="38" t="n">
        <v>45862</v>
      </c>
    </row>
    <row r="6" customFormat="false" ht="15" hidden="false" customHeight="false" outlineLevel="0" collapsed="false">
      <c r="A6" s="11" t="s">
        <v>2190</v>
      </c>
      <c r="B6" s="37" t="n">
        <v>78584</v>
      </c>
      <c r="C6" s="37" t="n">
        <v>30106.53</v>
      </c>
      <c r="D6" s="37" t="n">
        <f aca="false">B6-C6</f>
        <v>48477.47</v>
      </c>
      <c r="E6" s="38" t="n">
        <v>45894</v>
      </c>
    </row>
    <row r="7" customFormat="false" ht="15" hidden="false" customHeight="false" outlineLevel="0" collapsed="false">
      <c r="A7" s="11" t="s">
        <v>2319</v>
      </c>
      <c r="B7" s="37" t="n">
        <v>48022</v>
      </c>
      <c r="C7" s="37" t="n">
        <v>28917.65</v>
      </c>
      <c r="D7" s="37" t="n">
        <f aca="false">B7-C7</f>
        <v>19104.35</v>
      </c>
      <c r="E7" s="38" t="n">
        <v>45924</v>
      </c>
    </row>
    <row r="8" customFormat="false" ht="15" hidden="false" customHeight="false" outlineLevel="0" collapsed="false">
      <c r="A8" s="11" t="s">
        <v>2422</v>
      </c>
      <c r="B8" s="37" t="n">
        <v>131618</v>
      </c>
      <c r="C8" s="37" t="n">
        <v>32986.91</v>
      </c>
      <c r="D8" s="37" t="n">
        <f aca="false">B8-C8</f>
        <v>98631.09</v>
      </c>
      <c r="E8" s="38" t="n">
        <v>45954</v>
      </c>
    </row>
    <row r="9" customFormat="false" ht="15" hidden="false" customHeight="false" outlineLevel="0" collapsed="false">
      <c r="A9" s="11" t="s">
        <v>2556</v>
      </c>
      <c r="B9" s="37" t="n">
        <v>128178</v>
      </c>
      <c r="C9" s="37" t="n">
        <v>40035.91</v>
      </c>
      <c r="D9" s="37" t="n">
        <f aca="false">B9-C9</f>
        <v>88142.09</v>
      </c>
      <c r="E9" s="38" t="n">
        <v>45985</v>
      </c>
    </row>
    <row r="10" customFormat="false" ht="15" hidden="false" customHeight="false" outlineLevel="0" collapsed="false">
      <c r="A10" s="11" t="s">
        <v>2728</v>
      </c>
      <c r="B10" s="37" t="n">
        <v>111980</v>
      </c>
      <c r="C10" s="37" t="n">
        <v>30639.17</v>
      </c>
      <c r="D10" s="37" t="n">
        <f aca="false">B10-C10</f>
        <v>81340.83</v>
      </c>
      <c r="E10" s="38" t="n">
        <v>46015</v>
      </c>
    </row>
    <row r="11" customFormat="false" ht="15" hidden="false" customHeight="false" outlineLevel="0" collapsed="false">
      <c r="A11" s="11" t="s">
        <v>2892</v>
      </c>
      <c r="B11" s="37" t="n">
        <v>87324</v>
      </c>
      <c r="C11" s="37" t="n">
        <v>28894.24</v>
      </c>
      <c r="D11" s="37" t="n">
        <f aca="false">B11-C11</f>
        <v>58429.76</v>
      </c>
      <c r="E11" s="38" t="n">
        <v>46048</v>
      </c>
    </row>
    <row r="12" customFormat="false" ht="15" hidden="false" customHeight="false" outlineLevel="0" collapsed="false">
      <c r="A12" s="11" t="s">
        <v>3028</v>
      </c>
      <c r="B12" s="37" t="n">
        <v>89758</v>
      </c>
      <c r="C12" s="37" t="n">
        <v>33326.47</v>
      </c>
      <c r="D12" s="37" t="n">
        <f aca="false">B12-C12</f>
        <v>56431.53</v>
      </c>
      <c r="E12" s="38" t="n">
        <v>46077</v>
      </c>
    </row>
    <row r="13" customFormat="false" ht="15" hidden="false" customHeight="false" outlineLevel="0" collapsed="false">
      <c r="A13" s="11" t="s">
        <v>3166</v>
      </c>
      <c r="B13" s="37" t="n">
        <v>84876</v>
      </c>
      <c r="C13" s="37" t="n">
        <v>30748.08</v>
      </c>
      <c r="D13" s="37" t="n">
        <f aca="false">B13-C13</f>
        <v>54127.92</v>
      </c>
      <c r="E13" s="38" t="n">
        <v>46105</v>
      </c>
    </row>
    <row r="14" customFormat="false" ht="15" hidden="false" customHeight="false" outlineLevel="0" collapsed="false">
      <c r="A14" s="11" t="s">
        <v>3315</v>
      </c>
      <c r="B14" s="37" t="n">
        <v>101508</v>
      </c>
      <c r="C14" s="37" t="n">
        <v>37349.81</v>
      </c>
      <c r="D14" s="37" t="n">
        <f aca="false">B14-C14</f>
        <v>64158.19</v>
      </c>
      <c r="E14" s="38" t="n">
        <v>46136</v>
      </c>
    </row>
    <row r="15" customFormat="false" ht="15" hidden="false" customHeight="false" outlineLevel="0" collapsed="false">
      <c r="A15" s="11" t="s">
        <v>3480</v>
      </c>
      <c r="B15" s="37" t="n">
        <v>94306</v>
      </c>
      <c r="C15" s="37" t="n">
        <v>36359.91</v>
      </c>
      <c r="D15" s="37" t="n">
        <f aca="false">B15-C15</f>
        <v>57946.09</v>
      </c>
      <c r="E15" s="38" t="n">
        <v>46168</v>
      </c>
    </row>
    <row r="16" customFormat="false" ht="15" hidden="false" customHeight="false" outlineLevel="0" collapsed="false">
      <c r="A16" s="11" t="s">
        <v>3625</v>
      </c>
      <c r="B16" s="37" t="n">
        <v>94306</v>
      </c>
      <c r="C16" s="37" t="n">
        <v>31889.47</v>
      </c>
      <c r="D16" s="37" t="n">
        <f aca="false">B16-C16</f>
        <v>62416.53</v>
      </c>
      <c r="E16" s="38" t="n">
        <v>46197</v>
      </c>
    </row>
    <row r="17" customFormat="false" ht="15" hidden="false" customHeight="false" outlineLevel="0" collapsed="false">
      <c r="A17" s="11" t="s">
        <v>3767</v>
      </c>
      <c r="B17" s="37" t="n">
        <v>127820</v>
      </c>
      <c r="C17" s="37" t="n">
        <v>28351.84</v>
      </c>
      <c r="D17" s="37" t="n">
        <f aca="false">B17-C17</f>
        <v>99468.16</v>
      </c>
      <c r="E17" s="38" t="n">
        <v>46227</v>
      </c>
    </row>
    <row r="18" customFormat="false" ht="15" hidden="false" customHeight="false" outlineLevel="0" collapsed="false">
      <c r="A18" s="11" t="s">
        <v>3903</v>
      </c>
      <c r="B18" s="37" t="n">
        <v>84880</v>
      </c>
      <c r="C18" s="37" t="n">
        <v>34041.79</v>
      </c>
      <c r="D18" s="37" t="n">
        <f aca="false">B18-C18</f>
        <v>50838.21</v>
      </c>
      <c r="E18" s="38" t="n">
        <v>46258</v>
      </c>
    </row>
    <row r="19" customFormat="false" ht="15" hidden="false" customHeight="false" outlineLevel="0" collapsed="false">
      <c r="A19" s="11" t="s">
        <v>4067</v>
      </c>
      <c r="B19" s="37" t="n">
        <v>51868</v>
      </c>
      <c r="C19" s="37" t="n">
        <v>29922.76</v>
      </c>
      <c r="D19" s="37" t="n">
        <f aca="false">B19-C19</f>
        <v>21945.24</v>
      </c>
      <c r="E19" s="38" t="n">
        <v>46289</v>
      </c>
    </row>
  </sheetData>
  <autoFilter ref="A1:E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2"/>
    <col collapsed="false" customWidth="true" hidden="false" outlineLevel="0" max="6" min="6" style="0" width="13"/>
    <col collapsed="false" customWidth="true" hidden="false" outlineLevel="0" max="8" min="7" style="0" width="12"/>
    <col collapsed="false" customWidth="true" hidden="false" outlineLevel="0" max="9" min="9" style="0" width="17"/>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19"/>
    <col collapsed="false" customWidth="true" hidden="false" outlineLevel="0" max="14" min="14" style="0" width="15"/>
    <col collapsed="false" customWidth="true" hidden="false" outlineLevel="0" max="15" min="15" style="0" width="12"/>
  </cols>
  <sheetData>
    <row r="1" customFormat="false" ht="15" hidden="false" customHeight="false" outlineLevel="0" collapsed="false">
      <c r="A1" s="2" t="s">
        <v>4331</v>
      </c>
    </row>
    <row r="3" customFormat="false" ht="30" hidden="false" customHeight="true" outlineLevel="0" collapsed="false">
      <c r="A3" s="33" t="s">
        <v>4332</v>
      </c>
      <c r="B3" s="33" t="s">
        <v>1262</v>
      </c>
      <c r="C3" s="33" t="s">
        <v>4333</v>
      </c>
      <c r="D3" s="33" t="s">
        <v>4334</v>
      </c>
      <c r="E3" s="33" t="s">
        <v>4335</v>
      </c>
      <c r="F3" s="33" t="s">
        <v>4336</v>
      </c>
      <c r="G3" s="33" t="s">
        <v>4337</v>
      </c>
      <c r="H3" s="33" t="s">
        <v>4338</v>
      </c>
      <c r="I3" s="33" t="s">
        <v>4339</v>
      </c>
      <c r="J3" s="33" t="s">
        <v>4340</v>
      </c>
      <c r="K3" s="33" t="s">
        <v>4341</v>
      </c>
      <c r="L3" s="33" t="s">
        <v>4342</v>
      </c>
      <c r="M3" s="33" t="s">
        <v>4343</v>
      </c>
      <c r="N3" s="33" t="s">
        <v>4344</v>
      </c>
      <c r="O3" s="33" t="s">
        <v>4345</v>
      </c>
    </row>
    <row r="4" customFormat="false" ht="15" hidden="false" customHeight="false" outlineLevel="0" collapsed="false">
      <c r="A4" s="11" t="s">
        <v>1751</v>
      </c>
      <c r="B4" s="11" t="s">
        <v>4346</v>
      </c>
      <c r="C4" s="15" t="n">
        <v>471980</v>
      </c>
      <c r="D4" s="15" t="n">
        <v>-207199</v>
      </c>
      <c r="E4" s="15" t="n">
        <v>-14159</v>
      </c>
      <c r="F4" s="15" t="n">
        <v>-193500</v>
      </c>
      <c r="G4" s="15" t="n">
        <v>-6500</v>
      </c>
      <c r="H4" s="15" t="n">
        <v>-8200</v>
      </c>
      <c r="I4" s="15" t="n">
        <v>-34172</v>
      </c>
      <c r="J4" s="14" t="n">
        <f aca="false">SUM(C4:I4)</f>
        <v>8250</v>
      </c>
      <c r="K4" s="15" t="n">
        <v>-16500</v>
      </c>
      <c r="L4" s="15" t="n">
        <v>-1900</v>
      </c>
      <c r="M4" s="15" t="n">
        <f aca="false">J4+K4+L4</f>
        <v>-10150</v>
      </c>
      <c r="N4" s="15" t="n">
        <f aca="false">-MAX(0,M4)*0.25</f>
        <v>-0</v>
      </c>
      <c r="O4" s="14" t="n">
        <f aca="false">M4+N4</f>
        <v>-10150</v>
      </c>
    </row>
    <row r="5" customFormat="false" ht="15" hidden="false" customHeight="false" outlineLevel="0" collapsed="false">
      <c r="A5" s="11" t="s">
        <v>1896</v>
      </c>
      <c r="B5" s="11" t="s">
        <v>4346</v>
      </c>
      <c r="C5" s="15" t="n">
        <v>588980</v>
      </c>
      <c r="D5" s="15" t="n">
        <v>-256339</v>
      </c>
      <c r="E5" s="15" t="n">
        <v>-17669</v>
      </c>
      <c r="F5" s="15" t="n">
        <v>-193500</v>
      </c>
      <c r="G5" s="15" t="n">
        <v>-6500</v>
      </c>
      <c r="H5" s="15" t="n">
        <v>-8200</v>
      </c>
      <c r="I5" s="15" t="n">
        <v>-34172</v>
      </c>
      <c r="J5" s="14" t="n">
        <f aca="false">SUM(C5:I5)</f>
        <v>72600</v>
      </c>
      <c r="K5" s="15" t="n">
        <v>-16500</v>
      </c>
      <c r="L5" s="15" t="n">
        <v>-1900</v>
      </c>
      <c r="M5" s="15" t="n">
        <f aca="false">J5+K5+L5</f>
        <v>54200</v>
      </c>
      <c r="N5" s="15" t="n">
        <f aca="false">-MAX(0,M5)*0.25</f>
        <v>-13550</v>
      </c>
      <c r="O5" s="14" t="n">
        <f aca="false">M5+N5</f>
        <v>40650</v>
      </c>
    </row>
    <row r="6" customFormat="false" ht="15" hidden="false" customHeight="false" outlineLevel="0" collapsed="false">
      <c r="A6" s="11" t="s">
        <v>2032</v>
      </c>
      <c r="B6" s="11" t="s">
        <v>4346</v>
      </c>
      <c r="C6" s="15" t="n">
        <v>495550</v>
      </c>
      <c r="D6" s="15" t="n">
        <v>-217546</v>
      </c>
      <c r="E6" s="15" t="n">
        <v>-14866</v>
      </c>
      <c r="F6" s="15" t="n">
        <v>-193500</v>
      </c>
      <c r="G6" s="15" t="n">
        <v>-6500</v>
      </c>
      <c r="H6" s="15" t="n">
        <v>-8200</v>
      </c>
      <c r="I6" s="15" t="n">
        <v>-34172</v>
      </c>
      <c r="J6" s="14" t="n">
        <f aca="false">SUM(C6:I6)</f>
        <v>20766</v>
      </c>
      <c r="K6" s="15" t="n">
        <v>-16500</v>
      </c>
      <c r="L6" s="15" t="n">
        <v>-1900</v>
      </c>
      <c r="M6" s="15" t="n">
        <f aca="false">J6+K6+L6</f>
        <v>2366</v>
      </c>
      <c r="N6" s="15" t="n">
        <f aca="false">-MAX(0,M6)*0.25</f>
        <v>-591.5</v>
      </c>
      <c r="O6" s="14" t="n">
        <f aca="false">M6+N6</f>
        <v>1774.5</v>
      </c>
    </row>
    <row r="7" customFormat="false" ht="15" hidden="false" customHeight="false" outlineLevel="0" collapsed="false">
      <c r="A7" s="11" t="s">
        <v>2190</v>
      </c>
      <c r="B7" s="11" t="s">
        <v>4346</v>
      </c>
      <c r="C7" s="15" t="n">
        <v>424780</v>
      </c>
      <c r="D7" s="15" t="n">
        <v>-186478</v>
      </c>
      <c r="E7" s="15" t="n">
        <v>-12743</v>
      </c>
      <c r="F7" s="15" t="n">
        <v>-193500</v>
      </c>
      <c r="G7" s="15" t="n">
        <v>-6500</v>
      </c>
      <c r="H7" s="15" t="n">
        <v>-8200</v>
      </c>
      <c r="I7" s="15" t="n">
        <v>-34172</v>
      </c>
      <c r="J7" s="14" t="n">
        <f aca="false">SUM(C7:I7)</f>
        <v>-16813</v>
      </c>
      <c r="K7" s="15" t="n">
        <v>-16500</v>
      </c>
      <c r="L7" s="15" t="n">
        <v>-1900</v>
      </c>
      <c r="M7" s="15" t="n">
        <f aca="false">J7+K7+L7</f>
        <v>-35213</v>
      </c>
      <c r="N7" s="15" t="n">
        <f aca="false">-MAX(0,M7)*0.25</f>
        <v>-0</v>
      </c>
      <c r="O7" s="14" t="n">
        <f aca="false">M7+N7</f>
        <v>-35213</v>
      </c>
    </row>
    <row r="8" customFormat="false" ht="15" hidden="false" customHeight="false" outlineLevel="0" collapsed="false">
      <c r="A8" s="11" t="s">
        <v>2319</v>
      </c>
      <c r="B8" s="11" t="s">
        <v>4346</v>
      </c>
      <c r="C8" s="15" t="n">
        <v>259580</v>
      </c>
      <c r="D8" s="15" t="n">
        <v>-113956</v>
      </c>
      <c r="E8" s="15" t="n">
        <v>-7787</v>
      </c>
      <c r="F8" s="15" t="n">
        <v>-193500</v>
      </c>
      <c r="G8" s="15" t="n">
        <v>-6500</v>
      </c>
      <c r="H8" s="15" t="n">
        <v>-8200</v>
      </c>
      <c r="I8" s="15" t="n">
        <v>-34172</v>
      </c>
      <c r="J8" s="14" t="n">
        <f aca="false">SUM(C8:I8)</f>
        <v>-104535</v>
      </c>
      <c r="K8" s="15" t="n">
        <v>-16500</v>
      </c>
      <c r="L8" s="15" t="n">
        <v>-1900</v>
      </c>
      <c r="M8" s="15" t="n">
        <f aca="false">J8+K8+L8</f>
        <v>-122935</v>
      </c>
      <c r="N8" s="15" t="n">
        <f aca="false">-MAX(0,M8)*0.25</f>
        <v>-0</v>
      </c>
      <c r="O8" s="14" t="n">
        <f aca="false">M8+N8</f>
        <v>-122935</v>
      </c>
    </row>
    <row r="9" customFormat="false" ht="15" hidden="false" customHeight="false" outlineLevel="0" collapsed="false">
      <c r="A9" s="11" t="s">
        <v>2422</v>
      </c>
      <c r="B9" s="11" t="s">
        <v>4346</v>
      </c>
      <c r="C9" s="15" t="n">
        <v>698800</v>
      </c>
      <c r="D9" s="15" t="n">
        <v>-303809</v>
      </c>
      <c r="E9" s="15" t="n">
        <v>-20964</v>
      </c>
      <c r="F9" s="15" t="n">
        <v>-193500</v>
      </c>
      <c r="G9" s="15" t="n">
        <v>-6500</v>
      </c>
      <c r="H9" s="15" t="n">
        <v>-8200</v>
      </c>
      <c r="I9" s="15" t="n">
        <v>-34172</v>
      </c>
      <c r="J9" s="14" t="n">
        <f aca="false">SUM(C9:I9)</f>
        <v>131655</v>
      </c>
      <c r="K9" s="15" t="n">
        <v>-16500</v>
      </c>
      <c r="L9" s="15" t="n">
        <v>-1900</v>
      </c>
      <c r="M9" s="15" t="n">
        <f aca="false">J9+K9+L9</f>
        <v>113255</v>
      </c>
      <c r="N9" s="15" t="n">
        <f aca="false">-MAX(0,M9)*0.25</f>
        <v>-28313.75</v>
      </c>
      <c r="O9" s="14" t="n">
        <f aca="false">M9+N9</f>
        <v>84941.25</v>
      </c>
    </row>
    <row r="10" customFormat="false" ht="15" hidden="false" customHeight="false" outlineLevel="0" collapsed="false">
      <c r="A10" s="11" t="s">
        <v>2556</v>
      </c>
      <c r="B10" s="11" t="s">
        <v>4346</v>
      </c>
      <c r="C10" s="15" t="n">
        <v>683370</v>
      </c>
      <c r="D10" s="15" t="n">
        <v>-297776</v>
      </c>
      <c r="E10" s="15" t="n">
        <v>-20501</v>
      </c>
      <c r="F10" s="15" t="n">
        <v>-193500</v>
      </c>
      <c r="G10" s="15" t="n">
        <v>-6500</v>
      </c>
      <c r="H10" s="15" t="n">
        <v>-8200</v>
      </c>
      <c r="I10" s="15" t="n">
        <v>-34172</v>
      </c>
      <c r="J10" s="14" t="n">
        <f aca="false">SUM(C10:I10)</f>
        <v>122721</v>
      </c>
      <c r="K10" s="15" t="n">
        <v>-16500</v>
      </c>
      <c r="L10" s="15" t="n">
        <v>-1900</v>
      </c>
      <c r="M10" s="15" t="n">
        <f aca="false">J10+K10+L10</f>
        <v>104321</v>
      </c>
      <c r="N10" s="15" t="n">
        <f aca="false">-MAX(0,M10)*0.25</f>
        <v>-26080.25</v>
      </c>
      <c r="O10" s="14" t="n">
        <f aca="false">M10+N10</f>
        <v>78240.75</v>
      </c>
    </row>
    <row r="11" customFormat="false" ht="15" hidden="false" customHeight="false" outlineLevel="0" collapsed="false">
      <c r="A11" s="11" t="s">
        <v>2728</v>
      </c>
      <c r="B11" s="11" t="s">
        <v>4346</v>
      </c>
      <c r="C11" s="15" t="n">
        <v>602370</v>
      </c>
      <c r="D11" s="15" t="n">
        <v>-263756</v>
      </c>
      <c r="E11" s="15" t="n">
        <v>-18071</v>
      </c>
      <c r="F11" s="15" t="n">
        <v>-193500</v>
      </c>
      <c r="G11" s="15" t="n">
        <v>-6500</v>
      </c>
      <c r="H11" s="15" t="n">
        <v>-11800</v>
      </c>
      <c r="I11" s="15" t="n">
        <v>-34172</v>
      </c>
      <c r="J11" s="14" t="n">
        <f aca="false">SUM(C11:I11)</f>
        <v>74571</v>
      </c>
      <c r="K11" s="15" t="n">
        <v>-16500</v>
      </c>
      <c r="L11" s="15" t="n">
        <v>-1900</v>
      </c>
      <c r="M11" s="15" t="n">
        <f aca="false">J11+K11+L11</f>
        <v>56171</v>
      </c>
      <c r="N11" s="15" t="n">
        <f aca="false">-MAX(0,M11)*0.25</f>
        <v>-14042.75</v>
      </c>
      <c r="O11" s="14" t="n">
        <f aca="false">M11+N11</f>
        <v>42128.25</v>
      </c>
    </row>
    <row r="12" customFormat="false" ht="15" hidden="false" customHeight="false" outlineLevel="0" collapsed="false">
      <c r="A12" s="11" t="s">
        <v>2892</v>
      </c>
      <c r="B12" s="11" t="s">
        <v>4346</v>
      </c>
      <c r="C12" s="15" t="n">
        <v>472030</v>
      </c>
      <c r="D12" s="15" t="n">
        <v>-207221</v>
      </c>
      <c r="E12" s="15" t="n">
        <v>-14161</v>
      </c>
      <c r="F12" s="15" t="n">
        <v>-193500</v>
      </c>
      <c r="G12" s="15" t="n">
        <v>-6500</v>
      </c>
      <c r="H12" s="15" t="n">
        <v>-11800</v>
      </c>
      <c r="I12" s="15" t="n">
        <v>-34172</v>
      </c>
      <c r="J12" s="14" t="n">
        <f aca="false">SUM(C12:I12)</f>
        <v>4676</v>
      </c>
      <c r="K12" s="15" t="n">
        <v>-16500</v>
      </c>
      <c r="L12" s="15" t="n">
        <v>-1900</v>
      </c>
      <c r="M12" s="15" t="n">
        <f aca="false">J12+K12+L12</f>
        <v>-13724</v>
      </c>
      <c r="N12" s="15" t="n">
        <f aca="false">-MAX(0,M12)*0.25</f>
        <v>-0</v>
      </c>
      <c r="O12" s="14" t="n">
        <f aca="false">M12+N12</f>
        <v>-13724</v>
      </c>
    </row>
    <row r="13" customFormat="false" ht="15" hidden="false" customHeight="false" outlineLevel="0" collapsed="false">
      <c r="A13" s="11" t="s">
        <v>3028</v>
      </c>
      <c r="B13" s="11" t="s">
        <v>4346</v>
      </c>
      <c r="C13" s="15" t="n">
        <v>481290</v>
      </c>
      <c r="D13" s="15" t="n">
        <v>-210374</v>
      </c>
      <c r="E13" s="15" t="n">
        <v>-14439</v>
      </c>
      <c r="F13" s="15" t="n">
        <v>-202333</v>
      </c>
      <c r="G13" s="15" t="n">
        <v>-6500</v>
      </c>
      <c r="H13" s="15" t="n">
        <v>-11800</v>
      </c>
      <c r="I13" s="15" t="n">
        <v>-34172</v>
      </c>
      <c r="J13" s="14" t="n">
        <f aca="false">SUM(C13:I13)</f>
        <v>1672</v>
      </c>
      <c r="K13" s="15" t="n">
        <v>-16500</v>
      </c>
      <c r="L13" s="15" t="n">
        <v>-1600</v>
      </c>
      <c r="M13" s="15" t="n">
        <f aca="false">J13+K13+L13</f>
        <v>-16428</v>
      </c>
      <c r="N13" s="15" t="n">
        <f aca="false">-MAX(0,M13)*0.25</f>
        <v>-0</v>
      </c>
      <c r="O13" s="14" t="n">
        <f aca="false">M13+N13</f>
        <v>-16428</v>
      </c>
    </row>
    <row r="14" customFormat="false" ht="15" hidden="false" customHeight="false" outlineLevel="0" collapsed="false">
      <c r="A14" s="11" t="s">
        <v>3166</v>
      </c>
      <c r="B14" s="11" t="s">
        <v>4346</v>
      </c>
      <c r="C14" s="15" t="n">
        <v>458790</v>
      </c>
      <c r="D14" s="15" t="n">
        <v>-201409</v>
      </c>
      <c r="E14" s="15" t="n">
        <v>-13764</v>
      </c>
      <c r="F14" s="15" t="n">
        <v>-202333</v>
      </c>
      <c r="G14" s="15" t="n">
        <v>-6500</v>
      </c>
      <c r="H14" s="15" t="n">
        <v>-11800</v>
      </c>
      <c r="I14" s="15" t="n">
        <v>-34172</v>
      </c>
      <c r="J14" s="14" t="n">
        <f aca="false">SUM(C14:I14)</f>
        <v>-11188</v>
      </c>
      <c r="K14" s="15" t="n">
        <v>-16500</v>
      </c>
      <c r="L14" s="15" t="n">
        <v>-1600</v>
      </c>
      <c r="M14" s="15" t="n">
        <f aca="false">J14+K14+L14</f>
        <v>-29288</v>
      </c>
      <c r="N14" s="15" t="n">
        <f aca="false">-MAX(0,M14)*0.25</f>
        <v>-0</v>
      </c>
      <c r="O14" s="14" t="n">
        <f aca="false">M14+N14</f>
        <v>-29288</v>
      </c>
    </row>
    <row r="15" customFormat="false" ht="15" hidden="false" customHeight="false" outlineLevel="0" collapsed="false">
      <c r="A15" s="11" t="s">
        <v>3315</v>
      </c>
      <c r="B15" s="11" t="s">
        <v>4346</v>
      </c>
      <c r="C15" s="15" t="n">
        <v>545770</v>
      </c>
      <c r="D15" s="15" t="n">
        <v>-238909</v>
      </c>
      <c r="E15" s="15" t="n">
        <v>-16373</v>
      </c>
      <c r="F15" s="15" t="n">
        <v>-202333</v>
      </c>
      <c r="G15" s="15" t="n">
        <v>-6500</v>
      </c>
      <c r="H15" s="15" t="n">
        <v>-8200</v>
      </c>
      <c r="I15" s="15" t="n">
        <v>-34172</v>
      </c>
      <c r="J15" s="14" t="n">
        <f aca="false">SUM(C15:I15)</f>
        <v>39283</v>
      </c>
      <c r="K15" s="15" t="n">
        <v>-16500</v>
      </c>
      <c r="L15" s="15" t="n">
        <v>-1600</v>
      </c>
      <c r="M15" s="15" t="n">
        <f aca="false">J15+K15+L15</f>
        <v>21183</v>
      </c>
      <c r="N15" s="15" t="n">
        <f aca="false">-MAX(0,M15)*0.25</f>
        <v>-5295.75</v>
      </c>
      <c r="O15" s="14" t="n">
        <f aca="false">M15+N15</f>
        <v>15887.25</v>
      </c>
    </row>
    <row r="16" customFormat="false" ht="15" hidden="false" customHeight="false" outlineLevel="0" collapsed="false">
      <c r="A16" s="11" t="s">
        <v>3480</v>
      </c>
      <c r="B16" s="11" t="s">
        <v>4346</v>
      </c>
      <c r="C16" s="15" t="n">
        <v>509760</v>
      </c>
      <c r="D16" s="15" t="n">
        <v>-223785</v>
      </c>
      <c r="E16" s="15" t="n">
        <v>-15293</v>
      </c>
      <c r="F16" s="15" t="n">
        <v>-202333</v>
      </c>
      <c r="G16" s="15" t="n">
        <v>-6500</v>
      </c>
      <c r="H16" s="15" t="n">
        <v>-8200</v>
      </c>
      <c r="I16" s="15" t="n">
        <v>-34172</v>
      </c>
      <c r="J16" s="14" t="n">
        <f aca="false">SUM(C16:I16)</f>
        <v>19477</v>
      </c>
      <c r="K16" s="15" t="n">
        <v>-16500</v>
      </c>
      <c r="L16" s="15" t="n">
        <v>-1600</v>
      </c>
      <c r="M16" s="15" t="n">
        <f aca="false">J16+K16+L16</f>
        <v>1377</v>
      </c>
      <c r="N16" s="15" t="n">
        <f aca="false">-MAX(0,M16)*0.25</f>
        <v>-344.25</v>
      </c>
      <c r="O16" s="14" t="n">
        <f aca="false">M16+N16</f>
        <v>1032.75</v>
      </c>
    </row>
    <row r="17" customFormat="false" ht="15" hidden="false" customHeight="false" outlineLevel="0" collapsed="false">
      <c r="A17" s="11" t="s">
        <v>3625</v>
      </c>
      <c r="B17" s="11" t="s">
        <v>4346</v>
      </c>
      <c r="C17" s="15" t="n">
        <v>509770</v>
      </c>
      <c r="D17" s="15" t="n">
        <v>-223789</v>
      </c>
      <c r="E17" s="15" t="n">
        <v>-15293</v>
      </c>
      <c r="F17" s="15" t="n">
        <v>-202333</v>
      </c>
      <c r="G17" s="15" t="n">
        <v>-6500</v>
      </c>
      <c r="H17" s="15" t="n">
        <v>-8200</v>
      </c>
      <c r="I17" s="15" t="n">
        <v>-34172</v>
      </c>
      <c r="J17" s="14" t="n">
        <f aca="false">SUM(C17:I17)</f>
        <v>19483</v>
      </c>
      <c r="K17" s="15" t="n">
        <v>-16500</v>
      </c>
      <c r="L17" s="15" t="n">
        <v>-1600</v>
      </c>
      <c r="M17" s="15" t="n">
        <f aca="false">J17+K17+L17</f>
        <v>1383</v>
      </c>
      <c r="N17" s="15" t="n">
        <f aca="false">-MAX(0,M17)*0.25</f>
        <v>-345.75</v>
      </c>
      <c r="O17" s="14" t="n">
        <f aca="false">M17+N17</f>
        <v>1037.25</v>
      </c>
    </row>
    <row r="18" customFormat="false" ht="15" hidden="false" customHeight="false" outlineLevel="0" collapsed="false">
      <c r="A18" s="11" t="s">
        <v>3767</v>
      </c>
      <c r="B18" s="11" t="s">
        <v>4346</v>
      </c>
      <c r="C18" s="15" t="n">
        <v>679240</v>
      </c>
      <c r="D18" s="15" t="n">
        <v>-295450</v>
      </c>
      <c r="E18" s="15" t="n">
        <v>-20377</v>
      </c>
      <c r="F18" s="15" t="n">
        <v>-202333</v>
      </c>
      <c r="G18" s="15" t="n">
        <v>-6500</v>
      </c>
      <c r="H18" s="15" t="n">
        <v>-8200</v>
      </c>
      <c r="I18" s="15" t="n">
        <v>-34172</v>
      </c>
      <c r="J18" s="14" t="n">
        <f aca="false">SUM(C18:I18)</f>
        <v>112208</v>
      </c>
      <c r="K18" s="15" t="n">
        <v>-16500</v>
      </c>
      <c r="L18" s="15" t="n">
        <v>-1600</v>
      </c>
      <c r="M18" s="15" t="n">
        <f aca="false">J18+K18+L18</f>
        <v>94108</v>
      </c>
      <c r="N18" s="15" t="n">
        <f aca="false">-MAX(0,M18)*0.25</f>
        <v>-23527</v>
      </c>
      <c r="O18" s="14" t="n">
        <f aca="false">M18+N18</f>
        <v>70581</v>
      </c>
    </row>
    <row r="19" customFormat="false" ht="15" hidden="false" customHeight="false" outlineLevel="0" collapsed="false">
      <c r="A19" s="11" t="s">
        <v>3903</v>
      </c>
      <c r="B19" s="11" t="s">
        <v>4346</v>
      </c>
      <c r="C19" s="15" t="n">
        <v>458810</v>
      </c>
      <c r="D19" s="15" t="n">
        <v>-201418</v>
      </c>
      <c r="E19" s="15" t="n">
        <v>-13764</v>
      </c>
      <c r="F19" s="15" t="n">
        <v>-202333</v>
      </c>
      <c r="G19" s="15" t="n">
        <v>-6500</v>
      </c>
      <c r="H19" s="15" t="n">
        <v>-8200</v>
      </c>
      <c r="I19" s="15" t="n">
        <v>-34172</v>
      </c>
      <c r="J19" s="14" t="n">
        <f aca="false">SUM(C19:I19)</f>
        <v>-7577</v>
      </c>
      <c r="K19" s="15" t="n">
        <v>-16500</v>
      </c>
      <c r="L19" s="15" t="n">
        <v>-1600</v>
      </c>
      <c r="M19" s="15" t="n">
        <f aca="false">J19+K19+L19</f>
        <v>-25677</v>
      </c>
      <c r="N19" s="15" t="n">
        <f aca="false">-MAX(0,M19)*0.25</f>
        <v>-0</v>
      </c>
      <c r="O19" s="14" t="n">
        <f aca="false">M19+N19</f>
        <v>-25677</v>
      </c>
    </row>
    <row r="20" customFormat="false" ht="15" hidden="false" customHeight="false" outlineLevel="0" collapsed="false">
      <c r="A20" s="11" t="s">
        <v>4067</v>
      </c>
      <c r="B20" s="11" t="s">
        <v>4346</v>
      </c>
      <c r="C20" s="15" t="n">
        <v>280370</v>
      </c>
      <c r="D20" s="15" t="n">
        <v>-123082</v>
      </c>
      <c r="E20" s="15" t="n">
        <v>-8411</v>
      </c>
      <c r="F20" s="15" t="n">
        <v>-202333</v>
      </c>
      <c r="G20" s="15" t="n">
        <v>-6500</v>
      </c>
      <c r="H20" s="15" t="n">
        <v>-8200</v>
      </c>
      <c r="I20" s="15" t="n">
        <v>-34172</v>
      </c>
      <c r="J20" s="14" t="n">
        <f aca="false">SUM(C20:I20)</f>
        <v>-102328</v>
      </c>
      <c r="K20" s="15" t="n">
        <v>-16500</v>
      </c>
      <c r="L20" s="15" t="n">
        <v>-1600</v>
      </c>
      <c r="M20" s="15" t="n">
        <f aca="false">J20+K20+L20</f>
        <v>-120428</v>
      </c>
      <c r="N20" s="15" t="n">
        <f aca="false">-MAX(0,M20)*0.25</f>
        <v>-0</v>
      </c>
      <c r="O20" s="14" t="n">
        <f aca="false">M20+N20</f>
        <v>-120428</v>
      </c>
    </row>
    <row r="21" customFormat="false" ht="15" hidden="false" customHeight="false" outlineLevel="0" collapsed="false">
      <c r="A21" s="11" t="s">
        <v>4347</v>
      </c>
      <c r="B21" s="11" t="s">
        <v>4346</v>
      </c>
      <c r="C21" s="15" t="n">
        <v>778230</v>
      </c>
      <c r="D21" s="15" t="n">
        <v>-337995</v>
      </c>
      <c r="E21" s="15" t="n">
        <v>-23347</v>
      </c>
      <c r="F21" s="15" t="n">
        <v>-202333</v>
      </c>
      <c r="G21" s="15" t="n">
        <v>-6500</v>
      </c>
      <c r="H21" s="15" t="n">
        <v>-8200</v>
      </c>
      <c r="I21" s="15" t="n">
        <v>-34172</v>
      </c>
      <c r="J21" s="14" t="n">
        <f aca="false">SUM(C21:I21)</f>
        <v>165683</v>
      </c>
      <c r="K21" s="15" t="n">
        <v>-16500</v>
      </c>
      <c r="L21" s="15" t="n">
        <v>-1600</v>
      </c>
      <c r="M21" s="15" t="n">
        <f aca="false">J21+K21+L21</f>
        <v>147583</v>
      </c>
      <c r="N21" s="15" t="n">
        <f aca="false">-MAX(0,M21)*0.25</f>
        <v>-36895.75</v>
      </c>
      <c r="O21" s="14" t="n">
        <f aca="false">M21+N21</f>
        <v>110687.25</v>
      </c>
    </row>
    <row r="22" customFormat="false" ht="15" hidden="false" customHeight="false" outlineLevel="0" collapsed="false">
      <c r="A22" s="57" t="s">
        <v>4348</v>
      </c>
      <c r="B22" s="57" t="s">
        <v>4349</v>
      </c>
      <c r="C22" s="58" t="n">
        <v>755710</v>
      </c>
      <c r="D22" s="58" t="n">
        <v>-329021</v>
      </c>
      <c r="E22" s="58" t="n">
        <v>-22671</v>
      </c>
      <c r="F22" s="58" t="n">
        <v>-202333</v>
      </c>
      <c r="G22" s="58" t="n">
        <v>-6500</v>
      </c>
      <c r="H22" s="58" t="n">
        <v>-8200</v>
      </c>
      <c r="I22" s="58" t="n">
        <v>-34172</v>
      </c>
      <c r="J22" s="18" t="n">
        <f aca="false">SUM(C22:I22)</f>
        <v>152813</v>
      </c>
      <c r="K22" s="58" t="n">
        <v>-16500</v>
      </c>
      <c r="L22" s="58" t="n">
        <v>-1600</v>
      </c>
      <c r="M22" s="58" t="n">
        <f aca="false">J22+K22+L22</f>
        <v>134713</v>
      </c>
      <c r="N22" s="58" t="n">
        <f aca="false">-MAX(0,M22)*0.25</f>
        <v>-33678.25</v>
      </c>
      <c r="O22" s="18" t="n">
        <f aca="false">M22+N22</f>
        <v>101034.75</v>
      </c>
    </row>
    <row r="23" customFormat="false" ht="15" hidden="false" customHeight="false" outlineLevel="0" collapsed="false">
      <c r="A23" s="57" t="s">
        <v>4350</v>
      </c>
      <c r="B23" s="57" t="s">
        <v>4349</v>
      </c>
      <c r="C23" s="58" t="n">
        <v>719740</v>
      </c>
      <c r="D23" s="58" t="n">
        <v>-313914</v>
      </c>
      <c r="E23" s="58" t="n">
        <v>-21592</v>
      </c>
      <c r="F23" s="58" t="n">
        <v>-202333</v>
      </c>
      <c r="G23" s="58" t="n">
        <v>-6500</v>
      </c>
      <c r="H23" s="58" t="n">
        <v>-11800</v>
      </c>
      <c r="I23" s="58" t="n">
        <v>-34172</v>
      </c>
      <c r="J23" s="18" t="n">
        <f aca="false">SUM(C23:I23)</f>
        <v>129429</v>
      </c>
      <c r="K23" s="58" t="n">
        <v>-16500</v>
      </c>
      <c r="L23" s="58" t="n">
        <v>-1600</v>
      </c>
      <c r="M23" s="58" t="n">
        <f aca="false">J23+K23+L23</f>
        <v>111329</v>
      </c>
      <c r="N23" s="58" t="n">
        <f aca="false">-MAX(0,M23)*0.25</f>
        <v>-27832.25</v>
      </c>
      <c r="O23" s="18" t="n">
        <f aca="false">M23+N23</f>
        <v>83496.75</v>
      </c>
    </row>
    <row r="24" customFormat="false" ht="15" hidden="false" customHeight="false" outlineLevel="0" collapsed="false">
      <c r="A24" s="57" t="s">
        <v>4351</v>
      </c>
      <c r="B24" s="57" t="s">
        <v>4349</v>
      </c>
      <c r="C24" s="58" t="n">
        <v>509780</v>
      </c>
      <c r="D24" s="58" t="n">
        <v>-223793</v>
      </c>
      <c r="E24" s="58" t="n">
        <v>-15293</v>
      </c>
      <c r="F24" s="58" t="n">
        <v>-202333</v>
      </c>
      <c r="G24" s="58" t="n">
        <v>-6500</v>
      </c>
      <c r="H24" s="58" t="n">
        <v>-11800</v>
      </c>
      <c r="I24" s="58" t="n">
        <v>-34172</v>
      </c>
      <c r="J24" s="18" t="n">
        <f aca="false">SUM(C24:I24)</f>
        <v>15889</v>
      </c>
      <c r="K24" s="58" t="n">
        <v>-16500</v>
      </c>
      <c r="L24" s="58" t="n">
        <v>-1600</v>
      </c>
      <c r="M24" s="58" t="n">
        <f aca="false">J24+K24+L24</f>
        <v>-2211</v>
      </c>
      <c r="N24" s="58" t="n">
        <f aca="false">-MAX(0,M24)*0.25</f>
        <v>-0</v>
      </c>
      <c r="O24" s="18" t="n">
        <f aca="false">M24+N24</f>
        <v>-2211</v>
      </c>
    </row>
    <row r="26" customFormat="false" ht="15" hidden="false" customHeight="false" outlineLevel="0" collapsed="false">
      <c r="A26" s="13" t="s">
        <v>4352</v>
      </c>
      <c r="C26" s="14" t="n">
        <f aca="false">SUMPRODUCT(--(B4:B24="Forecast"),C4:C24)</f>
        <v>1985230</v>
      </c>
      <c r="D26" s="14" t="n">
        <f aca="false">SUMPRODUCT(--(B4:B24="Forecast"),D4:D24)</f>
        <v>-866728</v>
      </c>
      <c r="E26" s="14" t="n">
        <f aca="false">SUMPRODUCT(--(B4:B24="Forecast"),E4:E24)</f>
        <v>-59556</v>
      </c>
      <c r="F26" s="14" t="n">
        <f aca="false">SUMPRODUCT(--(B4:B24="Forecast"),F4:F24)</f>
        <v>-606999</v>
      </c>
      <c r="G26" s="14" t="n">
        <f aca="false">SUMPRODUCT(--(B4:B24="Forecast"),G4:G24)</f>
        <v>-19500</v>
      </c>
      <c r="H26" s="14" t="n">
        <f aca="false">SUMPRODUCT(--(B4:B24="Forecast"),H4:H24)</f>
        <v>-31800</v>
      </c>
      <c r="I26" s="14" t="n">
        <f aca="false">SUMPRODUCT(--(B4:B24="Forecast"),I4:I24)</f>
        <v>-102516</v>
      </c>
      <c r="J26" s="14" t="n">
        <f aca="false">SUMPRODUCT(--(B4:B24="Forecast"),J4:J24)</f>
        <v>298131</v>
      </c>
      <c r="K26" s="14" t="n">
        <f aca="false">SUMPRODUCT(--(B4:B24="Forecast"),K4:K24)</f>
        <v>-49500</v>
      </c>
      <c r="L26" s="14" t="n">
        <f aca="false">SUMPRODUCT(--(B4:B24="Forecast"),L4:L24)</f>
        <v>-4800</v>
      </c>
      <c r="M26" s="14" t="n">
        <f aca="false">SUMPRODUCT(--(B4:B24="Forecast"),M4:M24)</f>
        <v>243831</v>
      </c>
      <c r="N26" s="14" t="n">
        <f aca="false">SUMPRODUCT(--(B4:B24="Forecast"),N4:N24)</f>
        <v>-61510.5</v>
      </c>
      <c r="O26" s="14" t="n">
        <f aca="false">SUMPRODUCT(--(B4:B24="Forecast"),O4:O24)</f>
        <v>182320.5</v>
      </c>
    </row>
    <row r="27" customFormat="false" ht="15" hidden="false" customHeight="false" outlineLevel="0" collapsed="false">
      <c r="A27" s="13" t="s">
        <v>4353</v>
      </c>
      <c r="C27" s="14" t="n">
        <f aca="false">SUMPRODUCT(--(LEFT(A4:A24,4)="2026"),C4:C24)</f>
        <v>6687260</v>
      </c>
      <c r="D27" s="14" t="n">
        <f aca="false">SUMPRODUCT(--(LEFT(A4:A24,4)="2026"),D4:D24)</f>
        <v>-2922939</v>
      </c>
      <c r="E27" s="14" t="n">
        <f aca="false">SUMPRODUCT(--(LEFT(A4:A24,4)="2026"),E4:E24)</f>
        <v>-200617</v>
      </c>
      <c r="F27" s="14" t="n">
        <f aca="false">SUMPRODUCT(--(LEFT(A4:A24,4)="2026"),F4:F24)</f>
        <v>-2427996</v>
      </c>
      <c r="G27" s="14" t="n">
        <f aca="false">SUMPRODUCT(--(LEFT(A4:A24,4)="2026"),G4:G24)</f>
        <v>-78000</v>
      </c>
      <c r="H27" s="14" t="n">
        <f aca="false">SUMPRODUCT(--(LEFT(A4:A24,4)="2026"),H4:H24)</f>
        <v>-112800</v>
      </c>
      <c r="I27" s="14" t="n">
        <f aca="false">SUMPRODUCT(--(LEFT(A4:A24,4)="2026"),I4:I24)</f>
        <v>-410064</v>
      </c>
      <c r="J27" s="14" t="n">
        <f aca="false">SUMPRODUCT(--(LEFT(A4:A24,4)="2026"),J4:J24)</f>
        <v>534844</v>
      </c>
      <c r="K27" s="14" t="n">
        <f aca="false">SUMPRODUCT(--(LEFT(A4:A24,4)="2026"),K4:K24)</f>
        <v>-198000</v>
      </c>
      <c r="L27" s="14" t="n">
        <f aca="false">SUMPRODUCT(--(LEFT(A4:A24,4)="2026"),L4:L24)</f>
        <v>-19200</v>
      </c>
      <c r="M27" s="14" t="n">
        <f aca="false">SUMPRODUCT(--(LEFT(A4:A24,4)="2026"),M4:M24)</f>
        <v>317644</v>
      </c>
      <c r="N27" s="14" t="n">
        <f aca="false">SUMPRODUCT(--(LEFT(A4:A24,4)="2026"),N4:N24)</f>
        <v>-127919</v>
      </c>
      <c r="O27" s="14" t="n">
        <f aca="false">SUMPRODUCT(--(LEFT(A4:A24,4)="2026"),O4:O24)</f>
        <v>189725</v>
      </c>
    </row>
  </sheetData>
  <autoFilter ref="A3:O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2026-10-11T15:38:55Z</dcterms:created>
  <dc:creator>openpyxl</dc:creator>
  <dc:description/>
  <dc:language>en-US</dc:language>
  <cp:lastModifiedBy/>
  <dcterms:modified xsi:type="dcterms:W3CDTF">2026-10-11T17:38:58Z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